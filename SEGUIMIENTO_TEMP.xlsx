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crearpslecu-my.sharepoint.com/personal/jose_sanchez_crearpsl_com/Documents/MAESTRIA DEL JUEGO GLOBAL/"/>
    </mc:Choice>
  </mc:AlternateContent>
  <xr:revisionPtr revIDLastSave="4864" documentId="8_{A63F9934-C67A-47B5-ABF1-B514D41B6534}" xr6:coauthVersionLast="47" xr6:coauthVersionMax="47" xr10:uidLastSave="{35C5D1BC-F957-4B32-A098-89EEFEE8B10A}"/>
  <bookViews>
    <workbookView xWindow="-108" yWindow="-108" windowWidth="23256" windowHeight="12456" xr2:uid="{33BC554E-86A0-4F18-8B0B-557498C77886}"/>
  </bookViews>
  <sheets>
    <sheet name="Hoja1" sheetId="1" r:id="rId1"/>
    <sheet name="Hoja2" sheetId="2" state="hidden" r:id="rId2"/>
  </sheets>
  <definedNames>
    <definedName name="_xlnm._FilterDatabase" localSheetId="0" hidden="1">Hoja1!$A$3:$BD$87</definedName>
    <definedName name="_xlnm._FilterDatabase" localSheetId="1" hidden="1">Hoja2!$A$2:$N$12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1" l="1"/>
  <c r="P47" i="1"/>
  <c r="P48" i="1"/>
  <c r="H46" i="1"/>
  <c r="BD89" i="1"/>
  <c r="BC89" i="1"/>
  <c r="BB89" i="1"/>
  <c r="AZ89" i="1"/>
  <c r="AX89" i="1"/>
  <c r="AW89" i="1"/>
  <c r="AT89" i="1"/>
  <c r="AQ89" i="1"/>
  <c r="AP89" i="1"/>
  <c r="AM89" i="1"/>
  <c r="AL89" i="1"/>
  <c r="AI89" i="1"/>
  <c r="AF89" i="1"/>
  <c r="AE89" i="1"/>
  <c r="AB89" i="1"/>
  <c r="AA89" i="1"/>
  <c r="U89" i="1"/>
  <c r="L89" i="1"/>
  <c r="H89" i="1"/>
  <c r="BD88" i="1"/>
  <c r="BC88" i="1"/>
  <c r="BB88" i="1"/>
  <c r="AZ88" i="1"/>
  <c r="AX88" i="1"/>
  <c r="AW88" i="1"/>
  <c r="AT88" i="1"/>
  <c r="AQ88" i="1"/>
  <c r="AP88" i="1"/>
  <c r="AM88" i="1"/>
  <c r="AL88" i="1"/>
  <c r="AI88" i="1"/>
  <c r="AF88" i="1"/>
  <c r="AE88" i="1"/>
  <c r="AB88" i="1"/>
  <c r="AA88" i="1"/>
  <c r="U88" i="1"/>
  <c r="L88" i="1"/>
  <c r="H88" i="1"/>
  <c r="BC45" i="1"/>
  <c r="BC47" i="1"/>
  <c r="BC48" i="1"/>
  <c r="BB45" i="1"/>
  <c r="BB47" i="1"/>
  <c r="BB48" i="1"/>
  <c r="BA48" i="1"/>
  <c r="AT45" i="1"/>
  <c r="AT47" i="1"/>
  <c r="AT48" i="1"/>
  <c r="AQ45" i="1"/>
  <c r="AQ47" i="1"/>
  <c r="AQ48" i="1"/>
  <c r="AP45" i="1"/>
  <c r="AP47" i="1"/>
  <c r="AP48" i="1"/>
  <c r="AB48" i="1"/>
  <c r="AA48" i="1"/>
  <c r="AA47" i="1"/>
  <c r="AM45" i="1"/>
  <c r="AM47" i="1"/>
  <c r="AM48" i="1"/>
  <c r="AL45" i="1"/>
  <c r="AL47" i="1"/>
  <c r="AL48" i="1"/>
  <c r="AB47" i="1"/>
  <c r="X48" i="1"/>
  <c r="T48" i="1"/>
  <c r="L48" i="1"/>
  <c r="H48" i="1"/>
  <c r="AZ45" i="1"/>
  <c r="AZ47" i="1"/>
  <c r="AX45" i="1"/>
  <c r="AX47" i="1"/>
  <c r="AW45" i="1"/>
  <c r="AW47" i="1"/>
  <c r="AI45" i="1"/>
  <c r="AI47" i="1"/>
  <c r="AF45" i="1"/>
  <c r="AF47" i="1"/>
  <c r="AE45" i="1"/>
  <c r="AE47" i="1"/>
  <c r="AA45" i="1"/>
  <c r="X47" i="1"/>
  <c r="U47" i="1"/>
  <c r="L47" i="1"/>
  <c r="BD87" i="1"/>
  <c r="BC87" i="1"/>
  <c r="BB87" i="1"/>
  <c r="AZ87" i="1"/>
  <c r="AX87" i="1"/>
  <c r="AW87" i="1"/>
  <c r="AT87" i="1"/>
  <c r="AQ87" i="1"/>
  <c r="AP87" i="1"/>
  <c r="AM87" i="1"/>
  <c r="AL87" i="1"/>
  <c r="AI87" i="1"/>
  <c r="AF87" i="1"/>
  <c r="AE87" i="1"/>
  <c r="AB87" i="1"/>
  <c r="AA87" i="1"/>
  <c r="X87" i="1"/>
  <c r="U87" i="1"/>
  <c r="P87" i="1"/>
  <c r="L87" i="1"/>
  <c r="H87" i="1"/>
  <c r="BD86" i="1"/>
  <c r="BC86" i="1"/>
  <c r="BB86" i="1"/>
  <c r="AZ86" i="1"/>
  <c r="AX86" i="1"/>
  <c r="AW86" i="1"/>
  <c r="AT86" i="1"/>
  <c r="AQ86" i="1"/>
  <c r="AP86" i="1"/>
  <c r="AM86" i="1"/>
  <c r="AL86" i="1"/>
  <c r="AI86" i="1"/>
  <c r="AF86" i="1"/>
  <c r="AE86" i="1"/>
  <c r="AB86" i="1"/>
  <c r="AA86" i="1"/>
  <c r="X86" i="1"/>
  <c r="U86" i="1"/>
  <c r="P86" i="1"/>
  <c r="L86" i="1"/>
  <c r="H86" i="1"/>
  <c r="H47" i="1"/>
  <c r="H45" i="1"/>
  <c r="AB44" i="1"/>
  <c r="AB45" i="1"/>
  <c r="X45" i="1"/>
  <c r="U45" i="1"/>
  <c r="P82" i="1"/>
  <c r="P83" i="1"/>
  <c r="P84" i="1"/>
  <c r="AY84" i="1" s="1"/>
  <c r="P85" i="1"/>
  <c r="BD85" i="1"/>
  <c r="BC85" i="1"/>
  <c r="BB85" i="1"/>
  <c r="AZ85" i="1"/>
  <c r="AX85" i="1"/>
  <c r="AW85" i="1"/>
  <c r="AT85" i="1"/>
  <c r="AQ85" i="1"/>
  <c r="AP85" i="1"/>
  <c r="AM85" i="1"/>
  <c r="AL85" i="1"/>
  <c r="AI85" i="1"/>
  <c r="AF85" i="1"/>
  <c r="AE85" i="1"/>
  <c r="AB85" i="1"/>
  <c r="AA85" i="1"/>
  <c r="X85" i="1"/>
  <c r="U85" i="1"/>
  <c r="L85" i="1"/>
  <c r="H85" i="1"/>
  <c r="BD84" i="1"/>
  <c r="BC84" i="1"/>
  <c r="BB84" i="1"/>
  <c r="AZ84" i="1"/>
  <c r="AX84" i="1"/>
  <c r="AW84" i="1"/>
  <c r="AT84" i="1"/>
  <c r="AQ84" i="1"/>
  <c r="AP84" i="1"/>
  <c r="AM84" i="1"/>
  <c r="AL84" i="1"/>
  <c r="AI84" i="1"/>
  <c r="AF84" i="1"/>
  <c r="AE84" i="1"/>
  <c r="AB84" i="1"/>
  <c r="AA84" i="1"/>
  <c r="X84" i="1"/>
  <c r="U84" i="1"/>
  <c r="L84" i="1"/>
  <c r="H84" i="1"/>
  <c r="P76" i="1"/>
  <c r="P45" i="1"/>
  <c r="L76" i="1"/>
  <c r="L45" i="1"/>
  <c r="H78" i="1"/>
  <c r="H77" i="1"/>
  <c r="H76" i="1"/>
  <c r="H44" i="1"/>
  <c r="H43" i="1"/>
  <c r="H42" i="1"/>
  <c r="H41" i="1"/>
  <c r="H40" i="1"/>
  <c r="H39" i="1"/>
  <c r="H37" i="1"/>
  <c r="H35" i="1"/>
  <c r="H24" i="1"/>
  <c r="AE78" i="1"/>
  <c r="BD83" i="1"/>
  <c r="BC83" i="1"/>
  <c r="BB83" i="1"/>
  <c r="AZ83" i="1"/>
  <c r="AX83" i="1"/>
  <c r="AW83" i="1"/>
  <c r="AT83" i="1"/>
  <c r="AQ83" i="1"/>
  <c r="AP83" i="1"/>
  <c r="AM83" i="1"/>
  <c r="AL83" i="1"/>
  <c r="AI83" i="1"/>
  <c r="AF83" i="1"/>
  <c r="AE83" i="1"/>
  <c r="AB83" i="1"/>
  <c r="AA83" i="1"/>
  <c r="X83" i="1"/>
  <c r="U83" i="1"/>
  <c r="L83" i="1"/>
  <c r="H83" i="1"/>
  <c r="BD82" i="1"/>
  <c r="BC82" i="1"/>
  <c r="BB82" i="1"/>
  <c r="AZ82" i="1"/>
  <c r="AX82" i="1"/>
  <c r="AW82" i="1"/>
  <c r="AT82" i="1"/>
  <c r="AQ82" i="1"/>
  <c r="AP82" i="1"/>
  <c r="AM82" i="1"/>
  <c r="AL82" i="1"/>
  <c r="AI82" i="1"/>
  <c r="AF82" i="1"/>
  <c r="AE82" i="1"/>
  <c r="AB82" i="1"/>
  <c r="AA82" i="1"/>
  <c r="X82" i="1"/>
  <c r="U82" i="1"/>
  <c r="L82" i="1"/>
  <c r="H82" i="1"/>
  <c r="AW76" i="1"/>
  <c r="AX76" i="1"/>
  <c r="AZ76" i="1"/>
  <c r="BB76" i="1"/>
  <c r="BC76" i="1"/>
  <c r="BD76" i="1"/>
  <c r="AW77" i="1"/>
  <c r="AX77" i="1"/>
  <c r="AZ77" i="1"/>
  <c r="BB77" i="1"/>
  <c r="BC77" i="1"/>
  <c r="BD77" i="1"/>
  <c r="AW78" i="1"/>
  <c r="AX78" i="1"/>
  <c r="AZ78" i="1"/>
  <c r="BB78" i="1"/>
  <c r="BC78" i="1"/>
  <c r="BD78" i="1"/>
  <c r="AW79" i="1"/>
  <c r="AX79" i="1"/>
  <c r="AZ79" i="1"/>
  <c r="BB79" i="1"/>
  <c r="BC79" i="1"/>
  <c r="BD79" i="1"/>
  <c r="AW80" i="1"/>
  <c r="AX80" i="1"/>
  <c r="AZ80" i="1"/>
  <c r="BB80" i="1"/>
  <c r="BC80" i="1"/>
  <c r="BD80" i="1"/>
  <c r="AW81" i="1"/>
  <c r="AX81" i="1"/>
  <c r="AZ81" i="1"/>
  <c r="BB81" i="1"/>
  <c r="BC81" i="1"/>
  <c r="BD81" i="1"/>
  <c r="AW39" i="1"/>
  <c r="AX39" i="1"/>
  <c r="AZ39" i="1"/>
  <c r="BB39" i="1"/>
  <c r="BC39" i="1"/>
  <c r="BD39" i="1"/>
  <c r="AW40" i="1"/>
  <c r="AX40" i="1"/>
  <c r="AZ40" i="1"/>
  <c r="BB40" i="1"/>
  <c r="BC40" i="1"/>
  <c r="BD40" i="1"/>
  <c r="AW41" i="1"/>
  <c r="AX41" i="1"/>
  <c r="AZ41" i="1"/>
  <c r="BB41" i="1"/>
  <c r="BC41" i="1"/>
  <c r="BD41" i="1"/>
  <c r="AW42" i="1"/>
  <c r="AX42" i="1"/>
  <c r="AZ42" i="1"/>
  <c r="BB42" i="1"/>
  <c r="BC42" i="1"/>
  <c r="BD42" i="1"/>
  <c r="AW43" i="1"/>
  <c r="AX43" i="1"/>
  <c r="AZ43" i="1"/>
  <c r="BB43" i="1"/>
  <c r="BC43" i="1"/>
  <c r="BD43" i="1"/>
  <c r="AW44" i="1"/>
  <c r="AX44" i="1"/>
  <c r="AZ44" i="1"/>
  <c r="BB44" i="1"/>
  <c r="BC44" i="1"/>
  <c r="BD44" i="1"/>
  <c r="AW37" i="1"/>
  <c r="AX37" i="1"/>
  <c r="AZ37" i="1"/>
  <c r="BB37" i="1"/>
  <c r="BC37" i="1"/>
  <c r="BD37" i="1"/>
  <c r="AW35" i="1"/>
  <c r="AX35" i="1"/>
  <c r="AZ35" i="1"/>
  <c r="BB35" i="1"/>
  <c r="BC35" i="1"/>
  <c r="BD35" i="1"/>
  <c r="AW24" i="1"/>
  <c r="AX24" i="1"/>
  <c r="AZ24" i="1"/>
  <c r="BB24" i="1"/>
  <c r="BC24" i="1"/>
  <c r="BD24" i="1"/>
  <c r="AW22" i="1"/>
  <c r="AX22" i="1"/>
  <c r="AZ22" i="1"/>
  <c r="BB22" i="1"/>
  <c r="BC22" i="1"/>
  <c r="BD22" i="1"/>
  <c r="AW20" i="1"/>
  <c r="AX20" i="1"/>
  <c r="AZ20" i="1"/>
  <c r="BB20" i="1"/>
  <c r="BC20" i="1"/>
  <c r="BD20" i="1"/>
  <c r="AW13" i="1"/>
  <c r="AX13" i="1"/>
  <c r="AZ13" i="1"/>
  <c r="BB13" i="1"/>
  <c r="BC13" i="1"/>
  <c r="BD13" i="1"/>
  <c r="AT76" i="1"/>
  <c r="AT77" i="1"/>
  <c r="AT78" i="1"/>
  <c r="AT79" i="1"/>
  <c r="AT80" i="1"/>
  <c r="AT81" i="1"/>
  <c r="AT39" i="1"/>
  <c r="AT40" i="1"/>
  <c r="AT41" i="1"/>
  <c r="AT42" i="1"/>
  <c r="AT43" i="1"/>
  <c r="AT44" i="1"/>
  <c r="AT37" i="1"/>
  <c r="AT35" i="1"/>
  <c r="AT24" i="1"/>
  <c r="AT22" i="1"/>
  <c r="AT20" i="1"/>
  <c r="AT13" i="1"/>
  <c r="AP76" i="1"/>
  <c r="AQ76" i="1"/>
  <c r="AP77" i="1"/>
  <c r="AQ77" i="1"/>
  <c r="AP78" i="1"/>
  <c r="AQ78" i="1"/>
  <c r="AP79" i="1"/>
  <c r="AQ79" i="1"/>
  <c r="AP80" i="1"/>
  <c r="AQ80" i="1"/>
  <c r="AP81" i="1"/>
  <c r="AQ81" i="1"/>
  <c r="AP39" i="1"/>
  <c r="AQ39" i="1"/>
  <c r="AP40" i="1"/>
  <c r="AQ40" i="1"/>
  <c r="AP41" i="1"/>
  <c r="AQ41" i="1"/>
  <c r="AP42" i="1"/>
  <c r="AQ42" i="1"/>
  <c r="AP43" i="1"/>
  <c r="AQ43" i="1"/>
  <c r="AP44" i="1"/>
  <c r="AQ44" i="1"/>
  <c r="AP37" i="1"/>
  <c r="AQ37" i="1"/>
  <c r="AP35" i="1"/>
  <c r="AQ35" i="1"/>
  <c r="AP24" i="1"/>
  <c r="AQ24" i="1"/>
  <c r="AP22" i="1"/>
  <c r="AQ22" i="1"/>
  <c r="AP20" i="1"/>
  <c r="AQ20" i="1"/>
  <c r="AP13" i="1"/>
  <c r="AQ13" i="1"/>
  <c r="AP11" i="1"/>
  <c r="AQ11" i="1"/>
  <c r="AL76" i="1"/>
  <c r="AM76" i="1"/>
  <c r="AL77" i="1"/>
  <c r="AM77" i="1"/>
  <c r="AL78" i="1"/>
  <c r="AM78" i="1"/>
  <c r="AL79" i="1"/>
  <c r="AM79" i="1"/>
  <c r="AL80" i="1"/>
  <c r="AM80" i="1"/>
  <c r="AL81" i="1"/>
  <c r="AM81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37" i="1"/>
  <c r="AM37" i="1"/>
  <c r="AL35" i="1"/>
  <c r="AM35" i="1"/>
  <c r="AL24" i="1"/>
  <c r="AM24" i="1"/>
  <c r="AL22" i="1"/>
  <c r="AM22" i="1"/>
  <c r="AL20" i="1"/>
  <c r="AM20" i="1"/>
  <c r="AL13" i="1"/>
  <c r="AM13" i="1"/>
  <c r="AL11" i="1"/>
  <c r="AM11" i="1"/>
  <c r="AI76" i="1"/>
  <c r="AI77" i="1"/>
  <c r="AI78" i="1"/>
  <c r="AI79" i="1"/>
  <c r="AI80" i="1"/>
  <c r="AI81" i="1"/>
  <c r="AI39" i="1"/>
  <c r="AI40" i="1"/>
  <c r="AI41" i="1"/>
  <c r="AI42" i="1"/>
  <c r="AI43" i="1"/>
  <c r="AI44" i="1"/>
  <c r="AI37" i="1"/>
  <c r="AI35" i="1"/>
  <c r="AI24" i="1"/>
  <c r="AI22" i="1"/>
  <c r="AI20" i="1"/>
  <c r="AI13" i="1"/>
  <c r="AI11" i="1"/>
  <c r="AE76" i="1"/>
  <c r="AF76" i="1"/>
  <c r="AE77" i="1"/>
  <c r="AF77" i="1"/>
  <c r="AF78" i="1"/>
  <c r="AE79" i="1"/>
  <c r="AF79" i="1"/>
  <c r="AE80" i="1"/>
  <c r="AF80" i="1"/>
  <c r="AE81" i="1"/>
  <c r="AF81" i="1"/>
  <c r="AE39" i="1"/>
  <c r="AF39" i="1"/>
  <c r="AE40" i="1"/>
  <c r="AF40" i="1"/>
  <c r="AE41" i="1"/>
  <c r="AF41" i="1"/>
  <c r="AE42" i="1"/>
  <c r="AF42" i="1"/>
  <c r="AE43" i="1"/>
  <c r="AF43" i="1"/>
  <c r="AE44" i="1"/>
  <c r="AF44" i="1"/>
  <c r="AE37" i="1"/>
  <c r="AF37" i="1"/>
  <c r="AE35" i="1"/>
  <c r="AF35" i="1"/>
  <c r="AE24" i="1"/>
  <c r="AF24" i="1"/>
  <c r="AE22" i="1"/>
  <c r="AF22" i="1"/>
  <c r="AE20" i="1"/>
  <c r="AF20" i="1"/>
  <c r="AE13" i="1"/>
  <c r="AF13" i="1"/>
  <c r="AE11" i="1"/>
  <c r="AF11" i="1"/>
  <c r="AA76" i="1"/>
  <c r="AB76" i="1"/>
  <c r="AA77" i="1"/>
  <c r="AB77" i="1"/>
  <c r="AA78" i="1"/>
  <c r="AB78" i="1"/>
  <c r="AA79" i="1"/>
  <c r="AB79" i="1"/>
  <c r="AA80" i="1"/>
  <c r="AB80" i="1"/>
  <c r="AA81" i="1"/>
  <c r="AB81" i="1"/>
  <c r="AA39" i="1"/>
  <c r="AB39" i="1"/>
  <c r="AA40" i="1"/>
  <c r="AB40" i="1"/>
  <c r="AA41" i="1"/>
  <c r="AB41" i="1"/>
  <c r="AA42" i="1"/>
  <c r="AB42" i="1"/>
  <c r="AA43" i="1"/>
  <c r="AB43" i="1"/>
  <c r="AA44" i="1"/>
  <c r="AA37" i="1"/>
  <c r="AB37" i="1"/>
  <c r="AA35" i="1"/>
  <c r="AB35" i="1"/>
  <c r="AA24" i="1"/>
  <c r="AB24" i="1"/>
  <c r="AA22" i="1"/>
  <c r="AB22" i="1"/>
  <c r="AA20" i="1"/>
  <c r="AB20" i="1"/>
  <c r="AA13" i="1"/>
  <c r="AB13" i="1"/>
  <c r="AA11" i="1"/>
  <c r="AB11" i="1"/>
  <c r="X76" i="1"/>
  <c r="X77" i="1"/>
  <c r="X78" i="1"/>
  <c r="X79" i="1"/>
  <c r="X80" i="1"/>
  <c r="X81" i="1"/>
  <c r="X39" i="1"/>
  <c r="X40" i="1"/>
  <c r="X41" i="1"/>
  <c r="X42" i="1"/>
  <c r="X43" i="1"/>
  <c r="X44" i="1"/>
  <c r="X37" i="1"/>
  <c r="X35" i="1"/>
  <c r="X24" i="1"/>
  <c r="X22" i="1"/>
  <c r="X20" i="1"/>
  <c r="X13" i="1"/>
  <c r="U76" i="1"/>
  <c r="U77" i="1"/>
  <c r="U78" i="1"/>
  <c r="U79" i="1"/>
  <c r="U80" i="1"/>
  <c r="U81" i="1"/>
  <c r="U39" i="1"/>
  <c r="U40" i="1"/>
  <c r="U41" i="1"/>
  <c r="U42" i="1"/>
  <c r="U43" i="1"/>
  <c r="U44" i="1"/>
  <c r="U37" i="1"/>
  <c r="U35" i="1"/>
  <c r="U24" i="1"/>
  <c r="U22" i="1"/>
  <c r="U20" i="1"/>
  <c r="U13" i="1"/>
  <c r="P77" i="1"/>
  <c r="P78" i="1"/>
  <c r="P79" i="1"/>
  <c r="P80" i="1"/>
  <c r="P81" i="1"/>
  <c r="P39" i="1"/>
  <c r="P40" i="1"/>
  <c r="P41" i="1"/>
  <c r="P42" i="1"/>
  <c r="P43" i="1"/>
  <c r="P44" i="1"/>
  <c r="P37" i="1"/>
  <c r="P35" i="1"/>
  <c r="P24" i="1"/>
  <c r="P22" i="1"/>
  <c r="P20" i="1"/>
  <c r="P13" i="1"/>
  <c r="L77" i="1"/>
  <c r="L78" i="1"/>
  <c r="L79" i="1"/>
  <c r="L80" i="1"/>
  <c r="L81" i="1"/>
  <c r="L39" i="1"/>
  <c r="L40" i="1"/>
  <c r="L41" i="1"/>
  <c r="L42" i="1"/>
  <c r="L43" i="1"/>
  <c r="L44" i="1"/>
  <c r="L37" i="1"/>
  <c r="L35" i="1"/>
  <c r="L24" i="1"/>
  <c r="L22" i="1"/>
  <c r="L20" i="1"/>
  <c r="L13" i="1"/>
  <c r="H80" i="1"/>
  <c r="H81" i="1"/>
  <c r="H79" i="1"/>
  <c r="AY38" i="1"/>
  <c r="AW6" i="1"/>
  <c r="AX6" i="1"/>
  <c r="AW7" i="1"/>
  <c r="AX7" i="1"/>
  <c r="AW8" i="1"/>
  <c r="AX8" i="1"/>
  <c r="AW9" i="1"/>
  <c r="AX9" i="1"/>
  <c r="AW10" i="1"/>
  <c r="AX10" i="1"/>
  <c r="AW11" i="1"/>
  <c r="AX11" i="1"/>
  <c r="AW12" i="1"/>
  <c r="AX12" i="1"/>
  <c r="AW15" i="1"/>
  <c r="AX15" i="1"/>
  <c r="AW14" i="1"/>
  <c r="AX14" i="1"/>
  <c r="AW17" i="1"/>
  <c r="AX17" i="1"/>
  <c r="AW16" i="1"/>
  <c r="AX16" i="1"/>
  <c r="AW19" i="1"/>
  <c r="AX19" i="1"/>
  <c r="AW18" i="1"/>
  <c r="AX18" i="1"/>
  <c r="AW21" i="1"/>
  <c r="AX21" i="1"/>
  <c r="AW23" i="1"/>
  <c r="AX23" i="1"/>
  <c r="AW25" i="1"/>
  <c r="AX25" i="1"/>
  <c r="AW26" i="1"/>
  <c r="AX26" i="1"/>
  <c r="AW27" i="1"/>
  <c r="AX27" i="1"/>
  <c r="AW28" i="1"/>
  <c r="AX28" i="1"/>
  <c r="AW29" i="1"/>
  <c r="AX29" i="1"/>
  <c r="AW30" i="1"/>
  <c r="AX30" i="1"/>
  <c r="AW31" i="1"/>
  <c r="AX31" i="1"/>
  <c r="AW32" i="1"/>
  <c r="AX32" i="1"/>
  <c r="AW33" i="1"/>
  <c r="AX33" i="1"/>
  <c r="AW34" i="1"/>
  <c r="AX34" i="1"/>
  <c r="AX36" i="1"/>
  <c r="AX38" i="1"/>
  <c r="AW49" i="1"/>
  <c r="AX49" i="1"/>
  <c r="AW50" i="1"/>
  <c r="AX50" i="1"/>
  <c r="AW51" i="1"/>
  <c r="AX51" i="1"/>
  <c r="AW52" i="1"/>
  <c r="AX52" i="1"/>
  <c r="AW53" i="1"/>
  <c r="AX53" i="1"/>
  <c r="AW54" i="1"/>
  <c r="AX54" i="1"/>
  <c r="AW55" i="1"/>
  <c r="AX55" i="1"/>
  <c r="AW56" i="1"/>
  <c r="AX56" i="1"/>
  <c r="AW57" i="1"/>
  <c r="AX57" i="1"/>
  <c r="AW58" i="1"/>
  <c r="AX58" i="1"/>
  <c r="AW59" i="1"/>
  <c r="AX59" i="1"/>
  <c r="AW60" i="1"/>
  <c r="AX60" i="1"/>
  <c r="AW61" i="1"/>
  <c r="AX61" i="1"/>
  <c r="AW62" i="1"/>
  <c r="AX62" i="1"/>
  <c r="AW63" i="1"/>
  <c r="AX63" i="1"/>
  <c r="AW64" i="1"/>
  <c r="AX64" i="1"/>
  <c r="AW65" i="1"/>
  <c r="AX65" i="1"/>
  <c r="AW66" i="1"/>
  <c r="AX66" i="1"/>
  <c r="AW67" i="1"/>
  <c r="AX67" i="1"/>
  <c r="AW68" i="1"/>
  <c r="AX68" i="1"/>
  <c r="AW69" i="1"/>
  <c r="AX69" i="1"/>
  <c r="AW70" i="1"/>
  <c r="AX70" i="1"/>
  <c r="AW71" i="1"/>
  <c r="AX71" i="1"/>
  <c r="AW72" i="1"/>
  <c r="AX72" i="1"/>
  <c r="AW73" i="1"/>
  <c r="AX73" i="1"/>
  <c r="AW74" i="1"/>
  <c r="AX74" i="1"/>
  <c r="AW75" i="1"/>
  <c r="AX75" i="1"/>
  <c r="AZ34" i="1"/>
  <c r="BB34" i="1"/>
  <c r="BC34" i="1"/>
  <c r="BD34" i="1"/>
  <c r="AZ36" i="1"/>
  <c r="BB36" i="1"/>
  <c r="BC36" i="1"/>
  <c r="BD36" i="1"/>
  <c r="AZ38" i="1"/>
  <c r="BB38" i="1"/>
  <c r="BC38" i="1"/>
  <c r="BD38" i="1"/>
  <c r="AZ49" i="1"/>
  <c r="BB49" i="1"/>
  <c r="BC49" i="1"/>
  <c r="BD49" i="1"/>
  <c r="AZ50" i="1"/>
  <c r="BB50" i="1"/>
  <c r="BC50" i="1"/>
  <c r="BD50" i="1"/>
  <c r="AZ51" i="1"/>
  <c r="BB51" i="1"/>
  <c r="BC51" i="1"/>
  <c r="BD51" i="1"/>
  <c r="AZ52" i="1"/>
  <c r="BB52" i="1"/>
  <c r="BC52" i="1"/>
  <c r="BD52" i="1"/>
  <c r="AZ53" i="1"/>
  <c r="BB53" i="1"/>
  <c r="BC53" i="1"/>
  <c r="BD53" i="1"/>
  <c r="AZ54" i="1"/>
  <c r="BB54" i="1"/>
  <c r="BC54" i="1"/>
  <c r="BD54" i="1"/>
  <c r="AZ55" i="1"/>
  <c r="BB55" i="1"/>
  <c r="BC55" i="1"/>
  <c r="BD55" i="1"/>
  <c r="AZ56" i="1"/>
  <c r="BB56" i="1"/>
  <c r="BC56" i="1"/>
  <c r="BD56" i="1"/>
  <c r="AZ57" i="1"/>
  <c r="BB57" i="1"/>
  <c r="BC57" i="1"/>
  <c r="BD57" i="1"/>
  <c r="AZ58" i="1"/>
  <c r="BB58" i="1"/>
  <c r="BC58" i="1"/>
  <c r="BD58" i="1"/>
  <c r="AZ59" i="1"/>
  <c r="BB59" i="1"/>
  <c r="BC59" i="1"/>
  <c r="BD59" i="1"/>
  <c r="AZ60" i="1"/>
  <c r="BB60" i="1"/>
  <c r="BC60" i="1"/>
  <c r="BD60" i="1"/>
  <c r="AZ61" i="1"/>
  <c r="BB61" i="1"/>
  <c r="BC61" i="1"/>
  <c r="BD61" i="1"/>
  <c r="AZ62" i="1"/>
  <c r="BB62" i="1"/>
  <c r="BC62" i="1"/>
  <c r="BD62" i="1"/>
  <c r="AZ63" i="1"/>
  <c r="BB63" i="1"/>
  <c r="BC63" i="1"/>
  <c r="BD63" i="1"/>
  <c r="AZ64" i="1"/>
  <c r="BB64" i="1"/>
  <c r="BC64" i="1"/>
  <c r="BD64" i="1"/>
  <c r="AZ65" i="1"/>
  <c r="BB65" i="1"/>
  <c r="BC65" i="1"/>
  <c r="BD65" i="1"/>
  <c r="AZ66" i="1"/>
  <c r="BB66" i="1"/>
  <c r="BC66" i="1"/>
  <c r="BD66" i="1"/>
  <c r="AZ67" i="1"/>
  <c r="BB67" i="1"/>
  <c r="BC67" i="1"/>
  <c r="BD67" i="1"/>
  <c r="AZ68" i="1"/>
  <c r="BB68" i="1"/>
  <c r="BC68" i="1"/>
  <c r="BD68" i="1"/>
  <c r="AZ69" i="1"/>
  <c r="BB69" i="1"/>
  <c r="BC69" i="1"/>
  <c r="BD69" i="1"/>
  <c r="AZ70" i="1"/>
  <c r="BB70" i="1"/>
  <c r="BC70" i="1"/>
  <c r="BD70" i="1"/>
  <c r="AZ71" i="1"/>
  <c r="BB71" i="1"/>
  <c r="BC71" i="1"/>
  <c r="BD71" i="1"/>
  <c r="AZ72" i="1"/>
  <c r="BB72" i="1"/>
  <c r="BC72" i="1"/>
  <c r="BD72" i="1"/>
  <c r="AZ73" i="1"/>
  <c r="BB73" i="1"/>
  <c r="BC73" i="1"/>
  <c r="BD73" i="1"/>
  <c r="AZ74" i="1"/>
  <c r="BB74" i="1"/>
  <c r="BC74" i="1"/>
  <c r="BD74" i="1"/>
  <c r="AZ75" i="1"/>
  <c r="BB75" i="1"/>
  <c r="BC75" i="1"/>
  <c r="BD75" i="1"/>
  <c r="L6" i="1"/>
  <c r="L7" i="1"/>
  <c r="L8" i="1"/>
  <c r="L9" i="1"/>
  <c r="L10" i="1"/>
  <c r="L11" i="1"/>
  <c r="L12" i="1"/>
  <c r="L15" i="1"/>
  <c r="L14" i="1"/>
  <c r="L17" i="1"/>
  <c r="L16" i="1"/>
  <c r="L19" i="1"/>
  <c r="L18" i="1"/>
  <c r="L21" i="1"/>
  <c r="L23" i="1"/>
  <c r="L25" i="1"/>
  <c r="L26" i="1"/>
  <c r="L27" i="1"/>
  <c r="L28" i="1"/>
  <c r="L29" i="1"/>
  <c r="L30" i="1"/>
  <c r="L31" i="1"/>
  <c r="L32" i="1"/>
  <c r="L33" i="1"/>
  <c r="L34" i="1"/>
  <c r="L36" i="1"/>
  <c r="L3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H6" i="1"/>
  <c r="H7" i="1"/>
  <c r="H8" i="1"/>
  <c r="H9" i="1"/>
  <c r="H10" i="1"/>
  <c r="H11" i="1"/>
  <c r="H12" i="1"/>
  <c r="H13" i="1"/>
  <c r="H15" i="1"/>
  <c r="H14" i="1"/>
  <c r="H17" i="1"/>
  <c r="H16" i="1"/>
  <c r="H19" i="1"/>
  <c r="H18" i="1"/>
  <c r="H20" i="1"/>
  <c r="H21" i="1"/>
  <c r="H22" i="1"/>
  <c r="H23" i="1"/>
  <c r="H25" i="1"/>
  <c r="H26" i="1"/>
  <c r="H27" i="1"/>
  <c r="H28" i="1"/>
  <c r="H29" i="1"/>
  <c r="H30" i="1"/>
  <c r="H31" i="1"/>
  <c r="H32" i="1"/>
  <c r="H33" i="1"/>
  <c r="H34" i="1"/>
  <c r="H36" i="1"/>
  <c r="H3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AT72" i="1"/>
  <c r="AT73" i="1"/>
  <c r="AT74" i="1"/>
  <c r="AT75" i="1"/>
  <c r="AT36" i="1"/>
  <c r="AT38" i="1"/>
  <c r="AT11" i="1"/>
  <c r="AP72" i="1"/>
  <c r="AQ72" i="1"/>
  <c r="AP73" i="1"/>
  <c r="AQ73" i="1"/>
  <c r="AP74" i="1"/>
  <c r="AQ74" i="1"/>
  <c r="AP75" i="1"/>
  <c r="AQ75" i="1"/>
  <c r="AP36" i="1"/>
  <c r="AQ36" i="1"/>
  <c r="AP38" i="1"/>
  <c r="AQ38" i="1"/>
  <c r="AL72" i="1"/>
  <c r="AM72" i="1"/>
  <c r="AL73" i="1"/>
  <c r="AM73" i="1"/>
  <c r="AL74" i="1"/>
  <c r="AM74" i="1"/>
  <c r="AL75" i="1"/>
  <c r="AM75" i="1"/>
  <c r="AL36" i="1"/>
  <c r="AM36" i="1"/>
  <c r="AL38" i="1"/>
  <c r="AM38" i="1"/>
  <c r="AE72" i="1"/>
  <c r="AF72" i="1"/>
  <c r="AE73" i="1"/>
  <c r="AF73" i="1"/>
  <c r="AE74" i="1"/>
  <c r="AF74" i="1"/>
  <c r="AE75" i="1"/>
  <c r="AF75" i="1"/>
  <c r="AE36" i="1"/>
  <c r="AF36" i="1"/>
  <c r="AE38" i="1"/>
  <c r="AF38" i="1"/>
  <c r="AA72" i="1"/>
  <c r="AB72" i="1"/>
  <c r="AA73" i="1"/>
  <c r="AB73" i="1"/>
  <c r="AA74" i="1"/>
  <c r="AB74" i="1"/>
  <c r="AA75" i="1"/>
  <c r="AB75" i="1"/>
  <c r="AA36" i="1"/>
  <c r="AB36" i="1"/>
  <c r="AA38" i="1"/>
  <c r="AB38" i="1"/>
  <c r="X72" i="1"/>
  <c r="X73" i="1"/>
  <c r="X74" i="1"/>
  <c r="X75" i="1"/>
  <c r="X36" i="1"/>
  <c r="X38" i="1"/>
  <c r="U72" i="1"/>
  <c r="U73" i="1"/>
  <c r="U74" i="1"/>
  <c r="U75" i="1"/>
  <c r="U36" i="1"/>
  <c r="U38" i="1"/>
  <c r="U11" i="1"/>
  <c r="P72" i="1"/>
  <c r="P73" i="1"/>
  <c r="P74" i="1"/>
  <c r="P75" i="1"/>
  <c r="P36" i="1"/>
  <c r="P38" i="1"/>
  <c r="G75" i="1"/>
  <c r="H75" i="1" s="1"/>
  <c r="AE70" i="1"/>
  <c r="AF70" i="1"/>
  <c r="AE71" i="1"/>
  <c r="AF71" i="1"/>
  <c r="AE68" i="1"/>
  <c r="AF68" i="1"/>
  <c r="AZ5" i="1"/>
  <c r="BB5" i="1"/>
  <c r="BC5" i="1"/>
  <c r="BD5" i="1"/>
  <c r="AZ6" i="1"/>
  <c r="BB6" i="1"/>
  <c r="BC6" i="1"/>
  <c r="BD6" i="1"/>
  <c r="AZ7" i="1"/>
  <c r="BB7" i="1"/>
  <c r="BC7" i="1"/>
  <c r="BD7" i="1"/>
  <c r="AZ8" i="1"/>
  <c r="BB8" i="1"/>
  <c r="BD8" i="1"/>
  <c r="AZ9" i="1"/>
  <c r="BB9" i="1"/>
  <c r="BC9" i="1"/>
  <c r="BD9" i="1"/>
  <c r="AZ10" i="1"/>
  <c r="BB10" i="1"/>
  <c r="BC10" i="1"/>
  <c r="BD10" i="1"/>
  <c r="AZ11" i="1"/>
  <c r="BB11" i="1"/>
  <c r="BC11" i="1"/>
  <c r="BD11" i="1"/>
  <c r="AZ12" i="1"/>
  <c r="BB12" i="1"/>
  <c r="BC12" i="1"/>
  <c r="BD12" i="1"/>
  <c r="AZ15" i="1"/>
  <c r="BB15" i="1"/>
  <c r="BC15" i="1"/>
  <c r="AZ14" i="1"/>
  <c r="BB14" i="1"/>
  <c r="BC14" i="1"/>
  <c r="BD14" i="1"/>
  <c r="AZ17" i="1"/>
  <c r="BB17" i="1"/>
  <c r="BC17" i="1"/>
  <c r="BD17" i="1"/>
  <c r="AZ16" i="1"/>
  <c r="BB16" i="1"/>
  <c r="BC16" i="1"/>
  <c r="BD16" i="1"/>
  <c r="AZ19" i="1"/>
  <c r="BB19" i="1"/>
  <c r="BC19" i="1"/>
  <c r="BD19" i="1"/>
  <c r="AZ18" i="1"/>
  <c r="BB18" i="1"/>
  <c r="BC18" i="1"/>
  <c r="BD18" i="1"/>
  <c r="AZ21" i="1"/>
  <c r="BB21" i="1"/>
  <c r="BC21" i="1"/>
  <c r="BD21" i="1"/>
  <c r="AZ23" i="1"/>
  <c r="BB23" i="1"/>
  <c r="BC23" i="1"/>
  <c r="BD23" i="1"/>
  <c r="AZ25" i="1"/>
  <c r="BB25" i="1"/>
  <c r="BC25" i="1"/>
  <c r="BD25" i="1"/>
  <c r="AZ26" i="1"/>
  <c r="BB26" i="1"/>
  <c r="BC26" i="1"/>
  <c r="BD26" i="1"/>
  <c r="AZ27" i="1"/>
  <c r="BB27" i="1"/>
  <c r="BC27" i="1"/>
  <c r="BD27" i="1"/>
  <c r="AZ28" i="1"/>
  <c r="BB28" i="1"/>
  <c r="BC28" i="1"/>
  <c r="BD28" i="1"/>
  <c r="AZ29" i="1"/>
  <c r="BB29" i="1"/>
  <c r="BC29" i="1"/>
  <c r="BD29" i="1"/>
  <c r="AZ30" i="1"/>
  <c r="BB30" i="1"/>
  <c r="BC30" i="1"/>
  <c r="BD30" i="1"/>
  <c r="AZ31" i="1"/>
  <c r="BB31" i="1"/>
  <c r="BC31" i="1"/>
  <c r="BD31" i="1"/>
  <c r="AZ32" i="1"/>
  <c r="BB32" i="1"/>
  <c r="BC32" i="1"/>
  <c r="BD32" i="1"/>
  <c r="AZ33" i="1"/>
  <c r="BB33" i="1"/>
  <c r="BC33" i="1"/>
  <c r="BD33" i="1"/>
  <c r="AW5" i="1"/>
  <c r="AX5" i="1"/>
  <c r="AT6" i="1"/>
  <c r="AT7" i="1"/>
  <c r="AT8" i="1"/>
  <c r="AT9" i="1"/>
  <c r="AT10" i="1"/>
  <c r="AT12" i="1"/>
  <c r="AT15" i="1"/>
  <c r="AT14" i="1"/>
  <c r="AT17" i="1"/>
  <c r="AT16" i="1"/>
  <c r="AT19" i="1"/>
  <c r="AT18" i="1"/>
  <c r="AT21" i="1"/>
  <c r="AT23" i="1"/>
  <c r="AT25" i="1"/>
  <c r="AT26" i="1"/>
  <c r="AT27" i="1"/>
  <c r="AT28" i="1"/>
  <c r="AT29" i="1"/>
  <c r="AT30" i="1"/>
  <c r="AT31" i="1"/>
  <c r="AT32" i="1"/>
  <c r="AT33" i="1"/>
  <c r="AT34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P5" i="1"/>
  <c r="AQ5" i="1"/>
  <c r="AP6" i="1"/>
  <c r="AQ6" i="1"/>
  <c r="AP7" i="1"/>
  <c r="AQ7" i="1"/>
  <c r="AP8" i="1"/>
  <c r="AQ8" i="1"/>
  <c r="AP9" i="1"/>
  <c r="AQ9" i="1"/>
  <c r="AP10" i="1"/>
  <c r="AQ10" i="1"/>
  <c r="AP12" i="1"/>
  <c r="AQ12" i="1"/>
  <c r="AP15" i="1"/>
  <c r="AQ15" i="1"/>
  <c r="AP14" i="1"/>
  <c r="AQ14" i="1"/>
  <c r="AP17" i="1"/>
  <c r="AQ17" i="1"/>
  <c r="AP16" i="1"/>
  <c r="AQ16" i="1"/>
  <c r="AP19" i="1"/>
  <c r="AQ19" i="1"/>
  <c r="AP18" i="1"/>
  <c r="AQ18" i="1"/>
  <c r="AP21" i="1"/>
  <c r="AQ21" i="1"/>
  <c r="AP23" i="1"/>
  <c r="AQ23" i="1"/>
  <c r="AP25" i="1"/>
  <c r="AQ25" i="1"/>
  <c r="AP26" i="1"/>
  <c r="AQ26" i="1"/>
  <c r="AP27" i="1"/>
  <c r="AQ27" i="1"/>
  <c r="AP28" i="1"/>
  <c r="AQ28" i="1"/>
  <c r="AP29" i="1"/>
  <c r="AQ29" i="1"/>
  <c r="AP30" i="1"/>
  <c r="AQ30" i="1"/>
  <c r="AP31" i="1"/>
  <c r="AQ31" i="1"/>
  <c r="AP32" i="1"/>
  <c r="AQ32" i="1"/>
  <c r="AP33" i="1"/>
  <c r="AQ33" i="1"/>
  <c r="AP34" i="1"/>
  <c r="AQ34" i="1"/>
  <c r="AP49" i="1"/>
  <c r="AQ49" i="1"/>
  <c r="AP50" i="1"/>
  <c r="AQ50" i="1"/>
  <c r="AP51" i="1"/>
  <c r="AQ51" i="1"/>
  <c r="AP52" i="1"/>
  <c r="AQ52" i="1"/>
  <c r="AP53" i="1"/>
  <c r="AQ53" i="1"/>
  <c r="AP54" i="1"/>
  <c r="AQ54" i="1"/>
  <c r="AP55" i="1"/>
  <c r="AQ55" i="1"/>
  <c r="AP56" i="1"/>
  <c r="AQ56" i="1"/>
  <c r="AP57" i="1"/>
  <c r="AQ57" i="1"/>
  <c r="AP58" i="1"/>
  <c r="AQ58" i="1"/>
  <c r="AP59" i="1"/>
  <c r="AQ59" i="1"/>
  <c r="AP60" i="1"/>
  <c r="AQ60" i="1"/>
  <c r="AP61" i="1"/>
  <c r="AQ61" i="1"/>
  <c r="AP62" i="1"/>
  <c r="AQ62" i="1"/>
  <c r="AP63" i="1"/>
  <c r="AQ63" i="1"/>
  <c r="AP64" i="1"/>
  <c r="AQ64" i="1"/>
  <c r="AP65" i="1"/>
  <c r="AQ65" i="1"/>
  <c r="AP66" i="1"/>
  <c r="AQ66" i="1"/>
  <c r="AP67" i="1"/>
  <c r="AQ67" i="1"/>
  <c r="AP68" i="1"/>
  <c r="AQ68" i="1"/>
  <c r="AP69" i="1"/>
  <c r="AQ69" i="1"/>
  <c r="AP70" i="1"/>
  <c r="AQ70" i="1"/>
  <c r="AP71" i="1"/>
  <c r="AQ71" i="1"/>
  <c r="AL5" i="1"/>
  <c r="AM5" i="1"/>
  <c r="AL6" i="1"/>
  <c r="AM6" i="1"/>
  <c r="AL7" i="1"/>
  <c r="AM7" i="1"/>
  <c r="AL8" i="1"/>
  <c r="AM8" i="1"/>
  <c r="AL9" i="1"/>
  <c r="AM9" i="1"/>
  <c r="AL10" i="1"/>
  <c r="AM10" i="1"/>
  <c r="AL12" i="1"/>
  <c r="AM12" i="1"/>
  <c r="AL15" i="1"/>
  <c r="AM15" i="1"/>
  <c r="AL14" i="1"/>
  <c r="AM14" i="1"/>
  <c r="AL17" i="1"/>
  <c r="AM17" i="1"/>
  <c r="AL16" i="1"/>
  <c r="AM16" i="1"/>
  <c r="AL19" i="1"/>
  <c r="AM19" i="1"/>
  <c r="AL18" i="1"/>
  <c r="AM18" i="1"/>
  <c r="AL21" i="1"/>
  <c r="AM21" i="1"/>
  <c r="AL23" i="1"/>
  <c r="AM23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1" i="1"/>
  <c r="AM61" i="1"/>
  <c r="AL62" i="1"/>
  <c r="AM62" i="1"/>
  <c r="AL63" i="1"/>
  <c r="AM63" i="1"/>
  <c r="AL64" i="1"/>
  <c r="AM64" i="1"/>
  <c r="AL65" i="1"/>
  <c r="AM65" i="1"/>
  <c r="AL66" i="1"/>
  <c r="AM66" i="1"/>
  <c r="AL67" i="1"/>
  <c r="AM67" i="1"/>
  <c r="AL68" i="1"/>
  <c r="AM68" i="1"/>
  <c r="AL69" i="1"/>
  <c r="AM69" i="1"/>
  <c r="AL70" i="1"/>
  <c r="AM70" i="1"/>
  <c r="AL71" i="1"/>
  <c r="AM71" i="1"/>
  <c r="AI6" i="1"/>
  <c r="AI7" i="1"/>
  <c r="AI8" i="1"/>
  <c r="AI9" i="1"/>
  <c r="AI10" i="1"/>
  <c r="AI12" i="1"/>
  <c r="AI15" i="1"/>
  <c r="AI14" i="1"/>
  <c r="AI17" i="1"/>
  <c r="AI16" i="1"/>
  <c r="AI19" i="1"/>
  <c r="AI18" i="1"/>
  <c r="AI21" i="1"/>
  <c r="AI23" i="1"/>
  <c r="AI25" i="1"/>
  <c r="AI26" i="1"/>
  <c r="AI27" i="1"/>
  <c r="AI28" i="1"/>
  <c r="AI29" i="1"/>
  <c r="AI30" i="1"/>
  <c r="AI31" i="1"/>
  <c r="AI32" i="1"/>
  <c r="AI33" i="1"/>
  <c r="AI34" i="1"/>
  <c r="AI36" i="1"/>
  <c r="AI3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E6" i="1"/>
  <c r="AF6" i="1"/>
  <c r="AE7" i="1"/>
  <c r="AF7" i="1"/>
  <c r="AE8" i="1"/>
  <c r="AF8" i="1"/>
  <c r="AE9" i="1"/>
  <c r="AF9" i="1"/>
  <c r="AE10" i="1"/>
  <c r="AF10" i="1"/>
  <c r="AE12" i="1"/>
  <c r="AF12" i="1"/>
  <c r="AE15" i="1"/>
  <c r="AF15" i="1"/>
  <c r="AE14" i="1"/>
  <c r="AF14" i="1"/>
  <c r="AE17" i="1"/>
  <c r="AF17" i="1"/>
  <c r="AE16" i="1"/>
  <c r="AF16" i="1"/>
  <c r="AE19" i="1"/>
  <c r="AF19" i="1"/>
  <c r="AE18" i="1"/>
  <c r="AF18" i="1"/>
  <c r="AE21" i="1"/>
  <c r="AF21" i="1"/>
  <c r="AE23" i="1"/>
  <c r="AF23" i="1"/>
  <c r="AE25" i="1"/>
  <c r="AF25" i="1"/>
  <c r="AE26" i="1"/>
  <c r="AF26" i="1"/>
  <c r="AE27" i="1"/>
  <c r="AF27" i="1"/>
  <c r="AE28" i="1"/>
  <c r="AF28" i="1"/>
  <c r="AE29" i="1"/>
  <c r="AF29" i="1"/>
  <c r="AE30" i="1"/>
  <c r="AF30" i="1"/>
  <c r="AE31" i="1"/>
  <c r="AF31" i="1"/>
  <c r="AE32" i="1"/>
  <c r="AF32" i="1"/>
  <c r="AE33" i="1"/>
  <c r="AF33" i="1"/>
  <c r="AE34" i="1"/>
  <c r="AF34" i="1"/>
  <c r="AE49" i="1"/>
  <c r="AF49" i="1"/>
  <c r="AE50" i="1"/>
  <c r="AF50" i="1"/>
  <c r="AE51" i="1"/>
  <c r="AF51" i="1"/>
  <c r="AE52" i="1"/>
  <c r="AF52" i="1"/>
  <c r="AE53" i="1"/>
  <c r="AF53" i="1"/>
  <c r="AE54" i="1"/>
  <c r="AF54" i="1"/>
  <c r="AE55" i="1"/>
  <c r="AF55" i="1"/>
  <c r="AE56" i="1"/>
  <c r="AF56" i="1"/>
  <c r="AE57" i="1"/>
  <c r="AF57" i="1"/>
  <c r="AE58" i="1"/>
  <c r="AF58" i="1"/>
  <c r="AE59" i="1"/>
  <c r="AF59" i="1"/>
  <c r="AE60" i="1"/>
  <c r="AF60" i="1"/>
  <c r="AE61" i="1"/>
  <c r="AF61" i="1"/>
  <c r="AE62" i="1"/>
  <c r="AF62" i="1"/>
  <c r="AE63" i="1"/>
  <c r="AF63" i="1"/>
  <c r="AE64" i="1"/>
  <c r="AF64" i="1"/>
  <c r="AE65" i="1"/>
  <c r="AF65" i="1"/>
  <c r="AE66" i="1"/>
  <c r="AF66" i="1"/>
  <c r="AE67" i="1"/>
  <c r="AF67" i="1"/>
  <c r="AE69" i="1"/>
  <c r="AF69" i="1"/>
  <c r="AA6" i="1"/>
  <c r="AB6" i="1"/>
  <c r="AA7" i="1"/>
  <c r="AB7" i="1"/>
  <c r="AA8" i="1"/>
  <c r="AB8" i="1"/>
  <c r="AA9" i="1"/>
  <c r="AB9" i="1"/>
  <c r="AA10" i="1"/>
  <c r="AB10" i="1"/>
  <c r="AA12" i="1"/>
  <c r="AB12" i="1"/>
  <c r="AA15" i="1"/>
  <c r="AB15" i="1"/>
  <c r="AA14" i="1"/>
  <c r="AB14" i="1"/>
  <c r="AA17" i="1"/>
  <c r="AB17" i="1"/>
  <c r="AA16" i="1"/>
  <c r="AB16" i="1"/>
  <c r="AA19" i="1"/>
  <c r="AB19" i="1"/>
  <c r="AA18" i="1"/>
  <c r="AB18" i="1"/>
  <c r="AA21" i="1"/>
  <c r="AB21" i="1"/>
  <c r="AA23" i="1"/>
  <c r="AB23" i="1"/>
  <c r="AA25" i="1"/>
  <c r="AB25" i="1"/>
  <c r="AA26" i="1"/>
  <c r="AB26" i="1"/>
  <c r="AA27" i="1"/>
  <c r="AB27" i="1"/>
  <c r="AA28" i="1"/>
  <c r="AB28" i="1"/>
  <c r="AA29" i="1"/>
  <c r="AB29" i="1"/>
  <c r="AA30" i="1"/>
  <c r="AB30" i="1"/>
  <c r="AA31" i="1"/>
  <c r="AB31" i="1"/>
  <c r="AA32" i="1"/>
  <c r="AB32" i="1"/>
  <c r="AA33" i="1"/>
  <c r="AB33" i="1"/>
  <c r="AA34" i="1"/>
  <c r="AB34" i="1"/>
  <c r="AA49" i="1"/>
  <c r="AB49" i="1"/>
  <c r="AA50" i="1"/>
  <c r="AB50" i="1"/>
  <c r="AA51" i="1"/>
  <c r="AB51" i="1"/>
  <c r="AA52" i="1"/>
  <c r="AB52" i="1"/>
  <c r="AA53" i="1"/>
  <c r="AB53" i="1"/>
  <c r="AA54" i="1"/>
  <c r="AB54" i="1"/>
  <c r="AA55" i="1"/>
  <c r="AB55" i="1"/>
  <c r="AA56" i="1"/>
  <c r="AB56" i="1"/>
  <c r="AA57" i="1"/>
  <c r="AB57" i="1"/>
  <c r="AA58" i="1"/>
  <c r="AB58" i="1"/>
  <c r="AA59" i="1"/>
  <c r="AB59" i="1"/>
  <c r="AA60" i="1"/>
  <c r="AB60" i="1"/>
  <c r="AA61" i="1"/>
  <c r="AB61" i="1"/>
  <c r="AA62" i="1"/>
  <c r="AB62" i="1"/>
  <c r="AA63" i="1"/>
  <c r="AB63" i="1"/>
  <c r="AA64" i="1"/>
  <c r="AB64" i="1"/>
  <c r="AA65" i="1"/>
  <c r="AB65" i="1"/>
  <c r="AA66" i="1"/>
  <c r="AB66" i="1"/>
  <c r="AA67" i="1"/>
  <c r="AB67" i="1"/>
  <c r="AA68" i="1"/>
  <c r="AB68" i="1"/>
  <c r="AA69" i="1"/>
  <c r="AB69" i="1"/>
  <c r="AA70" i="1"/>
  <c r="AB70" i="1"/>
  <c r="AA71" i="1"/>
  <c r="AB71" i="1"/>
  <c r="X5" i="1"/>
  <c r="X6" i="1"/>
  <c r="X7" i="1"/>
  <c r="X8" i="1"/>
  <c r="X9" i="1"/>
  <c r="X10" i="1"/>
  <c r="X11" i="1"/>
  <c r="X12" i="1"/>
  <c r="X15" i="1"/>
  <c r="X14" i="1"/>
  <c r="X17" i="1"/>
  <c r="X16" i="1"/>
  <c r="X19" i="1"/>
  <c r="X18" i="1"/>
  <c r="X21" i="1"/>
  <c r="X23" i="1"/>
  <c r="X25" i="1"/>
  <c r="X26" i="1"/>
  <c r="X27" i="1"/>
  <c r="X28" i="1"/>
  <c r="X29" i="1"/>
  <c r="X30" i="1"/>
  <c r="X31" i="1"/>
  <c r="X32" i="1"/>
  <c r="X33" i="1"/>
  <c r="X34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U5" i="1"/>
  <c r="U6" i="1"/>
  <c r="U7" i="1"/>
  <c r="U8" i="1"/>
  <c r="U9" i="1"/>
  <c r="U10" i="1"/>
  <c r="U12" i="1"/>
  <c r="U15" i="1"/>
  <c r="U14" i="1"/>
  <c r="U17" i="1"/>
  <c r="U16" i="1"/>
  <c r="U19" i="1"/>
  <c r="U18" i="1"/>
  <c r="U21" i="1"/>
  <c r="U23" i="1"/>
  <c r="U25" i="1"/>
  <c r="U26" i="1"/>
  <c r="U27" i="1"/>
  <c r="U28" i="1"/>
  <c r="U29" i="1"/>
  <c r="U30" i="1"/>
  <c r="U31" i="1"/>
  <c r="U32" i="1"/>
  <c r="U33" i="1"/>
  <c r="U34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4" i="1"/>
  <c r="P6" i="1"/>
  <c r="AY6" i="1" s="1"/>
  <c r="P7" i="1"/>
  <c r="T7" i="1" s="1"/>
  <c r="P8" i="1"/>
  <c r="T8" i="1" s="1"/>
  <c r="P9" i="1"/>
  <c r="T9" i="1" s="1"/>
  <c r="P10" i="1"/>
  <c r="AY10" i="1" s="1"/>
  <c r="P11" i="1"/>
  <c r="T11" i="1" s="1"/>
  <c r="P12" i="1"/>
  <c r="AY12" i="1" s="1"/>
  <c r="P15" i="1"/>
  <c r="AY15" i="1" s="1"/>
  <c r="P14" i="1"/>
  <c r="T14" i="1" s="1"/>
  <c r="P17" i="1"/>
  <c r="T17" i="1" s="1"/>
  <c r="P16" i="1"/>
  <c r="T16" i="1" s="1"/>
  <c r="P19" i="1"/>
  <c r="T19" i="1" s="1"/>
  <c r="P18" i="1"/>
  <c r="T18" i="1" s="1"/>
  <c r="P21" i="1"/>
  <c r="AY21" i="1" s="1"/>
  <c r="P23" i="1"/>
  <c r="AY23" i="1" s="1"/>
  <c r="P25" i="1"/>
  <c r="AY25" i="1" s="1"/>
  <c r="P26" i="1"/>
  <c r="T26" i="1" s="1"/>
  <c r="P27" i="1"/>
  <c r="AY27" i="1" s="1"/>
  <c r="P28" i="1"/>
  <c r="AY28" i="1" s="1"/>
  <c r="P29" i="1"/>
  <c r="T29" i="1" s="1"/>
  <c r="P30" i="1"/>
  <c r="AY30" i="1" s="1"/>
  <c r="P31" i="1"/>
  <c r="T31" i="1" s="1"/>
  <c r="P32" i="1"/>
  <c r="T32" i="1" s="1"/>
  <c r="P33" i="1"/>
  <c r="P34" i="1"/>
  <c r="AY34" i="1" s="1"/>
  <c r="P49" i="1"/>
  <c r="AY49" i="1" s="1"/>
  <c r="P50" i="1"/>
  <c r="P51" i="1"/>
  <c r="AY51" i="1" s="1"/>
  <c r="P52" i="1"/>
  <c r="AY52" i="1" s="1"/>
  <c r="P53" i="1"/>
  <c r="P54" i="1"/>
  <c r="P55" i="1"/>
  <c r="AY55" i="1" s="1"/>
  <c r="P56" i="1"/>
  <c r="AY56" i="1" s="1"/>
  <c r="P57" i="1"/>
  <c r="P58" i="1"/>
  <c r="AY58" i="1" s="1"/>
  <c r="P59" i="1"/>
  <c r="AY59" i="1" s="1"/>
  <c r="P60" i="1"/>
  <c r="P61" i="1"/>
  <c r="P62" i="1"/>
  <c r="AY62" i="1" s="1"/>
  <c r="P63" i="1"/>
  <c r="AY63" i="1" s="1"/>
  <c r="P64" i="1"/>
  <c r="P65" i="1"/>
  <c r="P66" i="1"/>
  <c r="AY66" i="1" s="1"/>
  <c r="P67" i="1"/>
  <c r="P68" i="1"/>
  <c r="P69" i="1"/>
  <c r="P70" i="1"/>
  <c r="AY70" i="1" s="1"/>
  <c r="P71" i="1"/>
  <c r="G74" i="1"/>
  <c r="H74" i="1" s="1"/>
  <c r="AY88" i="1" l="1"/>
  <c r="BA88" i="1" s="1"/>
  <c r="T88" i="1"/>
  <c r="AY89" i="1"/>
  <c r="BA89" i="1" s="1"/>
  <c r="T89" i="1"/>
  <c r="T45" i="1"/>
  <c r="AY45" i="1"/>
  <c r="BA45" i="1" s="1"/>
  <c r="AY47" i="1"/>
  <c r="BA47" i="1" s="1"/>
  <c r="T47" i="1"/>
  <c r="AY86" i="1"/>
  <c r="BA86" i="1" s="1"/>
  <c r="T86" i="1"/>
  <c r="AY87" i="1"/>
  <c r="BA87" i="1" s="1"/>
  <c r="T87" i="1"/>
  <c r="BA84" i="1"/>
  <c r="T84" i="1"/>
  <c r="BA52" i="1"/>
  <c r="AY85" i="1"/>
  <c r="BA85" i="1" s="1"/>
  <c r="T85" i="1"/>
  <c r="AY13" i="1"/>
  <c r="BA13" i="1" s="1"/>
  <c r="T13" i="1"/>
  <c r="AY20" i="1"/>
  <c r="BA20" i="1" s="1"/>
  <c r="T20" i="1"/>
  <c r="AY22" i="1"/>
  <c r="BA22" i="1" s="1"/>
  <c r="T22" i="1"/>
  <c r="AY24" i="1"/>
  <c r="BA24" i="1" s="1"/>
  <c r="T24" i="1"/>
  <c r="AY35" i="1"/>
  <c r="BA35" i="1" s="1"/>
  <c r="T35" i="1"/>
  <c r="AY37" i="1"/>
  <c r="BA37" i="1" s="1"/>
  <c r="T37" i="1"/>
  <c r="AY43" i="1"/>
  <c r="BA43" i="1" s="1"/>
  <c r="T43" i="1"/>
  <c r="AY42" i="1"/>
  <c r="BA42" i="1" s="1"/>
  <c r="T42" i="1"/>
  <c r="AY41" i="1"/>
  <c r="BA41" i="1" s="1"/>
  <c r="T41" i="1"/>
  <c r="AY40" i="1"/>
  <c r="BA40" i="1" s="1"/>
  <c r="T40" i="1"/>
  <c r="AY39" i="1"/>
  <c r="BA39" i="1" s="1"/>
  <c r="T39" i="1"/>
  <c r="AY79" i="1"/>
  <c r="BA79" i="1" s="1"/>
  <c r="T79" i="1"/>
  <c r="AY78" i="1"/>
  <c r="BA78" i="1" s="1"/>
  <c r="T78" i="1"/>
  <c r="AY77" i="1"/>
  <c r="BA77" i="1" s="1"/>
  <c r="T77" i="1"/>
  <c r="AY76" i="1"/>
  <c r="BA76" i="1" s="1"/>
  <c r="T76" i="1"/>
  <c r="AY81" i="1"/>
  <c r="BA81" i="1" s="1"/>
  <c r="T81" i="1"/>
  <c r="AY82" i="1"/>
  <c r="BA82" i="1" s="1"/>
  <c r="T82" i="1"/>
  <c r="AY83" i="1"/>
  <c r="BA83" i="1" s="1"/>
  <c r="T83" i="1"/>
  <c r="AY80" i="1"/>
  <c r="BA80" i="1" s="1"/>
  <c r="T80" i="1"/>
  <c r="T44" i="1"/>
  <c r="AY44" i="1"/>
  <c r="BA44" i="1" s="1"/>
  <c r="BA56" i="1"/>
  <c r="BA34" i="1"/>
  <c r="BA49" i="1"/>
  <c r="BA55" i="1"/>
  <c r="BA70" i="1"/>
  <c r="BA58" i="1"/>
  <c r="BA63" i="1"/>
  <c r="BA51" i="1"/>
  <c r="BA62" i="1"/>
  <c r="BA59" i="1"/>
  <c r="BA66" i="1"/>
  <c r="T71" i="1"/>
  <c r="AY71" i="1"/>
  <c r="BA71" i="1" s="1"/>
  <c r="T69" i="1"/>
  <c r="AY69" i="1"/>
  <c r="BA69" i="1" s="1"/>
  <c r="T68" i="1"/>
  <c r="AY68" i="1"/>
  <c r="BA68" i="1" s="1"/>
  <c r="T67" i="1"/>
  <c r="AY67" i="1"/>
  <c r="BA67" i="1" s="1"/>
  <c r="T65" i="1"/>
  <c r="AY65" i="1"/>
  <c r="BA65" i="1" s="1"/>
  <c r="T64" i="1"/>
  <c r="AY64" i="1"/>
  <c r="BA64" i="1" s="1"/>
  <c r="T61" i="1"/>
  <c r="AY61" i="1"/>
  <c r="BA61" i="1" s="1"/>
  <c r="T60" i="1"/>
  <c r="AY60" i="1"/>
  <c r="BA60" i="1" s="1"/>
  <c r="T57" i="1"/>
  <c r="AY57" i="1"/>
  <c r="BA57" i="1" s="1"/>
  <c r="T54" i="1"/>
  <c r="AY54" i="1"/>
  <c r="BA54" i="1" s="1"/>
  <c r="T53" i="1"/>
  <c r="AY53" i="1"/>
  <c r="BA53" i="1" s="1"/>
  <c r="T50" i="1"/>
  <c r="AY50" i="1"/>
  <c r="BA50" i="1" s="1"/>
  <c r="T38" i="1"/>
  <c r="BA38" i="1"/>
  <c r="T36" i="1"/>
  <c r="AY36" i="1"/>
  <c r="BA36" i="1" s="1"/>
  <c r="T75" i="1"/>
  <c r="AY75" i="1"/>
  <c r="BA75" i="1" s="1"/>
  <c r="T74" i="1"/>
  <c r="AY74" i="1"/>
  <c r="BA74" i="1" s="1"/>
  <c r="T73" i="1"/>
  <c r="AY73" i="1"/>
  <c r="BA73" i="1" s="1"/>
  <c r="T72" i="1"/>
  <c r="AY72" i="1"/>
  <c r="BA72" i="1" s="1"/>
  <c r="BA6" i="1"/>
  <c r="BA27" i="1"/>
  <c r="T63" i="1"/>
  <c r="T59" i="1"/>
  <c r="T51" i="1"/>
  <c r="T33" i="1"/>
  <c r="AY33" i="1"/>
  <c r="BA33" i="1" s="1"/>
  <c r="AY11" i="1"/>
  <c r="BA11" i="1" s="1"/>
  <c r="T70" i="1"/>
  <c r="T23" i="1"/>
  <c r="T12" i="1"/>
  <c r="AY7" i="1"/>
  <c r="BA7" i="1" s="1"/>
  <c r="AY19" i="1"/>
  <c r="BA19" i="1" s="1"/>
  <c r="BA25" i="1"/>
  <c r="AY9" i="1"/>
  <c r="BA9" i="1" s="1"/>
  <c r="T62" i="1"/>
  <c r="T52" i="1"/>
  <c r="T21" i="1"/>
  <c r="BA10" i="1"/>
  <c r="AY8" i="1"/>
  <c r="BA8" i="1" s="1"/>
  <c r="BA30" i="1"/>
  <c r="T25" i="1"/>
  <c r="BA28" i="1"/>
  <c r="BA15" i="1"/>
  <c r="T58" i="1"/>
  <c r="T49" i="1"/>
  <c r="BA12" i="1"/>
  <c r="T10" i="1"/>
  <c r="BA23" i="1"/>
  <c r="AY32" i="1"/>
  <c r="BA32" i="1" s="1"/>
  <c r="T6" i="1"/>
  <c r="AY31" i="1"/>
  <c r="BA31" i="1" s="1"/>
  <c r="T30" i="1"/>
  <c r="T34" i="1"/>
  <c r="AY17" i="1"/>
  <c r="BA17" i="1" s="1"/>
  <c r="BA21" i="1"/>
  <c r="AY29" i="1"/>
  <c r="BA29" i="1" s="1"/>
  <c r="T56" i="1"/>
  <c r="T28" i="1"/>
  <c r="AY26" i="1"/>
  <c r="BA26" i="1" s="1"/>
  <c r="AY14" i="1"/>
  <c r="BA14" i="1" s="1"/>
  <c r="AY16" i="1"/>
  <c r="BA16" i="1" s="1"/>
  <c r="T55" i="1"/>
  <c r="T27" i="1"/>
  <c r="AY18" i="1"/>
  <c r="BA18" i="1" s="1"/>
  <c r="T66" i="1"/>
  <c r="T15" i="1"/>
  <c r="M3" i="2"/>
  <c r="N3" i="2"/>
  <c r="N6" i="2"/>
  <c r="L5" i="1"/>
  <c r="AZ4" i="1"/>
  <c r="AI5" i="1"/>
  <c r="AE5" i="1"/>
  <c r="AF5" i="1"/>
  <c r="AA5" i="1"/>
  <c r="AB5" i="1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B3" i="2"/>
  <c r="A3" i="2"/>
  <c r="AT5" i="1"/>
  <c r="AM4" i="1"/>
  <c r="AL4" i="1"/>
  <c r="P5" i="1"/>
  <c r="AY5" i="1" l="1"/>
  <c r="BA5" i="1" s="1"/>
  <c r="T5" i="1"/>
  <c r="D3" i="2"/>
  <c r="I3" i="2"/>
  <c r="L3" i="2"/>
  <c r="M8" i="2"/>
  <c r="K3" i="2"/>
  <c r="J3" i="2"/>
  <c r="F11" i="2"/>
  <c r="D4" i="2"/>
  <c r="J11" i="2"/>
  <c r="C3" i="2"/>
  <c r="D6" i="2"/>
  <c r="I4" i="2"/>
  <c r="I8" i="2"/>
  <c r="J6" i="2"/>
  <c r="J4" i="2"/>
  <c r="L5" i="2"/>
  <c r="N4" i="2"/>
  <c r="N9" i="2"/>
  <c r="K6" i="2"/>
  <c r="J5" i="2"/>
  <c r="I6" i="2"/>
  <c r="K4" i="2"/>
  <c r="L4" i="2"/>
  <c r="D5" i="2"/>
  <c r="L8" i="2"/>
  <c r="M7" i="2"/>
  <c r="K8" i="2"/>
  <c r="K7" i="2"/>
  <c r="M6" i="2"/>
  <c r="N11" i="2"/>
  <c r="K5" i="2"/>
  <c r="M4" i="2"/>
  <c r="I9" i="2"/>
  <c r="L6" i="2"/>
  <c r="L10" i="2"/>
  <c r="N8" i="2"/>
  <c r="I5" i="2"/>
  <c r="N7" i="2"/>
  <c r="L7" i="2"/>
  <c r="J9" i="2"/>
  <c r="J8" i="2"/>
  <c r="N5" i="2"/>
  <c r="J7" i="2"/>
  <c r="M5" i="2"/>
  <c r="I7" i="2"/>
  <c r="D8" i="2"/>
  <c r="D7" i="2"/>
  <c r="D10" i="2"/>
  <c r="D12" i="2"/>
  <c r="J10" i="2"/>
  <c r="J12" i="2"/>
  <c r="I10" i="2"/>
  <c r="I12" i="2"/>
  <c r="K10" i="2"/>
  <c r="K12" i="2"/>
  <c r="N10" i="2"/>
  <c r="N12" i="2"/>
  <c r="M10" i="2"/>
  <c r="M12" i="2"/>
  <c r="M9" i="2"/>
  <c r="M11" i="2"/>
  <c r="D9" i="2"/>
  <c r="D11" i="2"/>
  <c r="E11" i="2"/>
  <c r="K9" i="2"/>
  <c r="K11" i="2"/>
  <c r="L9" i="2"/>
  <c r="L11" i="2"/>
  <c r="L12" i="2"/>
  <c r="I11" i="2"/>
  <c r="C12" i="2"/>
  <c r="C7" i="2"/>
  <c r="G11" i="2"/>
  <c r="H11" i="2"/>
  <c r="C9" i="2" l="1"/>
  <c r="C11" i="2"/>
  <c r="C6" i="2"/>
  <c r="C4" i="2"/>
  <c r="C5" i="2"/>
  <c r="C8" i="2"/>
  <c r="C10" i="2"/>
  <c r="D8" i="1"/>
  <c r="BC8" i="1" s="1"/>
  <c r="D4" i="1"/>
  <c r="BC4" i="1" s="1"/>
  <c r="BB4" i="1"/>
  <c r="L4" i="1" l="1"/>
  <c r="H5" i="1"/>
  <c r="H4" i="1"/>
  <c r="P4" i="1" l="1"/>
  <c r="BD4" i="1"/>
  <c r="G3" i="2"/>
  <c r="H3" i="2"/>
  <c r="G4" i="2"/>
  <c r="H4" i="2"/>
  <c r="G5" i="2"/>
  <c r="H5" i="2"/>
  <c r="F3" i="2"/>
  <c r="F4" i="2"/>
  <c r="F5" i="2"/>
  <c r="E3" i="2"/>
  <c r="E4" i="2"/>
  <c r="E5" i="2"/>
  <c r="AX4" i="1"/>
  <c r="AW4" i="1"/>
  <c r="AT4" i="1"/>
  <c r="AQ4" i="1"/>
  <c r="AP4" i="1"/>
  <c r="AB4" i="1"/>
  <c r="AA4" i="1"/>
  <c r="AI4" i="1"/>
  <c r="AF4" i="1"/>
  <c r="AE4" i="1"/>
  <c r="X4" i="1"/>
  <c r="AY4" i="1" l="1"/>
  <c r="BA4" i="1" s="1"/>
  <c r="T4" i="1"/>
  <c r="E7" i="2"/>
  <c r="E9" i="2"/>
  <c r="E10" i="2"/>
  <c r="E12" i="2"/>
  <c r="E6" i="2"/>
  <c r="E8" i="2"/>
  <c r="F7" i="2"/>
  <c r="F9" i="2"/>
  <c r="F10" i="2"/>
  <c r="F12" i="2"/>
  <c r="F6" i="2"/>
  <c r="F8" i="2"/>
  <c r="H7" i="2"/>
  <c r="H9" i="2"/>
  <c r="G7" i="2"/>
  <c r="G9" i="2"/>
  <c r="H10" i="2"/>
  <c r="H12" i="2"/>
  <c r="G10" i="2"/>
  <c r="G12" i="2"/>
  <c r="H6" i="2"/>
  <c r="H8" i="2"/>
  <c r="G6" i="2"/>
  <c r="G8" i="2"/>
</calcChain>
</file>

<file path=xl/sharedStrings.xml><?xml version="1.0" encoding="utf-8"?>
<sst xmlns="http://schemas.openxmlformats.org/spreadsheetml/2006/main" count="264" uniqueCount="77">
  <si>
    <t>COORDINADOR MAESTRIA DEL JUEGO</t>
  </si>
  <si>
    <t xml:space="preserve">MAESTRIA DEL JUEGO </t>
  </si>
  <si>
    <t>CAPITULO UNO</t>
  </si>
  <si>
    <t>C2 A CREACION</t>
  </si>
  <si>
    <t>CREACION A RELACION</t>
  </si>
  <si>
    <t xml:space="preserve"> RELACIÓN A GRATITUD</t>
  </si>
  <si>
    <t xml:space="preserve"> GRATITUD AL VIAJE</t>
  </si>
  <si>
    <t>PERDIDOS</t>
  </si>
  <si>
    <t>STATUS DEL EQUIPO</t>
  </si>
  <si>
    <t>CAPITULO DOS</t>
  </si>
  <si>
    <t>CREACIÓN</t>
  </si>
  <si>
    <t>RELACIÓN</t>
  </si>
  <si>
    <t>GRATITUD</t>
  </si>
  <si>
    <t xml:space="preserve">EL VIAJE </t>
  </si>
  <si>
    <t>CMJ</t>
  </si>
  <si>
    <t>SEDE</t>
  </si>
  <si>
    <t>E.#</t>
  </si>
  <si>
    <t>ENROLAMIENTO</t>
  </si>
  <si>
    <t>INICIAN C1</t>
  </si>
  <si>
    <t>TERMINAN CAP 1</t>
  </si>
  <si>
    <t>PAGAN C2</t>
  </si>
  <si>
    <t>PASE</t>
  </si>
  <si>
    <t>INICIAN C2</t>
  </si>
  <si>
    <t>TERMINAN C2</t>
  </si>
  <si>
    <t>PAGOS MJ</t>
  </si>
  <si>
    <t>MANGERS DECLARADOS</t>
  </si>
  <si>
    <t>C2</t>
  </si>
  <si>
    <t>REZAGADOS</t>
  </si>
  <si>
    <t>PX INICIO</t>
  </si>
  <si>
    <t>MANAGERS INICIO</t>
  </si>
  <si>
    <t>PX FINAL</t>
  </si>
  <si>
    <t xml:space="preserve">MANGERS FINAL </t>
  </si>
  <si>
    <t>DESERTORES PX</t>
  </si>
  <si>
    <t>DESERTORES MG</t>
  </si>
  <si>
    <t>ENROLAMIENTO PX</t>
  </si>
  <si>
    <t>ENROLAMIENTO MANAGERS</t>
  </si>
  <si>
    <t>ENROLAMIENTO TOTAL</t>
  </si>
  <si>
    <t>DESERTORES MANAGERS</t>
  </si>
  <si>
    <t>DESERORES MANAGERS</t>
  </si>
  <si>
    <t>NO GRADUADO PX</t>
  </si>
  <si>
    <t>NO GRADUADO MANAGERS</t>
  </si>
  <si>
    <t>PX PERDIDOS EN MJ</t>
  </si>
  <si>
    <t>MANAGER PERDIDOS EN MJ</t>
  </si>
  <si>
    <t xml:space="preserve">% DESERCIÓN </t>
  </si>
  <si>
    <t>IMPACTO C1-VIAJE</t>
  </si>
  <si>
    <t xml:space="preserve">IMPACTO </t>
  </si>
  <si>
    <t>MIGUEL TORRES</t>
  </si>
  <si>
    <t>CUENCA</t>
  </si>
  <si>
    <t>MAURICIO RAMIREZ</t>
  </si>
  <si>
    <t>MEDELLIN</t>
  </si>
  <si>
    <t>JOSUE VERA</t>
  </si>
  <si>
    <t xml:space="preserve">CUENCA </t>
  </si>
  <si>
    <t>JOSE SANCHEZ</t>
  </si>
  <si>
    <t>LIMA</t>
  </si>
  <si>
    <t>Graduado</t>
  </si>
  <si>
    <t>JOSUE VERA - KERLY CARRILLO</t>
  </si>
  <si>
    <t>KERLY CARRILLO</t>
  </si>
  <si>
    <t>ALEJANDRO DIAZ</t>
  </si>
  <si>
    <t>GUAYAQUIL</t>
  </si>
  <si>
    <t>LINID VALENCIA</t>
  </si>
  <si>
    <t>BENDA RODRIGUEZ</t>
  </si>
  <si>
    <t>BRENDA RODRIGUEZ</t>
  </si>
  <si>
    <t>ANA CRIS SANCHEZ</t>
  </si>
  <si>
    <t>QUITO</t>
  </si>
  <si>
    <t>JULIO NARVAEZ</t>
  </si>
  <si>
    <t>ERIKA GAVILANEZ</t>
  </si>
  <si>
    <t>MELINA MACHADO</t>
  </si>
  <si>
    <t>LISSETTE ACOSTA</t>
  </si>
  <si>
    <t>KATHY FELIX</t>
  </si>
  <si>
    <t>ADRIANA PUPIALES</t>
  </si>
  <si>
    <t>ROBERTO RODRIGUEZ</t>
  </si>
  <si>
    <t>ISAAC BETANCOURT</t>
  </si>
  <si>
    <t xml:space="preserve">CREACION </t>
  </si>
  <si>
    <t>C A R</t>
  </si>
  <si>
    <t xml:space="preserve">RELACION </t>
  </si>
  <si>
    <t>R A G</t>
  </si>
  <si>
    <t>G 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</si>
</sst>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i/>
      <sz val="12"/>
      <color theme="1"/>
      <name val="Arial"/>
      <family val="2"/>
    </font>
    <font>
      <b/>
      <i/>
      <sz val="11"/>
      <name val="Aptos Narrow"/>
      <family val="2"/>
      <scheme val="minor"/>
    </font>
    <font>
      <b/>
      <i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2AA4F"/>
        <bgColor indexed="64"/>
      </patternFill>
    </fill>
    <fill>
      <patternFill patternType="solid">
        <fgColor rgb="FF02AADF"/>
        <bgColor indexed="64"/>
      </patternFill>
    </fill>
    <fill>
      <patternFill patternType="solid">
        <fgColor rgb="FF67379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9" fontId="0" fillId="6" borderId="1" xfId="2" applyFont="1" applyFill="1" applyBorder="1" applyAlignment="1">
      <alignment horizontal="center" vertical="center"/>
    </xf>
    <xf numFmtId="2" fontId="0" fillId="6" borderId="0" xfId="1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1" fontId="2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/>
    </xf>
    <xf numFmtId="9" fontId="0" fillId="5" borderId="1" xfId="2" applyFon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2" fontId="0" fillId="0" borderId="0" xfId="1" applyNumberFormat="1" applyFont="1" applyFill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9" fontId="6" fillId="6" borderId="1" xfId="2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9" fontId="7" fillId="0" borderId="1" xfId="2" applyFont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9" fontId="0" fillId="5" borderId="5" xfId="2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9" fontId="0" fillId="6" borderId="5" xfId="2" applyFont="1" applyFill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9" fontId="0" fillId="5" borderId="3" xfId="2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9" fontId="0" fillId="6" borderId="3" xfId="2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9" fontId="0" fillId="5" borderId="6" xfId="2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9" fontId="0" fillId="6" borderId="6" xfId="2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" fontId="0" fillId="5" borderId="6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9" fontId="0" fillId="5" borderId="0" xfId="2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1" fontId="5" fillId="0" borderId="1" xfId="0" applyNumberFormat="1" applyFont="1" applyBorder="1" applyAlignment="1">
      <alignment horizontal="center" vertical="center" wrapText="1"/>
    </xf>
    <xf numFmtId="9" fontId="5" fillId="0" borderId="1" xfId="2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1">
    <dxf>
      <font>
        <b/>
        <i/>
      </font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6AE0-E066-4C18-8187-18289F4A178A}">
  <sheetPr filterMode="1"/>
  <dimension ref="A1:BE334"/>
  <sheetViews>
    <sheetView tabSelected="1" zoomScale="85" zoomScaleNormal="95" workbookViewId="0">
      <pane xSplit="3" ySplit="3" topLeftCell="AI15" activePane="bottomRight" state="frozen"/>
      <selection pane="bottomRight" activeCell="AK48" sqref="AK48"/>
      <selection pane="bottomLeft" activeCell="A9" sqref="A9"/>
      <selection pane="topRight" activeCell="D1" sqref="D1"/>
    </sheetView>
  </sheetViews>
  <sheetFormatPr defaultColWidth="65" defaultRowHeight="14.45"/>
  <cols>
    <col min="1" max="1" width="41.7109375" style="6" bestFit="1" customWidth="1"/>
    <col min="2" max="2" width="10.85546875" style="5" bestFit="1" customWidth="1"/>
    <col min="3" max="3" width="9.28515625" style="22" bestFit="1" customWidth="1"/>
    <col min="4" max="4" width="22.140625" style="22" bestFit="1" customWidth="1"/>
    <col min="5" max="5" width="16.7109375" style="22" bestFit="1" customWidth="1"/>
    <col min="6" max="6" width="22.85546875" style="22" bestFit="1" customWidth="1"/>
    <col min="7" max="7" width="16.28515625" style="22" bestFit="1" customWidth="1"/>
    <col min="8" max="8" width="11.7109375" style="56" bestFit="1" customWidth="1"/>
    <col min="9" max="9" width="16.7109375" style="27" bestFit="1" customWidth="1"/>
    <col min="10" max="10" width="19.7109375" style="19" bestFit="1" customWidth="1"/>
    <col min="11" max="11" width="16.28515625" style="19" bestFit="1" customWidth="1"/>
    <col min="12" max="12" width="11.7109375" style="19" bestFit="1" customWidth="1"/>
    <col min="13" max="13" width="30.42578125" style="19" bestFit="1" customWidth="1"/>
    <col min="14" max="14" width="8.85546875" style="32" bestFit="1" customWidth="1"/>
    <col min="15" max="15" width="18.42578125" style="28" bestFit="1" customWidth="1"/>
    <col min="16" max="16" width="15.42578125" style="28" bestFit="1" customWidth="1"/>
    <col min="17" max="17" width="24.28515625" style="28" bestFit="1" customWidth="1"/>
    <col min="18" max="18" width="15.28515625" style="28" bestFit="1" customWidth="1"/>
    <col min="19" max="19" width="22.42578125" style="28" bestFit="1" customWidth="1"/>
    <col min="20" max="20" width="22.7109375" style="28" bestFit="1" customWidth="1"/>
    <col min="21" max="21" width="23.28515625" style="28" bestFit="1" customWidth="1"/>
    <col min="22" max="22" width="25.140625" style="28" bestFit="1" customWidth="1"/>
    <col min="23" max="23" width="34" style="28" bestFit="1" customWidth="1"/>
    <col min="24" max="24" width="29" style="28" bestFit="1" customWidth="1"/>
    <col min="25" max="25" width="15.42578125" style="29" bestFit="1" customWidth="1"/>
    <col min="26" max="26" width="24.28515625" style="29" bestFit="1" customWidth="1"/>
    <col min="27" max="27" width="22.7109375" style="29" bestFit="1" customWidth="1"/>
    <col min="28" max="28" width="30.42578125" style="29" bestFit="1" customWidth="1"/>
    <col min="29" max="29" width="15.28515625" style="29" bestFit="1" customWidth="1"/>
    <col min="30" max="30" width="22.42578125" style="29" bestFit="1" customWidth="1"/>
    <col min="31" max="31" width="22.7109375" style="29" bestFit="1" customWidth="1"/>
    <col min="32" max="32" width="23.28515625" style="29" bestFit="1" customWidth="1"/>
    <col min="33" max="33" width="25.140625" style="29" bestFit="1" customWidth="1"/>
    <col min="34" max="34" width="34" style="29" bestFit="1" customWidth="1"/>
    <col min="35" max="35" width="29" style="29" bestFit="1" customWidth="1"/>
    <col min="36" max="36" width="15.42578125" style="30" bestFit="1" customWidth="1"/>
    <col min="37" max="37" width="24.28515625" style="30" bestFit="1" customWidth="1"/>
    <col min="38" max="38" width="22.7109375" style="30" bestFit="1" customWidth="1"/>
    <col min="39" max="39" width="30.42578125" style="30" bestFit="1" customWidth="1"/>
    <col min="40" max="40" width="15.28515625" style="30" bestFit="1" customWidth="1"/>
    <col min="41" max="41" width="22.42578125" style="30" bestFit="1" customWidth="1"/>
    <col min="42" max="42" width="22.7109375" style="30" bestFit="1" customWidth="1"/>
    <col min="43" max="43" width="23.28515625" style="30" bestFit="1" customWidth="1"/>
    <col min="44" max="44" width="25.140625" style="30" bestFit="1" customWidth="1"/>
    <col min="45" max="45" width="34" style="30" bestFit="1" customWidth="1"/>
    <col min="46" max="46" width="29" style="30" bestFit="1" customWidth="1"/>
    <col min="47" max="47" width="15.42578125" style="35" bestFit="1" customWidth="1"/>
    <col min="48" max="48" width="24.28515625" style="35" bestFit="1" customWidth="1"/>
    <col min="49" max="49" width="24.140625" style="35" bestFit="1" customWidth="1"/>
    <col min="50" max="50" width="33" style="35" bestFit="1" customWidth="1"/>
    <col min="51" max="51" width="26" style="36" bestFit="1" customWidth="1"/>
    <col min="52" max="52" width="29.28515625" style="36" bestFit="1" customWidth="1"/>
    <col min="53" max="53" width="18.7109375" style="15" bestFit="1" customWidth="1"/>
    <col min="54" max="54" width="21.7109375" style="15" bestFit="1" customWidth="1"/>
    <col min="55" max="55" width="14.28515625" style="15" bestFit="1" customWidth="1"/>
    <col min="56" max="56" width="23.28515625" style="6" bestFit="1" customWidth="1"/>
    <col min="57" max="16384" width="65" style="6"/>
  </cols>
  <sheetData>
    <row r="1" spans="1:56" s="33" customFormat="1" ht="18">
      <c r="A1" s="122" t="s">
        <v>0</v>
      </c>
      <c r="B1" s="120" t="s">
        <v>1</v>
      </c>
      <c r="C1" s="120"/>
      <c r="D1" s="120"/>
      <c r="E1" s="127" t="s">
        <v>2</v>
      </c>
      <c r="F1" s="127"/>
      <c r="G1" s="127"/>
      <c r="H1" s="128"/>
      <c r="I1" s="20"/>
      <c r="J1" s="125" t="s">
        <v>3</v>
      </c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4" t="s">
        <v>4</v>
      </c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16" t="s">
        <v>5</v>
      </c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8" t="s">
        <v>6</v>
      </c>
      <c r="AV1" s="118"/>
      <c r="AW1" s="118"/>
      <c r="AX1" s="118"/>
      <c r="AY1" s="121" t="s">
        <v>7</v>
      </c>
      <c r="AZ1" s="121"/>
      <c r="BA1" s="121"/>
      <c r="BB1" s="23"/>
      <c r="BC1" s="23"/>
      <c r="BD1" s="120" t="s">
        <v>8</v>
      </c>
    </row>
    <row r="2" spans="1:56" s="34" customFormat="1" ht="17.45">
      <c r="A2" s="122"/>
      <c r="B2" s="120"/>
      <c r="C2" s="120"/>
      <c r="D2" s="120"/>
      <c r="E2" s="127"/>
      <c r="F2" s="127"/>
      <c r="G2" s="127"/>
      <c r="H2" s="128"/>
      <c r="I2" s="129" t="s">
        <v>9</v>
      </c>
      <c r="J2" s="129"/>
      <c r="K2" s="129"/>
      <c r="L2" s="129"/>
      <c r="M2" s="129"/>
      <c r="N2" s="31"/>
      <c r="O2" s="8"/>
      <c r="P2" s="126" t="s">
        <v>10</v>
      </c>
      <c r="Q2" s="126"/>
      <c r="R2" s="126"/>
      <c r="S2" s="126"/>
      <c r="T2" s="126"/>
      <c r="U2" s="126"/>
      <c r="V2" s="126"/>
      <c r="W2" s="126"/>
      <c r="X2" s="126"/>
      <c r="Y2" s="123" t="s">
        <v>11</v>
      </c>
      <c r="Z2" s="123"/>
      <c r="AA2" s="123"/>
      <c r="AB2" s="123"/>
      <c r="AC2" s="123"/>
      <c r="AD2" s="123"/>
      <c r="AE2" s="123"/>
      <c r="AF2" s="123"/>
      <c r="AG2" s="123"/>
      <c r="AH2" s="123"/>
      <c r="AI2" s="123"/>
      <c r="AJ2" s="117" t="s">
        <v>12</v>
      </c>
      <c r="AK2" s="117"/>
      <c r="AL2" s="117"/>
      <c r="AM2" s="117"/>
      <c r="AN2" s="117"/>
      <c r="AO2" s="117"/>
      <c r="AP2" s="117"/>
      <c r="AQ2" s="117"/>
      <c r="AR2" s="117"/>
      <c r="AS2" s="117"/>
      <c r="AT2" s="117"/>
      <c r="AU2" s="119" t="s">
        <v>13</v>
      </c>
      <c r="AV2" s="119"/>
      <c r="AW2" s="119"/>
      <c r="AX2" s="119"/>
      <c r="AY2" s="121"/>
      <c r="AZ2" s="121"/>
      <c r="BA2" s="121"/>
      <c r="BB2" s="23"/>
      <c r="BC2" s="23"/>
      <c r="BD2" s="120"/>
    </row>
    <row r="3" spans="1:56" s="48" customFormat="1">
      <c r="A3" s="38" t="s">
        <v>14</v>
      </c>
      <c r="B3" s="39" t="s">
        <v>15</v>
      </c>
      <c r="C3" s="40" t="s">
        <v>16</v>
      </c>
      <c r="D3" s="40" t="s">
        <v>17</v>
      </c>
      <c r="E3" s="40" t="s">
        <v>18</v>
      </c>
      <c r="F3" s="40" t="s">
        <v>19</v>
      </c>
      <c r="G3" s="40" t="s">
        <v>20</v>
      </c>
      <c r="H3" s="55" t="s">
        <v>21</v>
      </c>
      <c r="I3" s="41" t="s">
        <v>22</v>
      </c>
      <c r="J3" s="42" t="s">
        <v>23</v>
      </c>
      <c r="K3" s="42" t="s">
        <v>24</v>
      </c>
      <c r="L3" s="42" t="s">
        <v>21</v>
      </c>
      <c r="M3" s="42" t="s">
        <v>25</v>
      </c>
      <c r="N3" s="43" t="s">
        <v>26</v>
      </c>
      <c r="O3" s="43" t="s">
        <v>27</v>
      </c>
      <c r="P3" s="43" t="s">
        <v>28</v>
      </c>
      <c r="Q3" s="43" t="s">
        <v>29</v>
      </c>
      <c r="R3" s="43" t="s">
        <v>30</v>
      </c>
      <c r="S3" s="43" t="s">
        <v>31</v>
      </c>
      <c r="T3" s="43" t="s">
        <v>32</v>
      </c>
      <c r="U3" s="43" t="s">
        <v>33</v>
      </c>
      <c r="V3" s="43" t="s">
        <v>34</v>
      </c>
      <c r="W3" s="43" t="s">
        <v>35</v>
      </c>
      <c r="X3" s="43" t="s">
        <v>36</v>
      </c>
      <c r="Y3" s="49" t="s">
        <v>28</v>
      </c>
      <c r="Z3" s="49" t="s">
        <v>29</v>
      </c>
      <c r="AA3" s="49" t="s">
        <v>32</v>
      </c>
      <c r="AB3" s="49" t="s">
        <v>37</v>
      </c>
      <c r="AC3" s="49" t="s">
        <v>30</v>
      </c>
      <c r="AD3" s="49" t="s">
        <v>31</v>
      </c>
      <c r="AE3" s="49" t="s">
        <v>32</v>
      </c>
      <c r="AF3" s="49" t="s">
        <v>33</v>
      </c>
      <c r="AG3" s="49" t="s">
        <v>34</v>
      </c>
      <c r="AH3" s="49" t="s">
        <v>35</v>
      </c>
      <c r="AI3" s="49" t="s">
        <v>36</v>
      </c>
      <c r="AJ3" s="50" t="s">
        <v>28</v>
      </c>
      <c r="AK3" s="50" t="s">
        <v>29</v>
      </c>
      <c r="AL3" s="50" t="s">
        <v>32</v>
      </c>
      <c r="AM3" s="50" t="s">
        <v>38</v>
      </c>
      <c r="AN3" s="50" t="s">
        <v>30</v>
      </c>
      <c r="AO3" s="50" t="s">
        <v>31</v>
      </c>
      <c r="AP3" s="50" t="s">
        <v>32</v>
      </c>
      <c r="AQ3" s="50" t="s">
        <v>33</v>
      </c>
      <c r="AR3" s="50" t="s">
        <v>34</v>
      </c>
      <c r="AS3" s="50" t="s">
        <v>35</v>
      </c>
      <c r="AT3" s="50" t="s">
        <v>36</v>
      </c>
      <c r="AU3" s="44" t="s">
        <v>28</v>
      </c>
      <c r="AV3" s="44" t="s">
        <v>29</v>
      </c>
      <c r="AW3" s="44" t="s">
        <v>39</v>
      </c>
      <c r="AX3" s="44" t="s">
        <v>40</v>
      </c>
      <c r="AY3" s="45" t="s">
        <v>41</v>
      </c>
      <c r="AZ3" s="46" t="s">
        <v>42</v>
      </c>
      <c r="BA3" s="47" t="s">
        <v>43</v>
      </c>
      <c r="BB3" s="47" t="s">
        <v>44</v>
      </c>
      <c r="BC3" s="47" t="s">
        <v>45</v>
      </c>
      <c r="BD3" s="39" t="s">
        <v>8</v>
      </c>
    </row>
    <row r="4" spans="1:56" customFormat="1" hidden="1">
      <c r="A4" s="69" t="s">
        <v>46</v>
      </c>
      <c r="B4" s="70" t="s">
        <v>47</v>
      </c>
      <c r="C4" s="71">
        <v>1</v>
      </c>
      <c r="D4" s="70">
        <f>54+32+34</f>
        <v>120</v>
      </c>
      <c r="E4" s="70">
        <v>61</v>
      </c>
      <c r="F4" s="70">
        <v>61</v>
      </c>
      <c r="G4" s="70">
        <v>23</v>
      </c>
      <c r="H4" s="72">
        <f t="shared" ref="H4:H35" si="0">+G4/F4</f>
        <v>0.37704918032786883</v>
      </c>
      <c r="I4" s="73">
        <v>30</v>
      </c>
      <c r="J4" s="73">
        <v>30</v>
      </c>
      <c r="K4" s="73">
        <v>28</v>
      </c>
      <c r="L4" s="74">
        <f t="shared" ref="L4:L45" si="1">+K4/J4</f>
        <v>0.93333333333333335</v>
      </c>
      <c r="M4" s="73">
        <v>5</v>
      </c>
      <c r="N4" s="75">
        <v>21</v>
      </c>
      <c r="O4" s="75">
        <v>0</v>
      </c>
      <c r="P4" s="75">
        <f t="shared" ref="P4:P45" si="2">+O4+N4</f>
        <v>21</v>
      </c>
      <c r="Q4" s="75">
        <v>5</v>
      </c>
      <c r="R4" s="75">
        <v>18</v>
      </c>
      <c r="S4" s="75">
        <v>5</v>
      </c>
      <c r="T4" s="75">
        <f t="shared" ref="T4:T45" si="3">+P4-R4</f>
        <v>3</v>
      </c>
      <c r="U4" s="75">
        <f t="shared" ref="U4:U45" si="4">+Q4-S4</f>
        <v>0</v>
      </c>
      <c r="V4" s="75">
        <v>22</v>
      </c>
      <c r="W4" s="75">
        <v>15</v>
      </c>
      <c r="X4" s="75">
        <f t="shared" ref="X4:X45" si="5">+W4+V4</f>
        <v>37</v>
      </c>
      <c r="Y4" s="76">
        <v>16</v>
      </c>
      <c r="Z4" s="76">
        <v>5</v>
      </c>
      <c r="AA4" s="76">
        <f t="shared" ref="AA4:AA45" si="6">+R4-Y4</f>
        <v>2</v>
      </c>
      <c r="AB4" s="76">
        <f t="shared" ref="AB4:AB45" si="7">+S4-Z4</f>
        <v>0</v>
      </c>
      <c r="AC4" s="76">
        <v>16</v>
      </c>
      <c r="AD4" s="76">
        <v>5</v>
      </c>
      <c r="AE4" s="76">
        <f t="shared" ref="AE4:AE45" si="8">+Y4-AC4</f>
        <v>0</v>
      </c>
      <c r="AF4" s="76">
        <f t="shared" ref="AF4:AF45" si="9">+Z4-AD4</f>
        <v>0</v>
      </c>
      <c r="AG4" s="76">
        <v>16</v>
      </c>
      <c r="AH4" s="76">
        <v>16</v>
      </c>
      <c r="AI4" s="76">
        <f t="shared" ref="AI4:AI45" si="10">+AH4+AG4</f>
        <v>32</v>
      </c>
      <c r="AJ4" s="77">
        <v>16</v>
      </c>
      <c r="AK4" s="77">
        <v>5</v>
      </c>
      <c r="AL4" s="77">
        <f t="shared" ref="AL4:AL44" si="11">+AC4-AJ4</f>
        <v>0</v>
      </c>
      <c r="AM4" s="77">
        <f t="shared" ref="AM4:AM44" si="12">+AD4-AK4</f>
        <v>0</v>
      </c>
      <c r="AN4" s="77">
        <v>14</v>
      </c>
      <c r="AO4" s="77">
        <v>4</v>
      </c>
      <c r="AP4" s="77">
        <f t="shared" ref="AP4:AP44" si="13">+AJ4-AN4</f>
        <v>2</v>
      </c>
      <c r="AQ4" s="77">
        <f t="shared" ref="AQ4:AQ44" si="14">+AK4-AO4</f>
        <v>1</v>
      </c>
      <c r="AR4" s="77">
        <v>23</v>
      </c>
      <c r="AS4" s="77">
        <v>11</v>
      </c>
      <c r="AT4" s="77">
        <f t="shared" ref="AT4:AT44" si="15">+AS4+AR4</f>
        <v>34</v>
      </c>
      <c r="AU4" s="78">
        <v>14</v>
      </c>
      <c r="AV4" s="78">
        <v>4</v>
      </c>
      <c r="AW4" s="78">
        <f t="shared" ref="AW4:AW35" si="16">+AN4-AU4</f>
        <v>0</v>
      </c>
      <c r="AX4" s="78">
        <f t="shared" ref="AX4:AX35" si="17">+AO4-AV4</f>
        <v>0</v>
      </c>
      <c r="AY4" s="79">
        <f t="shared" ref="AY4:AY37" si="18">+P4-AU4</f>
        <v>7</v>
      </c>
      <c r="AZ4" s="79">
        <f t="shared" ref="AZ4:AZ37" si="19">+Q4-AV4</f>
        <v>1</v>
      </c>
      <c r="BA4" s="80">
        <f t="shared" ref="BA4:BA44" si="20">+(AY4+AZ4)/(P4+Q4)</f>
        <v>0.30769230769230771</v>
      </c>
      <c r="BB4" s="80">
        <f t="shared" ref="BB4:BB44" si="21">+(AU4+AV4)/E4</f>
        <v>0.29508196721311475</v>
      </c>
      <c r="BC4" s="80">
        <f t="shared" ref="BC4:BC44" si="22">+AU4/D4</f>
        <v>0.11666666666666667</v>
      </c>
      <c r="BD4" s="70" t="str">
        <f t="shared" ref="BD4:BD14" si="23">IF(AU4&gt;0,"Graduado","En Proceso")</f>
        <v>Graduado</v>
      </c>
    </row>
    <row r="5" spans="1:56" customFormat="1" hidden="1">
      <c r="A5" s="7" t="s">
        <v>48</v>
      </c>
      <c r="B5" s="1" t="s">
        <v>49</v>
      </c>
      <c r="C5" s="21">
        <v>1</v>
      </c>
      <c r="D5" s="1">
        <v>46</v>
      </c>
      <c r="E5" s="21">
        <v>40</v>
      </c>
      <c r="F5" s="21">
        <v>38</v>
      </c>
      <c r="G5" s="21">
        <v>24</v>
      </c>
      <c r="H5" s="24">
        <f t="shared" si="0"/>
        <v>0.63157894736842102</v>
      </c>
      <c r="I5" s="26">
        <v>19</v>
      </c>
      <c r="J5" s="10">
        <v>19</v>
      </c>
      <c r="K5" s="10">
        <v>19</v>
      </c>
      <c r="L5" s="25">
        <f t="shared" si="1"/>
        <v>1</v>
      </c>
      <c r="M5" s="10">
        <v>3</v>
      </c>
      <c r="N5" s="11">
        <v>18</v>
      </c>
      <c r="O5" s="11">
        <v>1</v>
      </c>
      <c r="P5" s="2">
        <f t="shared" si="2"/>
        <v>19</v>
      </c>
      <c r="Q5" s="11">
        <v>3</v>
      </c>
      <c r="R5" s="11">
        <v>18</v>
      </c>
      <c r="S5" s="11">
        <v>3</v>
      </c>
      <c r="T5" s="2">
        <f t="shared" si="3"/>
        <v>1</v>
      </c>
      <c r="U5" s="2">
        <f t="shared" si="4"/>
        <v>0</v>
      </c>
      <c r="V5" s="11">
        <v>31</v>
      </c>
      <c r="W5" s="11">
        <v>15</v>
      </c>
      <c r="X5" s="2">
        <f t="shared" si="5"/>
        <v>46</v>
      </c>
      <c r="Y5" s="18">
        <v>16</v>
      </c>
      <c r="Z5" s="18">
        <v>3</v>
      </c>
      <c r="AA5" s="17">
        <f t="shared" si="6"/>
        <v>2</v>
      </c>
      <c r="AB5" s="17">
        <f t="shared" si="7"/>
        <v>0</v>
      </c>
      <c r="AC5" s="18">
        <v>14</v>
      </c>
      <c r="AD5" s="18">
        <v>2</v>
      </c>
      <c r="AE5" s="17">
        <f t="shared" si="8"/>
        <v>2</v>
      </c>
      <c r="AF5" s="17">
        <f t="shared" si="9"/>
        <v>1</v>
      </c>
      <c r="AG5" s="18">
        <v>13</v>
      </c>
      <c r="AH5" s="18">
        <v>10</v>
      </c>
      <c r="AI5" s="17">
        <f t="shared" si="10"/>
        <v>23</v>
      </c>
      <c r="AJ5" s="53">
        <v>14</v>
      </c>
      <c r="AK5" s="53">
        <v>2</v>
      </c>
      <c r="AL5" s="52">
        <f t="shared" si="11"/>
        <v>0</v>
      </c>
      <c r="AM5" s="52">
        <f t="shared" si="12"/>
        <v>0</v>
      </c>
      <c r="AN5" s="53">
        <v>12</v>
      </c>
      <c r="AO5" s="53">
        <v>2</v>
      </c>
      <c r="AP5" s="52">
        <f t="shared" si="13"/>
        <v>2</v>
      </c>
      <c r="AQ5" s="52">
        <f t="shared" si="14"/>
        <v>0</v>
      </c>
      <c r="AR5" s="53">
        <v>14</v>
      </c>
      <c r="AS5" s="53">
        <v>9</v>
      </c>
      <c r="AT5" s="52">
        <f t="shared" si="15"/>
        <v>23</v>
      </c>
      <c r="AU5" s="12">
        <v>7</v>
      </c>
      <c r="AV5" s="12">
        <v>2</v>
      </c>
      <c r="AW5" s="4">
        <f t="shared" si="16"/>
        <v>5</v>
      </c>
      <c r="AX5" s="4">
        <f t="shared" si="17"/>
        <v>0</v>
      </c>
      <c r="AY5" s="13">
        <f t="shared" si="18"/>
        <v>12</v>
      </c>
      <c r="AZ5" s="13">
        <f t="shared" si="19"/>
        <v>1</v>
      </c>
      <c r="BA5" s="14">
        <f t="shared" si="20"/>
        <v>0.59090909090909094</v>
      </c>
      <c r="BB5" s="14">
        <f t="shared" si="21"/>
        <v>0.22500000000000001</v>
      </c>
      <c r="BC5" s="14">
        <f t="shared" si="22"/>
        <v>0.15217391304347827</v>
      </c>
      <c r="BD5" s="1" t="str">
        <f t="shared" si="23"/>
        <v>Graduado</v>
      </c>
    </row>
    <row r="6" spans="1:56" customFormat="1" hidden="1">
      <c r="A6" s="7" t="s">
        <v>46</v>
      </c>
      <c r="B6" s="1" t="s">
        <v>47</v>
      </c>
      <c r="C6" s="21">
        <v>2</v>
      </c>
      <c r="D6" s="1">
        <v>39</v>
      </c>
      <c r="E6" s="1">
        <v>32</v>
      </c>
      <c r="F6" s="1">
        <v>31</v>
      </c>
      <c r="G6" s="1">
        <v>21</v>
      </c>
      <c r="H6" s="24">
        <f t="shared" si="0"/>
        <v>0.67741935483870963</v>
      </c>
      <c r="I6" s="9">
        <v>21</v>
      </c>
      <c r="J6" s="9">
        <v>19</v>
      </c>
      <c r="K6" s="9">
        <v>17</v>
      </c>
      <c r="L6" s="25">
        <f t="shared" si="1"/>
        <v>0.89473684210526316</v>
      </c>
      <c r="M6" s="9">
        <v>5</v>
      </c>
      <c r="N6" s="2">
        <v>17</v>
      </c>
      <c r="O6" s="2">
        <v>1</v>
      </c>
      <c r="P6" s="2">
        <f t="shared" si="2"/>
        <v>18</v>
      </c>
      <c r="Q6" s="2">
        <v>3</v>
      </c>
      <c r="R6" s="2">
        <v>18</v>
      </c>
      <c r="S6" s="2">
        <v>3</v>
      </c>
      <c r="T6" s="2">
        <f t="shared" si="3"/>
        <v>0</v>
      </c>
      <c r="U6" s="2">
        <f t="shared" si="4"/>
        <v>0</v>
      </c>
      <c r="V6" s="2">
        <v>41</v>
      </c>
      <c r="W6" s="2">
        <v>16</v>
      </c>
      <c r="X6" s="2">
        <f t="shared" si="5"/>
        <v>57</v>
      </c>
      <c r="Y6" s="17">
        <v>18</v>
      </c>
      <c r="Z6" s="17">
        <v>3</v>
      </c>
      <c r="AA6" s="17">
        <f t="shared" si="6"/>
        <v>0</v>
      </c>
      <c r="AB6" s="17">
        <f t="shared" si="7"/>
        <v>0</v>
      </c>
      <c r="AC6" s="17">
        <v>18</v>
      </c>
      <c r="AD6" s="17">
        <v>2</v>
      </c>
      <c r="AE6" s="17">
        <f t="shared" si="8"/>
        <v>0</v>
      </c>
      <c r="AF6" s="17">
        <f t="shared" si="9"/>
        <v>1</v>
      </c>
      <c r="AG6" s="17">
        <v>24</v>
      </c>
      <c r="AH6" s="17">
        <v>8</v>
      </c>
      <c r="AI6" s="17">
        <f t="shared" si="10"/>
        <v>32</v>
      </c>
      <c r="AJ6" s="52">
        <v>16</v>
      </c>
      <c r="AK6" s="52">
        <v>2</v>
      </c>
      <c r="AL6" s="52">
        <f t="shared" si="11"/>
        <v>2</v>
      </c>
      <c r="AM6" s="52">
        <f t="shared" si="12"/>
        <v>0</v>
      </c>
      <c r="AN6" s="52">
        <v>15</v>
      </c>
      <c r="AO6" s="52">
        <v>2</v>
      </c>
      <c r="AP6" s="52">
        <f t="shared" si="13"/>
        <v>1</v>
      </c>
      <c r="AQ6" s="52">
        <f t="shared" si="14"/>
        <v>0</v>
      </c>
      <c r="AR6" s="52">
        <v>39</v>
      </c>
      <c r="AS6" s="52">
        <v>11</v>
      </c>
      <c r="AT6" s="52">
        <f t="shared" si="15"/>
        <v>50</v>
      </c>
      <c r="AU6" s="4">
        <v>14</v>
      </c>
      <c r="AV6" s="4">
        <v>2</v>
      </c>
      <c r="AW6" s="4">
        <f t="shared" si="16"/>
        <v>1</v>
      </c>
      <c r="AX6" s="4">
        <f t="shared" si="17"/>
        <v>0</v>
      </c>
      <c r="AY6" s="13">
        <f t="shared" si="18"/>
        <v>4</v>
      </c>
      <c r="AZ6" s="13">
        <f t="shared" si="19"/>
        <v>1</v>
      </c>
      <c r="BA6" s="14">
        <f t="shared" si="20"/>
        <v>0.23809523809523808</v>
      </c>
      <c r="BB6" s="14">
        <f t="shared" si="21"/>
        <v>0.5</v>
      </c>
      <c r="BC6" s="14">
        <f t="shared" si="22"/>
        <v>0.35897435897435898</v>
      </c>
      <c r="BD6" s="1" t="str">
        <f t="shared" si="23"/>
        <v>Graduado</v>
      </c>
    </row>
    <row r="7" spans="1:56" customFormat="1" hidden="1">
      <c r="A7" s="7" t="s">
        <v>48</v>
      </c>
      <c r="B7" s="1" t="s">
        <v>49</v>
      </c>
      <c r="C7" s="21">
        <v>2</v>
      </c>
      <c r="D7" s="1">
        <v>47</v>
      </c>
      <c r="E7" s="21">
        <v>42</v>
      </c>
      <c r="F7" s="21">
        <v>40</v>
      </c>
      <c r="G7" s="21">
        <v>31</v>
      </c>
      <c r="H7" s="24">
        <f t="shared" si="0"/>
        <v>0.77500000000000002</v>
      </c>
      <c r="I7" s="26">
        <v>28</v>
      </c>
      <c r="J7" s="10">
        <v>28</v>
      </c>
      <c r="K7" s="10">
        <v>24</v>
      </c>
      <c r="L7" s="25">
        <f t="shared" si="1"/>
        <v>0.8571428571428571</v>
      </c>
      <c r="M7" s="10">
        <v>6</v>
      </c>
      <c r="N7" s="11">
        <v>15</v>
      </c>
      <c r="O7" s="11">
        <v>0</v>
      </c>
      <c r="P7" s="2">
        <f t="shared" si="2"/>
        <v>15</v>
      </c>
      <c r="Q7" s="11">
        <v>6</v>
      </c>
      <c r="R7" s="11">
        <v>13</v>
      </c>
      <c r="S7" s="11">
        <v>6</v>
      </c>
      <c r="T7" s="2">
        <f t="shared" si="3"/>
        <v>2</v>
      </c>
      <c r="U7" s="2">
        <f t="shared" si="4"/>
        <v>0</v>
      </c>
      <c r="V7" s="11">
        <v>21</v>
      </c>
      <c r="W7" s="11">
        <v>26</v>
      </c>
      <c r="X7" s="2">
        <f t="shared" si="5"/>
        <v>47</v>
      </c>
      <c r="Y7" s="18">
        <v>12</v>
      </c>
      <c r="Z7" s="18">
        <v>6</v>
      </c>
      <c r="AA7" s="17">
        <f t="shared" si="6"/>
        <v>1</v>
      </c>
      <c r="AB7" s="17">
        <f t="shared" si="7"/>
        <v>0</v>
      </c>
      <c r="AC7" s="18">
        <v>12</v>
      </c>
      <c r="AD7" s="18">
        <v>6</v>
      </c>
      <c r="AE7" s="17">
        <f t="shared" si="8"/>
        <v>0</v>
      </c>
      <c r="AF7" s="17">
        <f t="shared" si="9"/>
        <v>0</v>
      </c>
      <c r="AG7" s="18">
        <v>30</v>
      </c>
      <c r="AH7" s="18">
        <v>27</v>
      </c>
      <c r="AI7" s="17">
        <f t="shared" si="10"/>
        <v>57</v>
      </c>
      <c r="AJ7" s="53">
        <v>11</v>
      </c>
      <c r="AK7" s="53">
        <v>5</v>
      </c>
      <c r="AL7" s="52">
        <f t="shared" si="11"/>
        <v>1</v>
      </c>
      <c r="AM7" s="52">
        <f t="shared" si="12"/>
        <v>1</v>
      </c>
      <c r="AN7" s="53">
        <v>8</v>
      </c>
      <c r="AO7" s="53">
        <v>5</v>
      </c>
      <c r="AP7" s="52">
        <f t="shared" si="13"/>
        <v>3</v>
      </c>
      <c r="AQ7" s="52">
        <f t="shared" si="14"/>
        <v>0</v>
      </c>
      <c r="AR7" s="53">
        <v>26</v>
      </c>
      <c r="AS7" s="53">
        <v>30</v>
      </c>
      <c r="AT7" s="52">
        <f t="shared" si="15"/>
        <v>56</v>
      </c>
      <c r="AU7" s="12">
        <v>8</v>
      </c>
      <c r="AV7" s="12">
        <v>5</v>
      </c>
      <c r="AW7" s="4">
        <f t="shared" si="16"/>
        <v>0</v>
      </c>
      <c r="AX7" s="4">
        <f t="shared" si="17"/>
        <v>0</v>
      </c>
      <c r="AY7" s="13">
        <f t="shared" si="18"/>
        <v>7</v>
      </c>
      <c r="AZ7" s="13">
        <f t="shared" si="19"/>
        <v>1</v>
      </c>
      <c r="BA7" s="14">
        <f t="shared" si="20"/>
        <v>0.38095238095238093</v>
      </c>
      <c r="BB7" s="14">
        <f t="shared" si="21"/>
        <v>0.30952380952380953</v>
      </c>
      <c r="BC7" s="14">
        <f t="shared" si="22"/>
        <v>0.1702127659574468</v>
      </c>
      <c r="BD7" s="1" t="str">
        <f t="shared" si="23"/>
        <v>Graduado</v>
      </c>
    </row>
    <row r="8" spans="1:56" customFormat="1" hidden="1">
      <c r="A8" s="58" t="s">
        <v>46</v>
      </c>
      <c r="B8" s="59" t="s">
        <v>47</v>
      </c>
      <c r="C8" s="60">
        <v>3</v>
      </c>
      <c r="D8" s="59">
        <f>33+24</f>
        <v>57</v>
      </c>
      <c r="E8" s="59">
        <v>16</v>
      </c>
      <c r="F8" s="59">
        <v>16</v>
      </c>
      <c r="G8" s="59">
        <v>2</v>
      </c>
      <c r="H8" s="24">
        <f t="shared" si="0"/>
        <v>0.125</v>
      </c>
      <c r="I8" s="61">
        <v>22</v>
      </c>
      <c r="J8" s="61">
        <v>18</v>
      </c>
      <c r="K8" s="61">
        <v>18</v>
      </c>
      <c r="L8" s="25">
        <f t="shared" si="1"/>
        <v>1</v>
      </c>
      <c r="M8" s="61">
        <v>5</v>
      </c>
      <c r="N8" s="63">
        <v>15</v>
      </c>
      <c r="O8" s="63">
        <v>0</v>
      </c>
      <c r="P8" s="63">
        <f t="shared" si="2"/>
        <v>15</v>
      </c>
      <c r="Q8" s="63">
        <v>4</v>
      </c>
      <c r="R8" s="63">
        <v>15</v>
      </c>
      <c r="S8" s="63">
        <v>4</v>
      </c>
      <c r="T8" s="63">
        <f t="shared" si="3"/>
        <v>0</v>
      </c>
      <c r="U8" s="63">
        <f t="shared" si="4"/>
        <v>0</v>
      </c>
      <c r="V8" s="63">
        <v>23</v>
      </c>
      <c r="W8" s="63">
        <v>10</v>
      </c>
      <c r="X8" s="63">
        <f t="shared" si="5"/>
        <v>33</v>
      </c>
      <c r="Y8" s="83">
        <v>13</v>
      </c>
      <c r="Z8" s="83">
        <v>4</v>
      </c>
      <c r="AA8" s="83">
        <f t="shared" si="6"/>
        <v>2</v>
      </c>
      <c r="AB8" s="83">
        <f t="shared" si="7"/>
        <v>0</v>
      </c>
      <c r="AC8" s="83">
        <v>12</v>
      </c>
      <c r="AD8" s="83">
        <v>2</v>
      </c>
      <c r="AE8" s="83">
        <f t="shared" si="8"/>
        <v>1</v>
      </c>
      <c r="AF8" s="83">
        <f t="shared" si="9"/>
        <v>2</v>
      </c>
      <c r="AG8" s="83">
        <v>17</v>
      </c>
      <c r="AH8" s="83">
        <v>7</v>
      </c>
      <c r="AI8" s="83">
        <f t="shared" si="10"/>
        <v>24</v>
      </c>
      <c r="AJ8" s="84">
        <v>10</v>
      </c>
      <c r="AK8" s="84">
        <v>2</v>
      </c>
      <c r="AL8" s="84">
        <f t="shared" si="11"/>
        <v>2</v>
      </c>
      <c r="AM8" s="84">
        <f t="shared" si="12"/>
        <v>0</v>
      </c>
      <c r="AN8" s="84">
        <v>8</v>
      </c>
      <c r="AO8" s="84">
        <v>2</v>
      </c>
      <c r="AP8" s="84">
        <f t="shared" si="13"/>
        <v>2</v>
      </c>
      <c r="AQ8" s="84">
        <f t="shared" si="14"/>
        <v>0</v>
      </c>
      <c r="AR8" s="84">
        <v>22</v>
      </c>
      <c r="AS8" s="84">
        <v>5</v>
      </c>
      <c r="AT8" s="84">
        <f t="shared" si="15"/>
        <v>27</v>
      </c>
      <c r="AU8" s="85">
        <v>7</v>
      </c>
      <c r="AV8" s="85">
        <v>2</v>
      </c>
      <c r="AW8" s="4">
        <f t="shared" si="16"/>
        <v>1</v>
      </c>
      <c r="AX8" s="4">
        <f t="shared" si="17"/>
        <v>0</v>
      </c>
      <c r="AY8" s="86">
        <f t="shared" si="18"/>
        <v>8</v>
      </c>
      <c r="AZ8" s="86">
        <f t="shared" si="19"/>
        <v>2</v>
      </c>
      <c r="BA8" s="87">
        <f t="shared" si="20"/>
        <v>0.52631578947368418</v>
      </c>
      <c r="BB8" s="87">
        <f t="shared" si="21"/>
        <v>0.5625</v>
      </c>
      <c r="BC8" s="87">
        <f t="shared" si="22"/>
        <v>0.12280701754385964</v>
      </c>
      <c r="BD8" s="59" t="str">
        <f t="shared" si="23"/>
        <v>Graduado</v>
      </c>
    </row>
    <row r="9" spans="1:56" customFormat="1" hidden="1">
      <c r="A9" s="7" t="s">
        <v>48</v>
      </c>
      <c r="B9" s="1" t="s">
        <v>49</v>
      </c>
      <c r="C9" s="21">
        <v>3</v>
      </c>
      <c r="D9" s="1">
        <v>70</v>
      </c>
      <c r="E9" s="21">
        <v>49</v>
      </c>
      <c r="F9" s="21">
        <v>41</v>
      </c>
      <c r="G9" s="21">
        <v>21</v>
      </c>
      <c r="H9" s="24">
        <f t="shared" si="0"/>
        <v>0.51219512195121952</v>
      </c>
      <c r="I9" s="26">
        <v>17</v>
      </c>
      <c r="J9" s="10">
        <v>16</v>
      </c>
      <c r="K9" s="10">
        <v>16</v>
      </c>
      <c r="L9" s="25">
        <f t="shared" si="1"/>
        <v>1</v>
      </c>
      <c r="M9" s="10">
        <v>1</v>
      </c>
      <c r="N9" s="11">
        <v>14</v>
      </c>
      <c r="O9" s="11">
        <v>2</v>
      </c>
      <c r="P9" s="2">
        <f t="shared" si="2"/>
        <v>16</v>
      </c>
      <c r="Q9" s="11">
        <v>1</v>
      </c>
      <c r="R9" s="11">
        <v>14</v>
      </c>
      <c r="S9" s="11">
        <v>1</v>
      </c>
      <c r="T9" s="2">
        <f t="shared" si="3"/>
        <v>2</v>
      </c>
      <c r="U9" s="2">
        <f t="shared" si="4"/>
        <v>0</v>
      </c>
      <c r="V9" s="11">
        <v>25</v>
      </c>
      <c r="W9" s="11">
        <v>3</v>
      </c>
      <c r="X9" s="2">
        <f t="shared" si="5"/>
        <v>28</v>
      </c>
      <c r="Y9" s="18">
        <v>13</v>
      </c>
      <c r="Z9" s="18">
        <v>1</v>
      </c>
      <c r="AA9" s="17">
        <f t="shared" si="6"/>
        <v>1</v>
      </c>
      <c r="AB9" s="17">
        <f t="shared" si="7"/>
        <v>0</v>
      </c>
      <c r="AC9" s="18">
        <v>12</v>
      </c>
      <c r="AD9" s="18">
        <v>1</v>
      </c>
      <c r="AE9" s="17">
        <f t="shared" si="8"/>
        <v>1</v>
      </c>
      <c r="AF9" s="17">
        <f t="shared" si="9"/>
        <v>0</v>
      </c>
      <c r="AG9" s="18">
        <v>22</v>
      </c>
      <c r="AH9" s="18">
        <v>5</v>
      </c>
      <c r="AI9" s="17">
        <f t="shared" si="10"/>
        <v>27</v>
      </c>
      <c r="AJ9" s="16">
        <v>0</v>
      </c>
      <c r="AK9" s="16">
        <v>0</v>
      </c>
      <c r="AL9" s="52">
        <f t="shared" si="11"/>
        <v>12</v>
      </c>
      <c r="AM9" s="52">
        <f t="shared" si="12"/>
        <v>1</v>
      </c>
      <c r="AN9" s="16">
        <v>0</v>
      </c>
      <c r="AO9" s="16">
        <v>0</v>
      </c>
      <c r="AP9" s="52">
        <f t="shared" si="13"/>
        <v>0</v>
      </c>
      <c r="AQ9" s="52">
        <f t="shared" si="14"/>
        <v>0</v>
      </c>
      <c r="AR9" s="16">
        <v>0</v>
      </c>
      <c r="AS9" s="16">
        <v>0</v>
      </c>
      <c r="AT9" s="52">
        <f t="shared" si="15"/>
        <v>0</v>
      </c>
      <c r="AU9" s="12">
        <v>0</v>
      </c>
      <c r="AV9" s="12">
        <v>0</v>
      </c>
      <c r="AW9" s="4">
        <f t="shared" si="16"/>
        <v>0</v>
      </c>
      <c r="AX9" s="4">
        <f t="shared" si="17"/>
        <v>0</v>
      </c>
      <c r="AY9" s="13">
        <f t="shared" si="18"/>
        <v>16</v>
      </c>
      <c r="AZ9" s="13">
        <f t="shared" si="19"/>
        <v>1</v>
      </c>
      <c r="BA9" s="14">
        <f t="shared" si="20"/>
        <v>1</v>
      </c>
      <c r="BB9" s="14">
        <f t="shared" si="21"/>
        <v>0</v>
      </c>
      <c r="BC9" s="14">
        <f t="shared" si="22"/>
        <v>0</v>
      </c>
      <c r="BD9" s="1" t="str">
        <f t="shared" si="23"/>
        <v>En Proceso</v>
      </c>
    </row>
    <row r="10" spans="1:56" customFormat="1" hidden="1">
      <c r="A10" s="88" t="s">
        <v>50</v>
      </c>
      <c r="B10" s="89" t="s">
        <v>47</v>
      </c>
      <c r="C10" s="90">
        <v>4</v>
      </c>
      <c r="D10" s="89">
        <v>99</v>
      </c>
      <c r="E10" s="89">
        <v>74</v>
      </c>
      <c r="F10" s="89">
        <v>59</v>
      </c>
      <c r="G10" s="89">
        <v>16</v>
      </c>
      <c r="H10" s="24">
        <f t="shared" si="0"/>
        <v>0.2711864406779661</v>
      </c>
      <c r="I10" s="92">
        <v>13</v>
      </c>
      <c r="J10" s="92">
        <v>13</v>
      </c>
      <c r="K10" s="92">
        <v>12</v>
      </c>
      <c r="L10" s="25">
        <f t="shared" si="1"/>
        <v>0.92307692307692313</v>
      </c>
      <c r="M10" s="92">
        <v>0</v>
      </c>
      <c r="N10" s="94">
        <v>12</v>
      </c>
      <c r="O10" s="94">
        <v>0</v>
      </c>
      <c r="P10" s="94">
        <f t="shared" si="2"/>
        <v>12</v>
      </c>
      <c r="Q10" s="94">
        <v>1</v>
      </c>
      <c r="R10" s="94">
        <v>10</v>
      </c>
      <c r="S10" s="94">
        <v>2</v>
      </c>
      <c r="T10" s="94">
        <f t="shared" si="3"/>
        <v>2</v>
      </c>
      <c r="U10" s="94">
        <f t="shared" si="4"/>
        <v>-1</v>
      </c>
      <c r="V10" s="94">
        <v>15</v>
      </c>
      <c r="W10" s="94">
        <v>6</v>
      </c>
      <c r="X10" s="94">
        <f t="shared" si="5"/>
        <v>21</v>
      </c>
      <c r="Y10" s="95">
        <v>8</v>
      </c>
      <c r="Z10" s="95">
        <v>2</v>
      </c>
      <c r="AA10" s="95">
        <f t="shared" si="6"/>
        <v>2</v>
      </c>
      <c r="AB10" s="95">
        <f t="shared" si="7"/>
        <v>0</v>
      </c>
      <c r="AC10" s="95">
        <v>8</v>
      </c>
      <c r="AD10" s="95">
        <v>2</v>
      </c>
      <c r="AE10" s="95">
        <f t="shared" si="8"/>
        <v>0</v>
      </c>
      <c r="AF10" s="95">
        <f t="shared" si="9"/>
        <v>0</v>
      </c>
      <c r="AG10" s="95">
        <v>18</v>
      </c>
      <c r="AH10" s="95">
        <v>5</v>
      </c>
      <c r="AI10" s="95">
        <f t="shared" si="10"/>
        <v>23</v>
      </c>
      <c r="AJ10" s="96">
        <v>8</v>
      </c>
      <c r="AK10" s="96">
        <v>2</v>
      </c>
      <c r="AL10" s="96">
        <f t="shared" si="11"/>
        <v>0</v>
      </c>
      <c r="AM10" s="96">
        <f t="shared" si="12"/>
        <v>0</v>
      </c>
      <c r="AN10" s="96">
        <v>8</v>
      </c>
      <c r="AO10" s="96">
        <v>1</v>
      </c>
      <c r="AP10" s="96">
        <f t="shared" si="13"/>
        <v>0</v>
      </c>
      <c r="AQ10" s="96">
        <f t="shared" si="14"/>
        <v>1</v>
      </c>
      <c r="AR10" s="96">
        <v>14</v>
      </c>
      <c r="AS10" s="96">
        <v>6</v>
      </c>
      <c r="AT10" s="96">
        <f t="shared" si="15"/>
        <v>20</v>
      </c>
      <c r="AU10" s="97">
        <v>8</v>
      </c>
      <c r="AV10" s="97">
        <v>1</v>
      </c>
      <c r="AW10" s="4">
        <f t="shared" si="16"/>
        <v>0</v>
      </c>
      <c r="AX10" s="4">
        <f t="shared" si="17"/>
        <v>0</v>
      </c>
      <c r="AY10" s="99">
        <f t="shared" si="18"/>
        <v>4</v>
      </c>
      <c r="AZ10" s="99">
        <f t="shared" si="19"/>
        <v>0</v>
      </c>
      <c r="BA10" s="100">
        <f t="shared" si="20"/>
        <v>0.30769230769230771</v>
      </c>
      <c r="BB10" s="100">
        <f t="shared" si="21"/>
        <v>0.12162162162162163</v>
      </c>
      <c r="BC10" s="100">
        <f t="shared" si="22"/>
        <v>8.0808080808080815E-2</v>
      </c>
      <c r="BD10" s="89" t="str">
        <f t="shared" si="23"/>
        <v>Graduado</v>
      </c>
    </row>
    <row r="11" spans="1:56" customFormat="1" hidden="1">
      <c r="A11" s="7" t="s">
        <v>48</v>
      </c>
      <c r="B11" s="1" t="s">
        <v>49</v>
      </c>
      <c r="C11" s="21">
        <v>4</v>
      </c>
      <c r="D11" s="1">
        <v>108</v>
      </c>
      <c r="E11" s="21">
        <v>59</v>
      </c>
      <c r="F11" s="21">
        <v>51</v>
      </c>
      <c r="G11" s="21">
        <v>37</v>
      </c>
      <c r="H11" s="24">
        <f t="shared" si="0"/>
        <v>0.72549019607843135</v>
      </c>
      <c r="I11" s="26">
        <v>28</v>
      </c>
      <c r="J11" s="10">
        <v>25</v>
      </c>
      <c r="K11" s="10">
        <v>25</v>
      </c>
      <c r="L11" s="25">
        <f t="shared" si="1"/>
        <v>1</v>
      </c>
      <c r="M11" s="10">
        <v>2</v>
      </c>
      <c r="N11" s="11">
        <v>18</v>
      </c>
      <c r="O11" s="11">
        <v>0</v>
      </c>
      <c r="P11" s="2">
        <f t="shared" si="2"/>
        <v>18</v>
      </c>
      <c r="Q11" s="11">
        <v>2</v>
      </c>
      <c r="R11" s="11">
        <v>16</v>
      </c>
      <c r="S11" s="11">
        <v>2</v>
      </c>
      <c r="T11" s="2">
        <f t="shared" si="3"/>
        <v>2</v>
      </c>
      <c r="U11" s="2">
        <f t="shared" si="4"/>
        <v>0</v>
      </c>
      <c r="V11" s="11">
        <v>31</v>
      </c>
      <c r="W11" s="11">
        <v>10</v>
      </c>
      <c r="X11" s="2">
        <f t="shared" si="5"/>
        <v>41</v>
      </c>
      <c r="Y11" s="18">
        <v>0</v>
      </c>
      <c r="Z11" s="18">
        <v>0</v>
      </c>
      <c r="AA11" s="17">
        <f t="shared" si="6"/>
        <v>16</v>
      </c>
      <c r="AB11" s="17">
        <f t="shared" si="7"/>
        <v>2</v>
      </c>
      <c r="AC11" s="18">
        <v>0</v>
      </c>
      <c r="AD11" s="18">
        <v>0</v>
      </c>
      <c r="AE11" s="17">
        <f t="shared" si="8"/>
        <v>0</v>
      </c>
      <c r="AF11" s="17">
        <f t="shared" si="9"/>
        <v>0</v>
      </c>
      <c r="AG11" s="18">
        <v>0</v>
      </c>
      <c r="AH11" s="18">
        <v>0</v>
      </c>
      <c r="AI11" s="17">
        <f t="shared" si="10"/>
        <v>0</v>
      </c>
      <c r="AJ11" s="16">
        <v>0</v>
      </c>
      <c r="AK11" s="16">
        <v>0</v>
      </c>
      <c r="AL11" s="52">
        <f t="shared" si="11"/>
        <v>0</v>
      </c>
      <c r="AM11" s="52">
        <f t="shared" si="12"/>
        <v>0</v>
      </c>
      <c r="AN11" s="16">
        <v>0</v>
      </c>
      <c r="AO11" s="16">
        <v>0</v>
      </c>
      <c r="AP11" s="52">
        <f t="shared" si="13"/>
        <v>0</v>
      </c>
      <c r="AQ11" s="52">
        <f t="shared" si="14"/>
        <v>0</v>
      </c>
      <c r="AR11" s="16">
        <v>0</v>
      </c>
      <c r="AS11" s="16">
        <v>0</v>
      </c>
      <c r="AT11" s="52">
        <f t="shared" si="15"/>
        <v>0</v>
      </c>
      <c r="AU11" s="12">
        <v>0</v>
      </c>
      <c r="AV11" s="12">
        <v>0</v>
      </c>
      <c r="AW11" s="4">
        <f t="shared" si="16"/>
        <v>0</v>
      </c>
      <c r="AX11" s="4">
        <f t="shared" si="17"/>
        <v>0</v>
      </c>
      <c r="AY11" s="13">
        <f t="shared" si="18"/>
        <v>18</v>
      </c>
      <c r="AZ11" s="13">
        <f t="shared" si="19"/>
        <v>2</v>
      </c>
      <c r="BA11" s="14">
        <f t="shared" si="20"/>
        <v>1</v>
      </c>
      <c r="BB11" s="14">
        <f t="shared" si="21"/>
        <v>0</v>
      </c>
      <c r="BC11" s="14">
        <f t="shared" si="22"/>
        <v>0</v>
      </c>
      <c r="BD11" s="1" t="str">
        <f t="shared" si="23"/>
        <v>En Proceso</v>
      </c>
    </row>
    <row r="12" spans="1:56" customFormat="1" hidden="1">
      <c r="A12" s="88" t="s">
        <v>50</v>
      </c>
      <c r="B12" s="89" t="s">
        <v>47</v>
      </c>
      <c r="C12" s="90">
        <v>5</v>
      </c>
      <c r="D12" s="89">
        <v>95</v>
      </c>
      <c r="E12" s="89">
        <v>74</v>
      </c>
      <c r="F12" s="89">
        <v>74</v>
      </c>
      <c r="G12" s="89">
        <v>28</v>
      </c>
      <c r="H12" s="24">
        <f t="shared" si="0"/>
        <v>0.3783783783783784</v>
      </c>
      <c r="I12" s="92">
        <v>26</v>
      </c>
      <c r="J12" s="92">
        <v>26</v>
      </c>
      <c r="K12" s="92">
        <v>24</v>
      </c>
      <c r="L12" s="25">
        <f t="shared" si="1"/>
        <v>0.92307692307692313</v>
      </c>
      <c r="M12" s="92">
        <v>2</v>
      </c>
      <c r="N12" s="94">
        <v>23</v>
      </c>
      <c r="O12" s="94">
        <v>1</v>
      </c>
      <c r="P12" s="94">
        <f t="shared" si="2"/>
        <v>24</v>
      </c>
      <c r="Q12" s="94">
        <v>3</v>
      </c>
      <c r="R12" s="94">
        <v>23</v>
      </c>
      <c r="S12" s="94">
        <v>3</v>
      </c>
      <c r="T12" s="94">
        <f t="shared" si="3"/>
        <v>1</v>
      </c>
      <c r="U12" s="94">
        <f t="shared" si="4"/>
        <v>0</v>
      </c>
      <c r="V12" s="94">
        <v>31</v>
      </c>
      <c r="W12" s="94">
        <v>9</v>
      </c>
      <c r="X12" s="94">
        <f t="shared" si="5"/>
        <v>40</v>
      </c>
      <c r="Y12" s="95">
        <v>19</v>
      </c>
      <c r="Z12" s="95">
        <v>3</v>
      </c>
      <c r="AA12" s="95">
        <f t="shared" si="6"/>
        <v>4</v>
      </c>
      <c r="AB12" s="95">
        <f t="shared" si="7"/>
        <v>0</v>
      </c>
      <c r="AC12" s="95">
        <v>17</v>
      </c>
      <c r="AD12" s="95">
        <v>3</v>
      </c>
      <c r="AE12" s="95">
        <f t="shared" si="8"/>
        <v>2</v>
      </c>
      <c r="AF12" s="95">
        <f t="shared" si="9"/>
        <v>0</v>
      </c>
      <c r="AG12" s="95">
        <v>45</v>
      </c>
      <c r="AH12" s="95">
        <v>9</v>
      </c>
      <c r="AI12" s="95">
        <f t="shared" si="10"/>
        <v>54</v>
      </c>
      <c r="AJ12" s="96">
        <v>15</v>
      </c>
      <c r="AK12" s="96">
        <v>3</v>
      </c>
      <c r="AL12" s="96">
        <f t="shared" si="11"/>
        <v>2</v>
      </c>
      <c r="AM12" s="96">
        <f t="shared" si="12"/>
        <v>0</v>
      </c>
      <c r="AN12" s="96">
        <v>15</v>
      </c>
      <c r="AO12" s="96">
        <v>3</v>
      </c>
      <c r="AP12" s="96">
        <f t="shared" si="13"/>
        <v>0</v>
      </c>
      <c r="AQ12" s="96">
        <f t="shared" si="14"/>
        <v>0</v>
      </c>
      <c r="AR12" s="96">
        <v>45</v>
      </c>
      <c r="AS12" s="96">
        <v>12</v>
      </c>
      <c r="AT12" s="96">
        <f t="shared" si="15"/>
        <v>57</v>
      </c>
      <c r="AU12" s="97">
        <v>14</v>
      </c>
      <c r="AV12" s="97">
        <v>3</v>
      </c>
      <c r="AW12" s="4">
        <f t="shared" si="16"/>
        <v>1</v>
      </c>
      <c r="AX12" s="4">
        <f t="shared" si="17"/>
        <v>0</v>
      </c>
      <c r="AY12" s="99">
        <f t="shared" si="18"/>
        <v>10</v>
      </c>
      <c r="AZ12" s="99">
        <f t="shared" si="19"/>
        <v>0</v>
      </c>
      <c r="BA12" s="100">
        <f t="shared" si="20"/>
        <v>0.37037037037037035</v>
      </c>
      <c r="BB12" s="100">
        <f t="shared" si="21"/>
        <v>0.22972972972972974</v>
      </c>
      <c r="BC12" s="100">
        <f t="shared" si="22"/>
        <v>0.14736842105263157</v>
      </c>
      <c r="BD12" s="89" t="str">
        <f t="shared" si="23"/>
        <v>Graduado</v>
      </c>
    </row>
    <row r="13" spans="1:56" customFormat="1" hidden="1">
      <c r="A13" s="7" t="s">
        <v>48</v>
      </c>
      <c r="B13" s="1" t="s">
        <v>49</v>
      </c>
      <c r="C13" s="21">
        <v>5</v>
      </c>
      <c r="D13" s="1">
        <v>126</v>
      </c>
      <c r="E13" s="21">
        <v>81</v>
      </c>
      <c r="F13" s="21">
        <v>70</v>
      </c>
      <c r="G13" s="21">
        <v>39</v>
      </c>
      <c r="H13" s="24">
        <f t="shared" si="0"/>
        <v>0.55714285714285716</v>
      </c>
      <c r="I13" s="26">
        <v>0</v>
      </c>
      <c r="J13" s="10">
        <v>0</v>
      </c>
      <c r="K13" s="10">
        <v>0</v>
      </c>
      <c r="L13" s="25" t="e">
        <f t="shared" si="1"/>
        <v>#DIV/0!</v>
      </c>
      <c r="M13" s="10">
        <v>0</v>
      </c>
      <c r="N13" s="11">
        <v>0</v>
      </c>
      <c r="O13" s="11">
        <v>0</v>
      </c>
      <c r="P13" s="2">
        <f t="shared" si="2"/>
        <v>0</v>
      </c>
      <c r="Q13" s="11">
        <v>0</v>
      </c>
      <c r="R13" s="11">
        <v>0</v>
      </c>
      <c r="S13" s="11">
        <v>0</v>
      </c>
      <c r="T13" s="2">
        <f t="shared" si="3"/>
        <v>0</v>
      </c>
      <c r="U13" s="2">
        <f t="shared" si="4"/>
        <v>0</v>
      </c>
      <c r="V13" s="11">
        <v>0</v>
      </c>
      <c r="W13" s="11">
        <v>0</v>
      </c>
      <c r="X13" s="2">
        <f t="shared" si="5"/>
        <v>0</v>
      </c>
      <c r="Y13" s="18">
        <v>0</v>
      </c>
      <c r="Z13" s="18">
        <v>0</v>
      </c>
      <c r="AA13" s="17">
        <f t="shared" si="6"/>
        <v>0</v>
      </c>
      <c r="AB13" s="17">
        <f t="shared" si="7"/>
        <v>0</v>
      </c>
      <c r="AC13" s="18">
        <v>0</v>
      </c>
      <c r="AD13" s="18">
        <v>0</v>
      </c>
      <c r="AE13" s="17">
        <f t="shared" si="8"/>
        <v>0</v>
      </c>
      <c r="AF13" s="17">
        <f t="shared" si="9"/>
        <v>0</v>
      </c>
      <c r="AG13" s="18">
        <v>0</v>
      </c>
      <c r="AH13" s="18">
        <v>0</v>
      </c>
      <c r="AI13" s="17">
        <f t="shared" si="10"/>
        <v>0</v>
      </c>
      <c r="AJ13" s="16">
        <v>0</v>
      </c>
      <c r="AK13" s="16">
        <v>0</v>
      </c>
      <c r="AL13" s="52">
        <f t="shared" si="11"/>
        <v>0</v>
      </c>
      <c r="AM13" s="52">
        <f t="shared" si="12"/>
        <v>0</v>
      </c>
      <c r="AN13" s="16">
        <v>0</v>
      </c>
      <c r="AO13" s="16">
        <v>0</v>
      </c>
      <c r="AP13" s="52">
        <f t="shared" si="13"/>
        <v>0</v>
      </c>
      <c r="AQ13" s="52">
        <f t="shared" si="14"/>
        <v>0</v>
      </c>
      <c r="AR13" s="16">
        <v>0</v>
      </c>
      <c r="AS13" s="16">
        <v>0</v>
      </c>
      <c r="AT13" s="52">
        <f t="shared" si="15"/>
        <v>0</v>
      </c>
      <c r="AU13" s="12">
        <v>0</v>
      </c>
      <c r="AV13" s="12">
        <v>0</v>
      </c>
      <c r="AW13" s="4">
        <f t="shared" si="16"/>
        <v>0</v>
      </c>
      <c r="AX13" s="4">
        <f t="shared" si="17"/>
        <v>0</v>
      </c>
      <c r="AY13" s="13">
        <f t="shared" si="18"/>
        <v>0</v>
      </c>
      <c r="AZ13" s="13">
        <f t="shared" si="19"/>
        <v>0</v>
      </c>
      <c r="BA13" s="14" t="e">
        <f t="shared" si="20"/>
        <v>#DIV/0!</v>
      </c>
      <c r="BB13" s="14">
        <f t="shared" si="21"/>
        <v>0</v>
      </c>
      <c r="BC13" s="14">
        <f t="shared" si="22"/>
        <v>0</v>
      </c>
      <c r="BD13" s="1" t="str">
        <f t="shared" si="23"/>
        <v>En Proceso</v>
      </c>
    </row>
    <row r="14" spans="1:56" customFormat="1" hidden="1">
      <c r="A14" s="88" t="s">
        <v>50</v>
      </c>
      <c r="B14" s="89" t="s">
        <v>51</v>
      </c>
      <c r="C14" s="90">
        <v>6</v>
      </c>
      <c r="D14" s="89">
        <v>99</v>
      </c>
      <c r="E14" s="89">
        <v>90</v>
      </c>
      <c r="F14" s="89">
        <v>74</v>
      </c>
      <c r="G14" s="89">
        <v>32</v>
      </c>
      <c r="H14" s="81">
        <f t="shared" si="0"/>
        <v>0.43243243243243246</v>
      </c>
      <c r="I14" s="92">
        <v>30</v>
      </c>
      <c r="J14" s="92">
        <v>23</v>
      </c>
      <c r="K14" s="92">
        <v>23</v>
      </c>
      <c r="L14" s="82">
        <f t="shared" si="1"/>
        <v>1</v>
      </c>
      <c r="M14" s="92">
        <v>2</v>
      </c>
      <c r="N14" s="94">
        <v>23</v>
      </c>
      <c r="O14" s="94">
        <v>1</v>
      </c>
      <c r="P14" s="94">
        <f t="shared" si="2"/>
        <v>24</v>
      </c>
      <c r="Q14" s="94">
        <v>2</v>
      </c>
      <c r="R14" s="94">
        <v>23</v>
      </c>
      <c r="S14" s="94">
        <v>2</v>
      </c>
      <c r="T14" s="94">
        <f t="shared" si="3"/>
        <v>1</v>
      </c>
      <c r="U14" s="94">
        <f t="shared" si="4"/>
        <v>0</v>
      </c>
      <c r="V14" s="94">
        <v>52</v>
      </c>
      <c r="W14" s="94">
        <v>6</v>
      </c>
      <c r="X14" s="94">
        <f t="shared" si="5"/>
        <v>58</v>
      </c>
      <c r="Y14" s="95">
        <v>22</v>
      </c>
      <c r="Z14" s="95">
        <v>2</v>
      </c>
      <c r="AA14" s="95">
        <f t="shared" si="6"/>
        <v>1</v>
      </c>
      <c r="AB14" s="95">
        <f t="shared" si="7"/>
        <v>0</v>
      </c>
      <c r="AC14" s="95">
        <v>22</v>
      </c>
      <c r="AD14" s="95">
        <v>1</v>
      </c>
      <c r="AE14" s="95">
        <f t="shared" si="8"/>
        <v>0</v>
      </c>
      <c r="AF14" s="95">
        <f t="shared" si="9"/>
        <v>1</v>
      </c>
      <c r="AG14" s="95">
        <v>38</v>
      </c>
      <c r="AH14" s="95">
        <v>3</v>
      </c>
      <c r="AI14" s="95">
        <f t="shared" si="10"/>
        <v>41</v>
      </c>
      <c r="AJ14" s="108">
        <v>20</v>
      </c>
      <c r="AK14" s="108">
        <v>1</v>
      </c>
      <c r="AL14" s="96">
        <f t="shared" si="11"/>
        <v>2</v>
      </c>
      <c r="AM14" s="96">
        <f t="shared" si="12"/>
        <v>0</v>
      </c>
      <c r="AN14" s="108">
        <v>19</v>
      </c>
      <c r="AO14" s="108">
        <v>1</v>
      </c>
      <c r="AP14" s="96">
        <f t="shared" si="13"/>
        <v>1</v>
      </c>
      <c r="AQ14" s="96">
        <f t="shared" si="14"/>
        <v>0</v>
      </c>
      <c r="AR14" s="108">
        <v>36</v>
      </c>
      <c r="AS14" s="108">
        <v>6</v>
      </c>
      <c r="AT14" s="96">
        <f t="shared" si="15"/>
        <v>42</v>
      </c>
      <c r="AU14" s="98">
        <v>19</v>
      </c>
      <c r="AV14" s="98">
        <v>1</v>
      </c>
      <c r="AW14" s="85">
        <f t="shared" si="16"/>
        <v>0</v>
      </c>
      <c r="AX14" s="85">
        <f t="shared" si="17"/>
        <v>0</v>
      </c>
      <c r="AY14" s="99">
        <f t="shared" si="18"/>
        <v>5</v>
      </c>
      <c r="AZ14" s="99">
        <f t="shared" si="19"/>
        <v>1</v>
      </c>
      <c r="BA14" s="100">
        <f t="shared" si="20"/>
        <v>0.23076923076923078</v>
      </c>
      <c r="BB14" s="100">
        <f t="shared" si="21"/>
        <v>0.22222222222222221</v>
      </c>
      <c r="BC14" s="100">
        <f t="shared" si="22"/>
        <v>0.19191919191919191</v>
      </c>
      <c r="BD14" s="89" t="str">
        <f t="shared" si="23"/>
        <v>Graduado</v>
      </c>
    </row>
    <row r="15" spans="1:56" customFormat="1">
      <c r="A15" s="7" t="s">
        <v>52</v>
      </c>
      <c r="B15" s="1" t="s">
        <v>53</v>
      </c>
      <c r="C15" s="21">
        <v>6</v>
      </c>
      <c r="D15" s="1">
        <v>58</v>
      </c>
      <c r="E15" s="1">
        <v>36</v>
      </c>
      <c r="F15" s="1">
        <v>35</v>
      </c>
      <c r="G15" s="1">
        <v>11</v>
      </c>
      <c r="H15" s="24">
        <f>+G15/F15</f>
        <v>0.31428571428571428</v>
      </c>
      <c r="I15" s="9">
        <v>10</v>
      </c>
      <c r="J15" s="9">
        <v>10</v>
      </c>
      <c r="K15" s="9">
        <v>9</v>
      </c>
      <c r="L15" s="25">
        <f>+K15/J15</f>
        <v>0.9</v>
      </c>
      <c r="M15" s="9">
        <v>3</v>
      </c>
      <c r="N15" s="2">
        <v>7</v>
      </c>
      <c r="O15" s="2"/>
      <c r="P15" s="2">
        <f>+O15+N15</f>
        <v>7</v>
      </c>
      <c r="Q15" s="2">
        <v>3</v>
      </c>
      <c r="R15" s="2">
        <v>5</v>
      </c>
      <c r="S15" s="2">
        <v>3</v>
      </c>
      <c r="T15" s="2">
        <f>+P15-R15</f>
        <v>2</v>
      </c>
      <c r="U15" s="2">
        <f>+Q15-S15</f>
        <v>0</v>
      </c>
      <c r="V15" s="2">
        <v>5</v>
      </c>
      <c r="W15" s="2">
        <v>17</v>
      </c>
      <c r="X15" s="2">
        <f>+W15+V15</f>
        <v>22</v>
      </c>
      <c r="Y15" s="51">
        <v>3</v>
      </c>
      <c r="Z15" s="51">
        <v>3</v>
      </c>
      <c r="AA15" s="17">
        <f>+R15-Y15</f>
        <v>2</v>
      </c>
      <c r="AB15" s="17">
        <f>+S15-Z15</f>
        <v>0</v>
      </c>
      <c r="AC15" s="51">
        <v>3</v>
      </c>
      <c r="AD15" s="51">
        <v>3</v>
      </c>
      <c r="AE15" s="17">
        <f>+Y15-AC15</f>
        <v>0</v>
      </c>
      <c r="AF15" s="17">
        <f>+Z15-AD15</f>
        <v>0</v>
      </c>
      <c r="AG15" s="51">
        <v>5</v>
      </c>
      <c r="AH15" s="51">
        <v>16</v>
      </c>
      <c r="AI15" s="17">
        <f>+AH15+AG15</f>
        <v>21</v>
      </c>
      <c r="AJ15" s="52">
        <v>0</v>
      </c>
      <c r="AK15" s="52">
        <v>2</v>
      </c>
      <c r="AL15" s="52">
        <f>+AC15-AJ15</f>
        <v>3</v>
      </c>
      <c r="AM15" s="52">
        <f>+AD15-AK15</f>
        <v>1</v>
      </c>
      <c r="AN15" s="52">
        <v>0</v>
      </c>
      <c r="AO15" s="52">
        <v>2</v>
      </c>
      <c r="AP15" s="52">
        <f>+AJ15-AN15</f>
        <v>0</v>
      </c>
      <c r="AQ15" s="52">
        <f>+AK15-AO15</f>
        <v>0</v>
      </c>
      <c r="AR15" s="52">
        <v>0</v>
      </c>
      <c r="AS15" s="52">
        <v>12</v>
      </c>
      <c r="AT15" s="52">
        <f>+AS15+AR15</f>
        <v>12</v>
      </c>
      <c r="AU15" s="54">
        <v>0</v>
      </c>
      <c r="AV15" s="54">
        <v>2</v>
      </c>
      <c r="AW15" s="4">
        <f>+AN15-AU15</f>
        <v>0</v>
      </c>
      <c r="AX15" s="4">
        <f>+AO15-AV15</f>
        <v>0</v>
      </c>
      <c r="AY15" s="13">
        <f>+P15-AU15</f>
        <v>7</v>
      </c>
      <c r="AZ15" s="13">
        <f>+Q15-AV15</f>
        <v>1</v>
      </c>
      <c r="BA15" s="14">
        <f>+(AY15+AZ15)/(P15+Q15)</f>
        <v>0.8</v>
      </c>
      <c r="BB15" s="14">
        <f>+(AU15+AV15)/E15</f>
        <v>5.5555555555555552E-2</v>
      </c>
      <c r="BC15" s="14">
        <f>+AU15/D15</f>
        <v>0</v>
      </c>
      <c r="BD15" s="1" t="s">
        <v>54</v>
      </c>
    </row>
    <row r="16" spans="1:56" customFormat="1" hidden="1">
      <c r="A16" s="88" t="s">
        <v>50</v>
      </c>
      <c r="B16" s="89" t="s">
        <v>51</v>
      </c>
      <c r="C16" s="90">
        <v>7</v>
      </c>
      <c r="D16" s="89">
        <v>122</v>
      </c>
      <c r="E16" s="89">
        <v>114</v>
      </c>
      <c r="F16" s="89">
        <v>105</v>
      </c>
      <c r="G16" s="89">
        <v>54</v>
      </c>
      <c r="H16" s="91">
        <f>+G16/F16</f>
        <v>0.51428571428571423</v>
      </c>
      <c r="I16" s="92">
        <v>48</v>
      </c>
      <c r="J16" s="92">
        <v>44</v>
      </c>
      <c r="K16" s="92">
        <v>44</v>
      </c>
      <c r="L16" s="93">
        <f>+K16/J16</f>
        <v>1</v>
      </c>
      <c r="M16" s="92">
        <v>3</v>
      </c>
      <c r="N16" s="94">
        <v>43</v>
      </c>
      <c r="O16" s="94">
        <v>1</v>
      </c>
      <c r="P16" s="94">
        <f>+O16+N16</f>
        <v>44</v>
      </c>
      <c r="Q16" s="94">
        <v>2</v>
      </c>
      <c r="R16" s="94">
        <v>44</v>
      </c>
      <c r="S16" s="94">
        <v>2</v>
      </c>
      <c r="T16" s="94">
        <f>+P16-R16</f>
        <v>0</v>
      </c>
      <c r="U16" s="94">
        <f>+Q16-S16</f>
        <v>0</v>
      </c>
      <c r="V16" s="94">
        <v>87</v>
      </c>
      <c r="W16" s="94">
        <v>8</v>
      </c>
      <c r="X16" s="94">
        <f>+W16+V16</f>
        <v>95</v>
      </c>
      <c r="Y16" s="95">
        <v>36</v>
      </c>
      <c r="Z16" s="95">
        <v>2</v>
      </c>
      <c r="AA16" s="95">
        <f>+R16-Y16</f>
        <v>8</v>
      </c>
      <c r="AB16" s="95">
        <f>+S16-Z16</f>
        <v>0</v>
      </c>
      <c r="AC16" s="95">
        <v>33</v>
      </c>
      <c r="AD16" s="95">
        <v>2</v>
      </c>
      <c r="AE16" s="95">
        <f>+Y16-AC16</f>
        <v>3</v>
      </c>
      <c r="AF16" s="95">
        <f>+Z16-AD16</f>
        <v>0</v>
      </c>
      <c r="AG16" s="95">
        <v>48</v>
      </c>
      <c r="AH16" s="95">
        <v>10</v>
      </c>
      <c r="AI16" s="95">
        <f>+AH16+AG16</f>
        <v>58</v>
      </c>
      <c r="AJ16" s="108">
        <v>33</v>
      </c>
      <c r="AK16" s="108">
        <v>2</v>
      </c>
      <c r="AL16" s="96">
        <f>+AC16-AJ16</f>
        <v>0</v>
      </c>
      <c r="AM16" s="96">
        <f>+AD16-AK16</f>
        <v>0</v>
      </c>
      <c r="AN16" s="108">
        <v>29</v>
      </c>
      <c r="AO16" s="108">
        <v>2</v>
      </c>
      <c r="AP16" s="96">
        <f>+AJ16-AN16</f>
        <v>4</v>
      </c>
      <c r="AQ16" s="96">
        <f>+AK16-AO16</f>
        <v>0</v>
      </c>
      <c r="AR16" s="108">
        <v>54</v>
      </c>
      <c r="AS16" s="108">
        <v>7</v>
      </c>
      <c r="AT16" s="96">
        <f>+AS16+AR16</f>
        <v>61</v>
      </c>
      <c r="AU16" s="98">
        <v>33</v>
      </c>
      <c r="AV16" s="98">
        <v>2</v>
      </c>
      <c r="AW16" s="98">
        <f>+AN16-AU16</f>
        <v>-4</v>
      </c>
      <c r="AX16" s="98">
        <f>+AO16-AV16</f>
        <v>0</v>
      </c>
      <c r="AY16" s="99">
        <f>+P16-AU16</f>
        <v>11</v>
      </c>
      <c r="AZ16" s="99">
        <f>+Q16-AV16</f>
        <v>0</v>
      </c>
      <c r="BA16" s="100">
        <f>+(AY16+AZ16)/(P16+Q16)</f>
        <v>0.2391304347826087</v>
      </c>
      <c r="BB16" s="100">
        <f>+(AU16+AV16)/E16</f>
        <v>0.30701754385964913</v>
      </c>
      <c r="BC16" s="100">
        <f>+AU16/D16</f>
        <v>0.27049180327868855</v>
      </c>
      <c r="BD16" s="89" t="str">
        <f>IF(AU16&gt;0,"Graduado","En Proceso")</f>
        <v>Graduado</v>
      </c>
    </row>
    <row r="17" spans="1:56" customFormat="1">
      <c r="A17" s="7" t="s">
        <v>52</v>
      </c>
      <c r="B17" s="1" t="s">
        <v>53</v>
      </c>
      <c r="C17" s="21">
        <v>7</v>
      </c>
      <c r="D17" s="1">
        <v>79</v>
      </c>
      <c r="E17" s="1">
        <v>58</v>
      </c>
      <c r="F17" s="1">
        <v>45</v>
      </c>
      <c r="G17" s="1">
        <v>25</v>
      </c>
      <c r="H17" s="24">
        <f>+G17/F17</f>
        <v>0.55555555555555558</v>
      </c>
      <c r="I17" s="9">
        <v>22</v>
      </c>
      <c r="J17" s="9">
        <v>20</v>
      </c>
      <c r="K17" s="9">
        <v>20</v>
      </c>
      <c r="L17" s="25">
        <f>+K17/J17</f>
        <v>1</v>
      </c>
      <c r="M17" s="9">
        <v>3</v>
      </c>
      <c r="N17" s="2">
        <v>17</v>
      </c>
      <c r="O17" s="2"/>
      <c r="P17" s="2">
        <f>+O17+N17</f>
        <v>17</v>
      </c>
      <c r="Q17" s="2">
        <v>3</v>
      </c>
      <c r="R17" s="2">
        <v>16</v>
      </c>
      <c r="S17" s="2">
        <v>3</v>
      </c>
      <c r="T17" s="2">
        <f>+P17-R17</f>
        <v>1</v>
      </c>
      <c r="U17" s="2">
        <f>+Q17-S17</f>
        <v>0</v>
      </c>
      <c r="V17" s="2">
        <v>26</v>
      </c>
      <c r="W17" s="2">
        <v>8</v>
      </c>
      <c r="X17" s="2">
        <f>+W17+V17</f>
        <v>34</v>
      </c>
      <c r="Y17" s="51">
        <v>14</v>
      </c>
      <c r="Z17" s="51">
        <v>2</v>
      </c>
      <c r="AA17" s="17">
        <f>+R17-Y17</f>
        <v>2</v>
      </c>
      <c r="AB17" s="17">
        <f>+S17-Z17</f>
        <v>1</v>
      </c>
      <c r="AC17" s="51">
        <v>14</v>
      </c>
      <c r="AD17" s="51">
        <v>2</v>
      </c>
      <c r="AE17" s="17">
        <f>+Y17-AC17</f>
        <v>0</v>
      </c>
      <c r="AF17" s="17">
        <f>+Z17-AD17</f>
        <v>0</v>
      </c>
      <c r="AG17" s="51">
        <v>16</v>
      </c>
      <c r="AH17" s="51">
        <v>4</v>
      </c>
      <c r="AI17" s="17">
        <f>+AH17+AG17</f>
        <v>20</v>
      </c>
      <c r="AJ17" s="52">
        <v>9</v>
      </c>
      <c r="AK17" s="52">
        <v>3</v>
      </c>
      <c r="AL17" s="52">
        <f>+AC17-AJ17</f>
        <v>5</v>
      </c>
      <c r="AM17" s="52">
        <f>+AD17-AK17</f>
        <v>-1</v>
      </c>
      <c r="AN17" s="52">
        <v>9</v>
      </c>
      <c r="AO17" s="52">
        <v>3</v>
      </c>
      <c r="AP17" s="52">
        <f>+AJ17-AN17</f>
        <v>0</v>
      </c>
      <c r="AQ17" s="52">
        <f>+AK17-AO17</f>
        <v>0</v>
      </c>
      <c r="AR17" s="52">
        <v>16</v>
      </c>
      <c r="AS17" s="52">
        <v>17</v>
      </c>
      <c r="AT17" s="52">
        <f>+AS17+AR17</f>
        <v>33</v>
      </c>
      <c r="AU17" s="54">
        <v>8</v>
      </c>
      <c r="AV17" s="54">
        <v>3</v>
      </c>
      <c r="AW17" s="4">
        <f>+AN17-AU17</f>
        <v>1</v>
      </c>
      <c r="AX17" s="4">
        <f>+AO17-AV17</f>
        <v>0</v>
      </c>
      <c r="AY17" s="13">
        <f>+P17-AU17</f>
        <v>9</v>
      </c>
      <c r="AZ17" s="13">
        <f>+Q17-AV17</f>
        <v>0</v>
      </c>
      <c r="BA17" s="14">
        <f>+(AY17+AZ17)/(P17+Q17)</f>
        <v>0.45</v>
      </c>
      <c r="BB17" s="14">
        <f>+(AU17+AV17)/E17</f>
        <v>0.18965517241379309</v>
      </c>
      <c r="BC17" s="14">
        <f>+AU17/D17</f>
        <v>0.10126582278481013</v>
      </c>
      <c r="BD17" s="1" t="str">
        <f>IF(AU17&gt;0,"Graduado","En Proceso")</f>
        <v>Graduado</v>
      </c>
    </row>
    <row r="18" spans="1:56" customFormat="1" hidden="1">
      <c r="A18" s="88" t="s">
        <v>55</v>
      </c>
      <c r="B18" s="89" t="s">
        <v>51</v>
      </c>
      <c r="C18" s="90">
        <v>8</v>
      </c>
      <c r="D18" s="89">
        <v>190</v>
      </c>
      <c r="E18" s="90">
        <v>150</v>
      </c>
      <c r="F18" s="90">
        <v>130</v>
      </c>
      <c r="G18" s="90">
        <v>55</v>
      </c>
      <c r="H18" s="91">
        <f>+G18/F18</f>
        <v>0.42307692307692307</v>
      </c>
      <c r="I18" s="107">
        <v>55</v>
      </c>
      <c r="J18" s="102">
        <v>47</v>
      </c>
      <c r="K18" s="102">
        <v>44</v>
      </c>
      <c r="L18" s="109">
        <f>+K18/J18</f>
        <v>0.93617021276595747</v>
      </c>
      <c r="M18" s="102">
        <v>3</v>
      </c>
      <c r="N18" s="94">
        <v>37</v>
      </c>
      <c r="O18" s="103">
        <v>0</v>
      </c>
      <c r="P18" s="94">
        <f>+O18+N18</f>
        <v>37</v>
      </c>
      <c r="Q18" s="103">
        <v>3</v>
      </c>
      <c r="R18" s="103">
        <v>37</v>
      </c>
      <c r="S18" s="103">
        <v>3</v>
      </c>
      <c r="T18" s="94">
        <f>+P18-R18</f>
        <v>0</v>
      </c>
      <c r="U18" s="94">
        <f>+Q18-S18</f>
        <v>0</v>
      </c>
      <c r="V18" s="103">
        <v>37</v>
      </c>
      <c r="W18" s="103">
        <v>10</v>
      </c>
      <c r="X18" s="94">
        <f>+W18+V18</f>
        <v>47</v>
      </c>
      <c r="Y18" s="104">
        <v>31</v>
      </c>
      <c r="Z18" s="104">
        <v>2</v>
      </c>
      <c r="AA18" s="95">
        <f>+R18-Y18</f>
        <v>6</v>
      </c>
      <c r="AB18" s="95">
        <f>+S18-Z18</f>
        <v>1</v>
      </c>
      <c r="AC18" s="104">
        <v>30</v>
      </c>
      <c r="AD18" s="104">
        <v>2</v>
      </c>
      <c r="AE18" s="95">
        <f>+Y18-AC18</f>
        <v>1</v>
      </c>
      <c r="AF18" s="95">
        <f>+Z18-AD18</f>
        <v>0</v>
      </c>
      <c r="AG18" s="104">
        <v>34</v>
      </c>
      <c r="AH18" s="104">
        <v>10</v>
      </c>
      <c r="AI18" s="95">
        <f>+AH18+AG18</f>
        <v>44</v>
      </c>
      <c r="AJ18" s="105">
        <v>27</v>
      </c>
      <c r="AK18" s="105">
        <v>2</v>
      </c>
      <c r="AL18" s="96">
        <f>+AC18-AJ18</f>
        <v>3</v>
      </c>
      <c r="AM18" s="96">
        <f>+AD18-AK18</f>
        <v>0</v>
      </c>
      <c r="AN18" s="105"/>
      <c r="AO18" s="105"/>
      <c r="AP18" s="96">
        <f>+AJ18-AN18</f>
        <v>27</v>
      </c>
      <c r="AQ18" s="96">
        <f>+AK18-AO18</f>
        <v>2</v>
      </c>
      <c r="AR18" s="105">
        <v>41</v>
      </c>
      <c r="AS18" s="105">
        <v>10</v>
      </c>
      <c r="AT18" s="96">
        <f>+AS18+AR18</f>
        <v>51</v>
      </c>
      <c r="AU18" s="106">
        <v>23</v>
      </c>
      <c r="AV18" s="106">
        <v>2</v>
      </c>
      <c r="AW18" s="110">
        <f>+AN18-AU18</f>
        <v>-23</v>
      </c>
      <c r="AX18" s="110">
        <f>+AO18-AV18</f>
        <v>-2</v>
      </c>
      <c r="AY18" s="99">
        <f>+P18-AU18</f>
        <v>14</v>
      </c>
      <c r="AZ18" s="99">
        <f>+Q18-AV18</f>
        <v>1</v>
      </c>
      <c r="BA18" s="100">
        <f>+(AY18+AZ18)/(P18+Q18)</f>
        <v>0.375</v>
      </c>
      <c r="BB18" s="100">
        <f>+(AU18+AV18)/E18</f>
        <v>0.16666666666666666</v>
      </c>
      <c r="BC18" s="100">
        <f>+AU18/D18</f>
        <v>0.12105263157894737</v>
      </c>
      <c r="BD18" s="89" t="str">
        <f>IF(AU18&gt;0,"Graduado","En Proceso")</f>
        <v>Graduado</v>
      </c>
    </row>
    <row r="19" spans="1:56" s="5" customFormat="1">
      <c r="A19" s="7" t="s">
        <v>52</v>
      </c>
      <c r="B19" s="1" t="s">
        <v>53</v>
      </c>
      <c r="C19" s="21">
        <v>8</v>
      </c>
      <c r="D19" s="1">
        <v>79</v>
      </c>
      <c r="E19" s="1">
        <v>50</v>
      </c>
      <c r="F19" s="1">
        <v>45</v>
      </c>
      <c r="G19" s="1">
        <v>32</v>
      </c>
      <c r="H19" s="24">
        <f>+G19/F19</f>
        <v>0.71111111111111114</v>
      </c>
      <c r="I19" s="9">
        <v>28</v>
      </c>
      <c r="J19" s="9">
        <v>21</v>
      </c>
      <c r="K19" s="9">
        <v>21</v>
      </c>
      <c r="L19" s="25">
        <f>+K19/J19</f>
        <v>1</v>
      </c>
      <c r="M19" s="9">
        <v>10</v>
      </c>
      <c r="N19" s="2">
        <v>17</v>
      </c>
      <c r="O19" s="2"/>
      <c r="P19" s="2">
        <f>+O19+N19</f>
        <v>17</v>
      </c>
      <c r="Q19" s="2">
        <v>8</v>
      </c>
      <c r="R19" s="2">
        <v>14</v>
      </c>
      <c r="S19" s="2">
        <v>8</v>
      </c>
      <c r="T19" s="2">
        <f>+P19-R19</f>
        <v>3</v>
      </c>
      <c r="U19" s="2">
        <f>+Q19-S19</f>
        <v>0</v>
      </c>
      <c r="V19" s="2">
        <v>25</v>
      </c>
      <c r="W19" s="2">
        <v>29</v>
      </c>
      <c r="X19" s="2">
        <f>+W19+V19</f>
        <v>54</v>
      </c>
      <c r="Y19" s="51">
        <v>10</v>
      </c>
      <c r="Z19" s="51">
        <v>8</v>
      </c>
      <c r="AA19" s="17">
        <f>+R19-Y19</f>
        <v>4</v>
      </c>
      <c r="AB19" s="17">
        <f>+S19-Z19</f>
        <v>0</v>
      </c>
      <c r="AC19" s="51">
        <v>10</v>
      </c>
      <c r="AD19" s="51">
        <v>7</v>
      </c>
      <c r="AE19" s="17">
        <f>+Y19-AC19</f>
        <v>0</v>
      </c>
      <c r="AF19" s="17">
        <f>+Z19-AD19</f>
        <v>1</v>
      </c>
      <c r="AG19" s="51">
        <v>21</v>
      </c>
      <c r="AH19" s="51">
        <v>22</v>
      </c>
      <c r="AI19" s="17">
        <f>+AH19+AG19</f>
        <v>43</v>
      </c>
      <c r="AJ19" s="52">
        <v>9</v>
      </c>
      <c r="AK19" s="52">
        <v>5</v>
      </c>
      <c r="AL19" s="52">
        <f>+AC19-AJ19</f>
        <v>1</v>
      </c>
      <c r="AM19" s="52">
        <f>+AD19-AK19</f>
        <v>2</v>
      </c>
      <c r="AN19" s="52">
        <v>7</v>
      </c>
      <c r="AO19" s="52">
        <v>5</v>
      </c>
      <c r="AP19" s="52">
        <f>+AJ19-AN19</f>
        <v>2</v>
      </c>
      <c r="AQ19" s="52">
        <f>+AK19-AO19</f>
        <v>0</v>
      </c>
      <c r="AR19" s="52">
        <v>19</v>
      </c>
      <c r="AS19" s="52">
        <v>11</v>
      </c>
      <c r="AT19" s="52">
        <f>+AS19+AR19</f>
        <v>30</v>
      </c>
      <c r="AU19" s="54">
        <v>7</v>
      </c>
      <c r="AV19" s="54">
        <v>5</v>
      </c>
      <c r="AW19" s="4">
        <f>+AN19-AU19</f>
        <v>0</v>
      </c>
      <c r="AX19" s="4">
        <f>+AO19-AV19</f>
        <v>0</v>
      </c>
      <c r="AY19" s="13">
        <f>+P19-AU19</f>
        <v>10</v>
      </c>
      <c r="AZ19" s="13">
        <f>+Q19-AV19</f>
        <v>3</v>
      </c>
      <c r="BA19" s="14">
        <f>+(AY19+AZ19)/(P19+Q19)</f>
        <v>0.52</v>
      </c>
      <c r="BB19" s="14">
        <f>+(AU19+AV19)/E19</f>
        <v>0.24</v>
      </c>
      <c r="BC19" s="14">
        <f>+AU19/D19</f>
        <v>8.8607594936708861E-2</v>
      </c>
      <c r="BD19" s="1" t="str">
        <f>IF(AU19&gt;0,"Graduado","En Proceso")</f>
        <v>Graduado</v>
      </c>
    </row>
    <row r="20" spans="1:56" customFormat="1" hidden="1">
      <c r="A20" s="7" t="s">
        <v>56</v>
      </c>
      <c r="B20" s="1" t="s">
        <v>51</v>
      </c>
      <c r="C20" s="21">
        <v>9</v>
      </c>
      <c r="D20" s="1">
        <v>148</v>
      </c>
      <c r="E20" s="1">
        <v>127</v>
      </c>
      <c r="F20" s="1">
        <v>115</v>
      </c>
      <c r="G20" s="1">
        <v>56</v>
      </c>
      <c r="H20" s="24">
        <f>+G20/F20</f>
        <v>0.48695652173913045</v>
      </c>
      <c r="I20" s="9">
        <v>57</v>
      </c>
      <c r="J20" s="10">
        <v>56</v>
      </c>
      <c r="K20" s="10">
        <v>52</v>
      </c>
      <c r="L20" s="25">
        <f>+K20/J20</f>
        <v>0.9285714285714286</v>
      </c>
      <c r="M20" s="10">
        <v>2</v>
      </c>
      <c r="N20" s="2">
        <v>47</v>
      </c>
      <c r="O20" s="11">
        <v>0</v>
      </c>
      <c r="P20" s="2">
        <f>+O20+N20</f>
        <v>47</v>
      </c>
      <c r="Q20" s="11">
        <v>2</v>
      </c>
      <c r="R20" s="11">
        <v>38</v>
      </c>
      <c r="S20" s="11">
        <v>2</v>
      </c>
      <c r="T20" s="2">
        <f>+P20-R20</f>
        <v>9</v>
      </c>
      <c r="U20" s="2">
        <f>+Q20-S20</f>
        <v>0</v>
      </c>
      <c r="V20" s="11">
        <v>38</v>
      </c>
      <c r="W20" s="11">
        <v>10</v>
      </c>
      <c r="X20" s="2">
        <f>+W20+V20</f>
        <v>48</v>
      </c>
      <c r="Y20" s="18">
        <v>35</v>
      </c>
      <c r="Z20" s="18">
        <v>2</v>
      </c>
      <c r="AA20" s="17">
        <f>+R20-Y20</f>
        <v>3</v>
      </c>
      <c r="AB20" s="17">
        <f>+S20-Z20</f>
        <v>0</v>
      </c>
      <c r="AC20" s="18">
        <v>32</v>
      </c>
      <c r="AD20" s="18">
        <v>2</v>
      </c>
      <c r="AE20" s="17">
        <f>+Y20-AC20</f>
        <v>3</v>
      </c>
      <c r="AF20" s="17">
        <f>+Z20-AD20</f>
        <v>0</v>
      </c>
      <c r="AG20" s="18">
        <v>39</v>
      </c>
      <c r="AH20" s="18">
        <v>7</v>
      </c>
      <c r="AI20" s="17">
        <f>+AH20+AG20</f>
        <v>46</v>
      </c>
      <c r="AJ20" s="16"/>
      <c r="AK20" s="16"/>
      <c r="AL20" s="52">
        <f>+AC20-AJ20</f>
        <v>32</v>
      </c>
      <c r="AM20" s="52">
        <f>+AD20-AK20</f>
        <v>2</v>
      </c>
      <c r="AN20" s="16"/>
      <c r="AO20" s="16"/>
      <c r="AP20" s="52">
        <f>+AJ20-AN20</f>
        <v>0</v>
      </c>
      <c r="AQ20" s="52">
        <f>+AK20-AO20</f>
        <v>0</v>
      </c>
      <c r="AR20" s="16"/>
      <c r="AS20" s="16"/>
      <c r="AT20" s="52">
        <f>+AS20+AR20</f>
        <v>0</v>
      </c>
      <c r="AU20" s="12"/>
      <c r="AV20" s="12"/>
      <c r="AW20" s="4">
        <f>+AN20-AU20</f>
        <v>0</v>
      </c>
      <c r="AX20" s="4">
        <f>+AO20-AV20</f>
        <v>0</v>
      </c>
      <c r="AY20" s="13">
        <f>+P20-AU20</f>
        <v>47</v>
      </c>
      <c r="AZ20" s="13">
        <f>+Q20-AV20</f>
        <v>2</v>
      </c>
      <c r="BA20" s="14">
        <f>+(AY20+AZ20)/(P20+Q20)</f>
        <v>1</v>
      </c>
      <c r="BB20" s="14">
        <f>+(AU20+AV20)/E20</f>
        <v>0</v>
      </c>
      <c r="BC20" s="14">
        <f>+AU20/D20</f>
        <v>0</v>
      </c>
      <c r="BD20" s="1" t="str">
        <f>IF(AU20&gt;0,"Graduado","En Proceso")</f>
        <v>En Proceso</v>
      </c>
    </row>
    <row r="21" spans="1:56" customFormat="1">
      <c r="A21" s="7" t="s">
        <v>52</v>
      </c>
      <c r="B21" s="1" t="s">
        <v>53</v>
      </c>
      <c r="C21" s="21">
        <v>9</v>
      </c>
      <c r="D21" s="1">
        <v>74</v>
      </c>
      <c r="E21" s="1">
        <v>67</v>
      </c>
      <c r="F21" s="1">
        <v>60</v>
      </c>
      <c r="G21" s="1">
        <v>24</v>
      </c>
      <c r="H21" s="24">
        <f>+G21/F21</f>
        <v>0.4</v>
      </c>
      <c r="I21" s="9">
        <v>22</v>
      </c>
      <c r="J21" s="9">
        <v>17</v>
      </c>
      <c r="K21" s="9">
        <v>17</v>
      </c>
      <c r="L21" s="25">
        <f>+K21/J21</f>
        <v>1</v>
      </c>
      <c r="M21" s="9">
        <v>5</v>
      </c>
      <c r="N21" s="2">
        <v>15</v>
      </c>
      <c r="O21" s="2"/>
      <c r="P21" s="2">
        <f>+O21+N21</f>
        <v>15</v>
      </c>
      <c r="Q21" s="2">
        <v>4</v>
      </c>
      <c r="R21" s="2">
        <v>12</v>
      </c>
      <c r="S21" s="2">
        <v>3</v>
      </c>
      <c r="T21" s="2">
        <f>+P21-R21</f>
        <v>3</v>
      </c>
      <c r="U21" s="2">
        <f>+Q21-S21</f>
        <v>1</v>
      </c>
      <c r="V21" s="2">
        <v>21</v>
      </c>
      <c r="W21" s="2">
        <v>15</v>
      </c>
      <c r="X21" s="2">
        <f>+W21+V21</f>
        <v>36</v>
      </c>
      <c r="Y21" s="51">
        <v>6</v>
      </c>
      <c r="Z21" s="51">
        <v>3</v>
      </c>
      <c r="AA21" s="17">
        <f>+R21-Y21</f>
        <v>6</v>
      </c>
      <c r="AB21" s="17">
        <f>+S21-Z21</f>
        <v>0</v>
      </c>
      <c r="AC21" s="51">
        <v>6</v>
      </c>
      <c r="AD21" s="51">
        <v>3</v>
      </c>
      <c r="AE21" s="17">
        <f>+Y21-AC21</f>
        <v>0</v>
      </c>
      <c r="AF21" s="17">
        <f>+Z21-AD21</f>
        <v>0</v>
      </c>
      <c r="AG21" s="51">
        <v>19</v>
      </c>
      <c r="AH21" s="51">
        <v>14</v>
      </c>
      <c r="AI21" s="17">
        <f>+AH21+AG21</f>
        <v>33</v>
      </c>
      <c r="AJ21" s="52">
        <v>6</v>
      </c>
      <c r="AK21" s="52">
        <v>3</v>
      </c>
      <c r="AL21" s="52">
        <f>+AC21-AJ21</f>
        <v>0</v>
      </c>
      <c r="AM21" s="52">
        <f>+AD21-AK21</f>
        <v>0</v>
      </c>
      <c r="AN21" s="52">
        <v>5</v>
      </c>
      <c r="AO21" s="52">
        <v>3</v>
      </c>
      <c r="AP21" s="52">
        <f>+AJ21-AN21</f>
        <v>1</v>
      </c>
      <c r="AQ21" s="52">
        <f>+AK21-AO21</f>
        <v>0</v>
      </c>
      <c r="AR21" s="52">
        <v>19</v>
      </c>
      <c r="AS21" s="52">
        <v>20</v>
      </c>
      <c r="AT21" s="52">
        <f>+AS21+AR21</f>
        <v>39</v>
      </c>
      <c r="AU21" s="54">
        <v>4</v>
      </c>
      <c r="AV21" s="54">
        <v>3</v>
      </c>
      <c r="AW21" s="4">
        <f>+AN21-AU21</f>
        <v>1</v>
      </c>
      <c r="AX21" s="4">
        <f>+AO21-AV21</f>
        <v>0</v>
      </c>
      <c r="AY21" s="13">
        <f>+P21-AU21</f>
        <v>11</v>
      </c>
      <c r="AZ21" s="13">
        <f>+Q21-AV21</f>
        <v>1</v>
      </c>
      <c r="BA21" s="14">
        <f>+(AY21+AZ21)/(P21+Q21)</f>
        <v>0.63157894736842102</v>
      </c>
      <c r="BB21" s="14">
        <f>+(AU21+AV21)/E21</f>
        <v>0.1044776119402985</v>
      </c>
      <c r="BC21" s="14">
        <f>+AU21/D21</f>
        <v>5.4054054054054057E-2</v>
      </c>
      <c r="BD21" s="1" t="str">
        <f>IF(AU21&gt;0,"Graduado","En Proceso")</f>
        <v>Graduado</v>
      </c>
    </row>
    <row r="22" spans="1:56" s="5" customFormat="1" hidden="1">
      <c r="A22" s="7" t="s">
        <v>56</v>
      </c>
      <c r="B22" s="1" t="s">
        <v>51</v>
      </c>
      <c r="C22" s="21">
        <v>10</v>
      </c>
      <c r="D22" s="1">
        <v>154</v>
      </c>
      <c r="E22" s="21">
        <v>138</v>
      </c>
      <c r="F22" s="21">
        <v>127</v>
      </c>
      <c r="G22" s="21">
        <v>59</v>
      </c>
      <c r="H22" s="24">
        <f>+G22/F22</f>
        <v>0.46456692913385828</v>
      </c>
      <c r="I22" s="26">
        <v>63</v>
      </c>
      <c r="J22" s="10">
        <v>55</v>
      </c>
      <c r="K22" s="10">
        <v>49</v>
      </c>
      <c r="L22" s="25">
        <f>+K22/J22</f>
        <v>0.89090909090909087</v>
      </c>
      <c r="M22" s="10">
        <v>4</v>
      </c>
      <c r="N22" s="2">
        <v>34</v>
      </c>
      <c r="O22" s="11">
        <v>2</v>
      </c>
      <c r="P22" s="2">
        <f>+O22+N22</f>
        <v>36</v>
      </c>
      <c r="Q22" s="11">
        <v>2</v>
      </c>
      <c r="R22" s="11">
        <v>36</v>
      </c>
      <c r="S22" s="11">
        <v>2</v>
      </c>
      <c r="T22" s="2">
        <f>+P22-R22</f>
        <v>0</v>
      </c>
      <c r="U22" s="2">
        <f>+Q22-S22</f>
        <v>0</v>
      </c>
      <c r="V22" s="11">
        <v>51</v>
      </c>
      <c r="W22" s="11">
        <v>10</v>
      </c>
      <c r="X22" s="2">
        <f>+W22+V22</f>
        <v>61</v>
      </c>
      <c r="Y22" s="18"/>
      <c r="Z22" s="18"/>
      <c r="AA22" s="17">
        <f>+R22-Y22</f>
        <v>36</v>
      </c>
      <c r="AB22" s="17">
        <f>+S22-Z22</f>
        <v>2</v>
      </c>
      <c r="AC22" s="18"/>
      <c r="AD22" s="18"/>
      <c r="AE22" s="17">
        <f>+Y22-AC22</f>
        <v>0</v>
      </c>
      <c r="AF22" s="17">
        <f>+Z22-AD22</f>
        <v>0</v>
      </c>
      <c r="AG22" s="18"/>
      <c r="AH22" s="18"/>
      <c r="AI22" s="17">
        <f>+AH22+AG22</f>
        <v>0</v>
      </c>
      <c r="AJ22" s="16"/>
      <c r="AK22" s="16"/>
      <c r="AL22" s="52">
        <f>+AC22-AJ22</f>
        <v>0</v>
      </c>
      <c r="AM22" s="52">
        <f>+AD22-AK22</f>
        <v>0</v>
      </c>
      <c r="AN22" s="16"/>
      <c r="AO22" s="16"/>
      <c r="AP22" s="52">
        <f>+AJ22-AN22</f>
        <v>0</v>
      </c>
      <c r="AQ22" s="52">
        <f>+AK22-AO22</f>
        <v>0</v>
      </c>
      <c r="AR22" s="16"/>
      <c r="AS22" s="16"/>
      <c r="AT22" s="52">
        <f>+AS22+AR22</f>
        <v>0</v>
      </c>
      <c r="AU22" s="12"/>
      <c r="AV22" s="12"/>
      <c r="AW22" s="4">
        <f>+AN22-AU22</f>
        <v>0</v>
      </c>
      <c r="AX22" s="4">
        <f>+AO22-AV22</f>
        <v>0</v>
      </c>
      <c r="AY22" s="13">
        <f>+P22-AU22</f>
        <v>36</v>
      </c>
      <c r="AZ22" s="13">
        <f>+Q22-AV22</f>
        <v>2</v>
      </c>
      <c r="BA22" s="14">
        <f>+(AY22+AZ22)/(P22+Q22)</f>
        <v>1</v>
      </c>
      <c r="BB22" s="14">
        <f>+(AU22+AV22)/E22</f>
        <v>0</v>
      </c>
      <c r="BC22" s="14">
        <f>+AU22/D22</f>
        <v>0</v>
      </c>
      <c r="BD22" s="1" t="str">
        <f>IF(AU22&gt;0,"Graduado","En Proceso")</f>
        <v>En Proceso</v>
      </c>
    </row>
    <row r="23" spans="1:56" customFormat="1">
      <c r="A23" s="7" t="s">
        <v>52</v>
      </c>
      <c r="B23" s="1" t="s">
        <v>53</v>
      </c>
      <c r="C23" s="21">
        <v>10</v>
      </c>
      <c r="D23" s="1">
        <v>112</v>
      </c>
      <c r="E23" s="1">
        <v>82</v>
      </c>
      <c r="F23" s="1">
        <v>65</v>
      </c>
      <c r="G23" s="1">
        <v>36</v>
      </c>
      <c r="H23" s="24">
        <f>+G23/F23</f>
        <v>0.55384615384615388</v>
      </c>
      <c r="I23" s="9">
        <v>34</v>
      </c>
      <c r="J23" s="9">
        <v>26</v>
      </c>
      <c r="K23" s="9">
        <v>26</v>
      </c>
      <c r="L23" s="25">
        <f>+K23/J23</f>
        <v>1</v>
      </c>
      <c r="M23" s="9">
        <v>1</v>
      </c>
      <c r="N23" s="2">
        <v>24</v>
      </c>
      <c r="O23" s="2"/>
      <c r="P23" s="2">
        <f>+O23+N23</f>
        <v>24</v>
      </c>
      <c r="Q23" s="2">
        <v>1</v>
      </c>
      <c r="R23" s="2">
        <v>23</v>
      </c>
      <c r="S23" s="2">
        <v>1</v>
      </c>
      <c r="T23" s="2">
        <f>+P23-R23</f>
        <v>1</v>
      </c>
      <c r="U23" s="2">
        <f>+Q23-S23</f>
        <v>0</v>
      </c>
      <c r="V23" s="2">
        <v>22</v>
      </c>
      <c r="W23" s="2">
        <v>5</v>
      </c>
      <c r="X23" s="2">
        <f>+W23+V23</f>
        <v>27</v>
      </c>
      <c r="Y23" s="51">
        <v>20</v>
      </c>
      <c r="Z23" s="51">
        <v>1</v>
      </c>
      <c r="AA23" s="17">
        <f>+R23-Y23</f>
        <v>3</v>
      </c>
      <c r="AB23" s="17">
        <f>+S23-Z23</f>
        <v>0</v>
      </c>
      <c r="AC23" s="51">
        <v>16</v>
      </c>
      <c r="AD23" s="51">
        <v>0</v>
      </c>
      <c r="AE23" s="17">
        <f>+Y23-AC23</f>
        <v>4</v>
      </c>
      <c r="AF23" s="17">
        <f>+Z23-AD23</f>
        <v>1</v>
      </c>
      <c r="AG23" s="51">
        <v>22</v>
      </c>
      <c r="AH23" s="51">
        <v>1</v>
      </c>
      <c r="AI23" s="17">
        <f>+AH23+AG23</f>
        <v>23</v>
      </c>
      <c r="AJ23" s="52">
        <v>16</v>
      </c>
      <c r="AK23" s="52">
        <v>1</v>
      </c>
      <c r="AL23" s="52">
        <f>+AC23-AJ23</f>
        <v>0</v>
      </c>
      <c r="AM23" s="52">
        <f>+AD23-AK23</f>
        <v>-1</v>
      </c>
      <c r="AN23" s="52">
        <v>15</v>
      </c>
      <c r="AO23" s="52">
        <v>1</v>
      </c>
      <c r="AP23" s="52">
        <f>+AJ23-AN23</f>
        <v>1</v>
      </c>
      <c r="AQ23" s="52">
        <f>+AK23-AO23</f>
        <v>0</v>
      </c>
      <c r="AR23" s="52">
        <v>33</v>
      </c>
      <c r="AS23" s="52">
        <v>5</v>
      </c>
      <c r="AT23" s="52">
        <f>+AS23+AR23</f>
        <v>38</v>
      </c>
      <c r="AU23" s="54">
        <v>12</v>
      </c>
      <c r="AV23" s="54">
        <v>1</v>
      </c>
      <c r="AW23" s="4">
        <f>+AN23-AU23</f>
        <v>3</v>
      </c>
      <c r="AX23" s="4">
        <f>+AO23-AV23</f>
        <v>0</v>
      </c>
      <c r="AY23" s="13">
        <f>+P23-AU23</f>
        <v>12</v>
      </c>
      <c r="AZ23" s="13">
        <f>+Q23-AV23</f>
        <v>0</v>
      </c>
      <c r="BA23" s="14">
        <f>+(AY23+AZ23)/(P23+Q23)</f>
        <v>0.48</v>
      </c>
      <c r="BB23" s="14">
        <f>+(AU23+AV23)/E23</f>
        <v>0.15853658536585366</v>
      </c>
      <c r="BC23" s="14">
        <f>+AU23/D23</f>
        <v>0.10714285714285714</v>
      </c>
      <c r="BD23" s="1" t="str">
        <f>IF(AU23&gt;0,"Graduado","En Proceso")</f>
        <v>Graduado</v>
      </c>
    </row>
    <row r="24" spans="1:56" customFormat="1" hidden="1">
      <c r="A24" s="7" t="s">
        <v>56</v>
      </c>
      <c r="B24" s="1" t="s">
        <v>51</v>
      </c>
      <c r="C24" s="21">
        <v>11</v>
      </c>
      <c r="D24" s="1">
        <v>158</v>
      </c>
      <c r="E24" s="21">
        <v>124</v>
      </c>
      <c r="F24" s="21">
        <v>114</v>
      </c>
      <c r="G24" s="21">
        <v>49</v>
      </c>
      <c r="H24" s="24">
        <f>+G24/F24</f>
        <v>0.42982456140350878</v>
      </c>
      <c r="I24" s="26"/>
      <c r="J24" s="10"/>
      <c r="K24" s="10"/>
      <c r="L24" s="25" t="e">
        <f>+K24/J24</f>
        <v>#DIV/0!</v>
      </c>
      <c r="M24" s="10"/>
      <c r="N24" s="2"/>
      <c r="O24" s="11"/>
      <c r="P24" s="2">
        <f>+O24+N24</f>
        <v>0</v>
      </c>
      <c r="Q24" s="11"/>
      <c r="R24" s="11"/>
      <c r="S24" s="11"/>
      <c r="T24" s="2">
        <f>+P24-R24</f>
        <v>0</v>
      </c>
      <c r="U24" s="2">
        <f>+Q24-S24</f>
        <v>0</v>
      </c>
      <c r="V24" s="11"/>
      <c r="W24" s="11"/>
      <c r="X24" s="2">
        <f>+W24+V24</f>
        <v>0</v>
      </c>
      <c r="Y24" s="18"/>
      <c r="Z24" s="18"/>
      <c r="AA24" s="17">
        <f>+R24-Y24</f>
        <v>0</v>
      </c>
      <c r="AB24" s="17">
        <f>+S24-Z24</f>
        <v>0</v>
      </c>
      <c r="AC24" s="18"/>
      <c r="AD24" s="18"/>
      <c r="AE24" s="17">
        <f>+Y24-AC24</f>
        <v>0</v>
      </c>
      <c r="AF24" s="17">
        <f>+Z24-AD24</f>
        <v>0</v>
      </c>
      <c r="AG24" s="18"/>
      <c r="AH24" s="18"/>
      <c r="AI24" s="17">
        <f>+AH24+AG24</f>
        <v>0</v>
      </c>
      <c r="AJ24" s="16"/>
      <c r="AK24" s="16"/>
      <c r="AL24" s="52">
        <f>+AC24-AJ24</f>
        <v>0</v>
      </c>
      <c r="AM24" s="52">
        <f>+AD24-AK24</f>
        <v>0</v>
      </c>
      <c r="AN24" s="16"/>
      <c r="AO24" s="16"/>
      <c r="AP24" s="52">
        <f>+AJ24-AN24</f>
        <v>0</v>
      </c>
      <c r="AQ24" s="52">
        <f>+AK24-AO24</f>
        <v>0</v>
      </c>
      <c r="AR24" s="16"/>
      <c r="AS24" s="16"/>
      <c r="AT24" s="52">
        <f>+AS24+AR24</f>
        <v>0</v>
      </c>
      <c r="AU24" s="12"/>
      <c r="AV24" s="12"/>
      <c r="AW24" s="4">
        <f>+AN24-AU24</f>
        <v>0</v>
      </c>
      <c r="AX24" s="4">
        <f>+AO24-AV24</f>
        <v>0</v>
      </c>
      <c r="AY24" s="13">
        <f>+P24-AU24</f>
        <v>0</v>
      </c>
      <c r="AZ24" s="13">
        <f>+Q24-AV24</f>
        <v>0</v>
      </c>
      <c r="BA24" s="14" t="e">
        <f>+(AY24+AZ24)/(P24+Q24)</f>
        <v>#DIV/0!</v>
      </c>
      <c r="BB24" s="14">
        <f>+(AU24+AV24)/E24</f>
        <v>0</v>
      </c>
      <c r="BC24" s="14">
        <f>+AU24/D24</f>
        <v>0</v>
      </c>
      <c r="BD24" s="1" t="str">
        <f>IF(AU24&gt;0,"Graduado","En Proceso")</f>
        <v>En Proceso</v>
      </c>
    </row>
    <row r="25" spans="1:56" customFormat="1">
      <c r="A25" s="7" t="s">
        <v>52</v>
      </c>
      <c r="B25" s="1" t="s">
        <v>53</v>
      </c>
      <c r="C25" s="21">
        <v>11</v>
      </c>
      <c r="D25" s="1">
        <v>90</v>
      </c>
      <c r="E25" s="1">
        <v>65</v>
      </c>
      <c r="F25" s="1">
        <v>56</v>
      </c>
      <c r="G25" s="1">
        <v>31</v>
      </c>
      <c r="H25" s="24">
        <f>+G25/F25</f>
        <v>0.5535714285714286</v>
      </c>
      <c r="I25" s="9">
        <v>24</v>
      </c>
      <c r="J25" s="9">
        <v>20</v>
      </c>
      <c r="K25" s="9">
        <v>20</v>
      </c>
      <c r="L25" s="25">
        <f>+K25/J25</f>
        <v>1</v>
      </c>
      <c r="M25" s="9">
        <v>3</v>
      </c>
      <c r="N25" s="2">
        <v>19</v>
      </c>
      <c r="O25" s="2">
        <v>2</v>
      </c>
      <c r="P25" s="2">
        <f>+O25+N25</f>
        <v>21</v>
      </c>
      <c r="Q25" s="2">
        <v>3</v>
      </c>
      <c r="R25" s="2">
        <v>19</v>
      </c>
      <c r="S25" s="2">
        <v>3</v>
      </c>
      <c r="T25" s="2">
        <f>+P25-R25</f>
        <v>2</v>
      </c>
      <c r="U25" s="2">
        <f>+Q25-S25</f>
        <v>0</v>
      </c>
      <c r="V25" s="2">
        <v>36</v>
      </c>
      <c r="W25" s="2">
        <v>15</v>
      </c>
      <c r="X25" s="2">
        <f>+W25+V25</f>
        <v>51</v>
      </c>
      <c r="Y25" s="51">
        <v>18</v>
      </c>
      <c r="Z25" s="51">
        <v>3</v>
      </c>
      <c r="AA25" s="17">
        <f>+R25-Y25</f>
        <v>1</v>
      </c>
      <c r="AB25" s="17">
        <f>+S25-Z25</f>
        <v>0</v>
      </c>
      <c r="AC25" s="51">
        <v>17</v>
      </c>
      <c r="AD25" s="51">
        <v>3</v>
      </c>
      <c r="AE25" s="17">
        <f>+Y25-AC25</f>
        <v>1</v>
      </c>
      <c r="AF25" s="17">
        <f>+Z25-AD25</f>
        <v>0</v>
      </c>
      <c r="AG25" s="51">
        <v>30</v>
      </c>
      <c r="AH25" s="51">
        <v>10</v>
      </c>
      <c r="AI25" s="17">
        <f>+AH25+AG25</f>
        <v>40</v>
      </c>
      <c r="AJ25" s="52">
        <v>16</v>
      </c>
      <c r="AK25" s="52">
        <v>3</v>
      </c>
      <c r="AL25" s="52">
        <f>+AC25-AJ25</f>
        <v>1</v>
      </c>
      <c r="AM25" s="52">
        <f>+AD25-AK25</f>
        <v>0</v>
      </c>
      <c r="AN25" s="52">
        <v>15</v>
      </c>
      <c r="AO25" s="52">
        <v>3</v>
      </c>
      <c r="AP25" s="52">
        <f>+AJ25-AN25</f>
        <v>1</v>
      </c>
      <c r="AQ25" s="52">
        <f>+AK25-AO25</f>
        <v>0</v>
      </c>
      <c r="AR25" s="52">
        <v>35</v>
      </c>
      <c r="AS25" s="52">
        <v>12</v>
      </c>
      <c r="AT25" s="52">
        <f>+AS25+AR25</f>
        <v>47</v>
      </c>
      <c r="AU25" s="54">
        <v>14</v>
      </c>
      <c r="AV25" s="54">
        <v>3</v>
      </c>
      <c r="AW25" s="4">
        <f>+AN25-AU25</f>
        <v>1</v>
      </c>
      <c r="AX25" s="4">
        <f>+AO25-AV25</f>
        <v>0</v>
      </c>
      <c r="AY25" s="13">
        <f>+P25-AU25</f>
        <v>7</v>
      </c>
      <c r="AZ25" s="13">
        <f>+Q25-AV25</f>
        <v>0</v>
      </c>
      <c r="BA25" s="14">
        <f>+(AY25+AZ25)/(P25+Q25)</f>
        <v>0.29166666666666669</v>
      </c>
      <c r="BB25" s="14">
        <f>+(AU25+AV25)/E25</f>
        <v>0.26153846153846155</v>
      </c>
      <c r="BC25" s="14">
        <f>+AU25/D25</f>
        <v>0.15555555555555556</v>
      </c>
      <c r="BD25" s="1" t="str">
        <f>IF(AU25&gt;0,"Graduado","En Proceso")</f>
        <v>Graduado</v>
      </c>
    </row>
    <row r="26" spans="1:56" customFormat="1">
      <c r="A26" s="7" t="s">
        <v>52</v>
      </c>
      <c r="B26" s="1" t="s">
        <v>53</v>
      </c>
      <c r="C26" s="21">
        <v>12</v>
      </c>
      <c r="D26" s="1">
        <v>113</v>
      </c>
      <c r="E26" s="1">
        <v>69</v>
      </c>
      <c r="F26" s="1">
        <v>58</v>
      </c>
      <c r="G26" s="1">
        <v>29</v>
      </c>
      <c r="H26" s="24">
        <f>+G26/F26</f>
        <v>0.5</v>
      </c>
      <c r="I26" s="9">
        <v>30</v>
      </c>
      <c r="J26" s="9">
        <v>29</v>
      </c>
      <c r="K26" s="9">
        <v>29</v>
      </c>
      <c r="L26" s="25">
        <f>+K26/J26</f>
        <v>1</v>
      </c>
      <c r="M26" s="9">
        <v>7</v>
      </c>
      <c r="N26" s="2">
        <v>26</v>
      </c>
      <c r="O26" s="2">
        <v>1</v>
      </c>
      <c r="P26" s="2">
        <f>+O26+N26</f>
        <v>27</v>
      </c>
      <c r="Q26" s="2">
        <v>6</v>
      </c>
      <c r="R26" s="2">
        <v>26</v>
      </c>
      <c r="S26" s="2">
        <v>5</v>
      </c>
      <c r="T26" s="2">
        <f>+P26-R26</f>
        <v>1</v>
      </c>
      <c r="U26" s="2">
        <f>+Q26-S26</f>
        <v>1</v>
      </c>
      <c r="V26" s="2">
        <v>37</v>
      </c>
      <c r="W26" s="2">
        <v>20</v>
      </c>
      <c r="X26" s="2">
        <f>+W26+V26</f>
        <v>57</v>
      </c>
      <c r="Y26" s="51">
        <v>24</v>
      </c>
      <c r="Z26" s="51">
        <v>5</v>
      </c>
      <c r="AA26" s="17">
        <f>+R26-Y26</f>
        <v>2</v>
      </c>
      <c r="AB26" s="17">
        <f>+S26-Z26</f>
        <v>0</v>
      </c>
      <c r="AC26" s="51">
        <v>23</v>
      </c>
      <c r="AD26" s="51">
        <v>5</v>
      </c>
      <c r="AE26" s="17">
        <f>+Y26-AC26</f>
        <v>1</v>
      </c>
      <c r="AF26" s="17">
        <f>+Z26-AD26</f>
        <v>0</v>
      </c>
      <c r="AG26" s="51">
        <v>54</v>
      </c>
      <c r="AH26" s="51">
        <v>15</v>
      </c>
      <c r="AI26" s="17">
        <f>+AH26+AG26</f>
        <v>69</v>
      </c>
      <c r="AJ26" s="52">
        <v>21</v>
      </c>
      <c r="AK26" s="52">
        <v>5</v>
      </c>
      <c r="AL26" s="52">
        <f>+AC26-AJ26</f>
        <v>2</v>
      </c>
      <c r="AM26" s="52">
        <f>+AD26-AK26</f>
        <v>0</v>
      </c>
      <c r="AN26" s="52">
        <v>21</v>
      </c>
      <c r="AO26" s="52">
        <v>5</v>
      </c>
      <c r="AP26" s="52">
        <f>+AJ26-AN26</f>
        <v>0</v>
      </c>
      <c r="AQ26" s="52">
        <f>+AK26-AO26</f>
        <v>0</v>
      </c>
      <c r="AR26" s="52">
        <v>57</v>
      </c>
      <c r="AS26" s="52">
        <v>23</v>
      </c>
      <c r="AT26" s="52">
        <f>+AS26+AR26</f>
        <v>80</v>
      </c>
      <c r="AU26" s="54">
        <v>18</v>
      </c>
      <c r="AV26" s="54">
        <v>5</v>
      </c>
      <c r="AW26" s="4">
        <f>+AN26-AU26</f>
        <v>3</v>
      </c>
      <c r="AX26" s="4">
        <f>+AO26-AV26</f>
        <v>0</v>
      </c>
      <c r="AY26" s="13">
        <f>+P26-AU26</f>
        <v>9</v>
      </c>
      <c r="AZ26" s="13">
        <f>+Q26-AV26</f>
        <v>1</v>
      </c>
      <c r="BA26" s="14">
        <f>+(AY26+AZ26)/(P26+Q26)</f>
        <v>0.30303030303030304</v>
      </c>
      <c r="BB26" s="14">
        <f>+(AU26+AV26)/E26</f>
        <v>0.33333333333333331</v>
      </c>
      <c r="BC26" s="14">
        <f>+AU26/D26</f>
        <v>0.15929203539823009</v>
      </c>
      <c r="BD26" s="1" t="str">
        <f>IF(AU26&gt;0,"Graduado","En Proceso")</f>
        <v>Graduado</v>
      </c>
    </row>
    <row r="27" spans="1:56" customFormat="1" hidden="1">
      <c r="A27" s="89" t="s">
        <v>57</v>
      </c>
      <c r="B27" s="89" t="s">
        <v>58</v>
      </c>
      <c r="C27" s="90">
        <v>13</v>
      </c>
      <c r="D27" s="89">
        <v>185</v>
      </c>
      <c r="E27" s="89">
        <v>131</v>
      </c>
      <c r="F27" s="89">
        <v>87</v>
      </c>
      <c r="G27" s="89">
        <v>39</v>
      </c>
      <c r="H27" s="91">
        <f>+G27/F27</f>
        <v>0.44827586206896552</v>
      </c>
      <c r="I27" s="92">
        <v>44</v>
      </c>
      <c r="J27" s="92">
        <v>40</v>
      </c>
      <c r="K27" s="92">
        <v>32</v>
      </c>
      <c r="L27" s="93">
        <f>+K27/J27</f>
        <v>0.8</v>
      </c>
      <c r="M27" s="92">
        <v>7</v>
      </c>
      <c r="N27" s="94">
        <v>31</v>
      </c>
      <c r="O27" s="94"/>
      <c r="P27" s="94">
        <f>+O27+N27</f>
        <v>31</v>
      </c>
      <c r="Q27" s="94">
        <v>2</v>
      </c>
      <c r="R27" s="94">
        <v>31</v>
      </c>
      <c r="S27" s="94">
        <v>1</v>
      </c>
      <c r="T27" s="94">
        <f>+P27-R27</f>
        <v>0</v>
      </c>
      <c r="U27" s="94">
        <f>+Q27-S27</f>
        <v>1</v>
      </c>
      <c r="V27" s="94">
        <v>25</v>
      </c>
      <c r="W27" s="94">
        <v>5</v>
      </c>
      <c r="X27" s="94">
        <f>+W27+V27</f>
        <v>30</v>
      </c>
      <c r="Y27" s="101">
        <v>20</v>
      </c>
      <c r="Z27" s="101">
        <v>2</v>
      </c>
      <c r="AA27" s="95">
        <f>+R27-Y27</f>
        <v>11</v>
      </c>
      <c r="AB27" s="95">
        <f>+S27-Z27</f>
        <v>-1</v>
      </c>
      <c r="AC27" s="101">
        <v>20</v>
      </c>
      <c r="AD27" s="101">
        <v>1</v>
      </c>
      <c r="AE27" s="95">
        <f>+Y27-AC27</f>
        <v>0</v>
      </c>
      <c r="AF27" s="95">
        <f>+Z27-AD27</f>
        <v>1</v>
      </c>
      <c r="AG27" s="101">
        <v>25</v>
      </c>
      <c r="AH27" s="101">
        <v>5</v>
      </c>
      <c r="AI27" s="95">
        <f>+AH27+AG27</f>
        <v>30</v>
      </c>
      <c r="AJ27" s="96">
        <v>18</v>
      </c>
      <c r="AK27" s="96">
        <v>1</v>
      </c>
      <c r="AL27" s="96">
        <f>+AC27-AJ27</f>
        <v>2</v>
      </c>
      <c r="AM27" s="96">
        <f>+AD27-AK27</f>
        <v>0</v>
      </c>
      <c r="AN27" s="96">
        <v>17</v>
      </c>
      <c r="AO27" s="96">
        <v>1</v>
      </c>
      <c r="AP27" s="96">
        <f>+AJ27-AN27</f>
        <v>1</v>
      </c>
      <c r="AQ27" s="96">
        <f>+AK27-AO27</f>
        <v>0</v>
      </c>
      <c r="AR27" s="96">
        <v>44</v>
      </c>
      <c r="AS27" s="96">
        <v>3</v>
      </c>
      <c r="AT27" s="96">
        <f>+AS27+AR27</f>
        <v>47</v>
      </c>
      <c r="AU27" s="97">
        <v>13</v>
      </c>
      <c r="AV27" s="97">
        <v>1</v>
      </c>
      <c r="AW27" s="98">
        <f>+AN27-AU27</f>
        <v>4</v>
      </c>
      <c r="AX27" s="98">
        <f>+AO27-AV27</f>
        <v>0</v>
      </c>
      <c r="AY27" s="99">
        <f>+P27-AU27</f>
        <v>18</v>
      </c>
      <c r="AZ27" s="99">
        <f>+Q27-AV27</f>
        <v>1</v>
      </c>
      <c r="BA27" s="100">
        <f>+(AY27+AZ27)/(P27+Q27)</f>
        <v>0.5757575757575758</v>
      </c>
      <c r="BB27" s="100">
        <f>+(AU27+AV27)/E27</f>
        <v>0.10687022900763359</v>
      </c>
      <c r="BC27" s="100">
        <f>+AU27/D27</f>
        <v>7.0270270270270274E-2</v>
      </c>
      <c r="BD27" s="89" t="str">
        <f>IF(AU27&gt;0,"Graduado","En Proceso")</f>
        <v>Graduado</v>
      </c>
    </row>
    <row r="28" spans="1:56" customFormat="1">
      <c r="A28" s="7" t="s">
        <v>52</v>
      </c>
      <c r="B28" s="1" t="s">
        <v>53</v>
      </c>
      <c r="C28" s="21">
        <v>13</v>
      </c>
      <c r="D28" s="1">
        <v>130</v>
      </c>
      <c r="E28" s="1">
        <v>102</v>
      </c>
      <c r="F28" s="1">
        <v>90</v>
      </c>
      <c r="G28" s="1">
        <v>43</v>
      </c>
      <c r="H28" s="24">
        <f>+G28/F28</f>
        <v>0.4777777777777778</v>
      </c>
      <c r="I28" s="9">
        <v>40</v>
      </c>
      <c r="J28" s="9">
        <v>36</v>
      </c>
      <c r="K28" s="9">
        <v>36</v>
      </c>
      <c r="L28" s="25">
        <f>+K28/J28</f>
        <v>1</v>
      </c>
      <c r="M28" s="9">
        <v>22</v>
      </c>
      <c r="N28" s="2">
        <v>35</v>
      </c>
      <c r="O28" s="2">
        <v>2</v>
      </c>
      <c r="P28" s="2">
        <f>+O28+N28</f>
        <v>37</v>
      </c>
      <c r="Q28" s="2">
        <v>2</v>
      </c>
      <c r="R28" s="2">
        <v>36</v>
      </c>
      <c r="S28" s="2">
        <v>2</v>
      </c>
      <c r="T28" s="2">
        <f>+P28-R28</f>
        <v>1</v>
      </c>
      <c r="U28" s="2">
        <f>+Q28-S28</f>
        <v>0</v>
      </c>
      <c r="V28" s="2">
        <v>48</v>
      </c>
      <c r="W28" s="2">
        <v>11</v>
      </c>
      <c r="X28" s="2">
        <f>+W28+V28</f>
        <v>59</v>
      </c>
      <c r="Y28" s="51">
        <v>27</v>
      </c>
      <c r="Z28" s="51">
        <v>3</v>
      </c>
      <c r="AA28" s="17">
        <f>+R28-Y28</f>
        <v>9</v>
      </c>
      <c r="AB28" s="17">
        <f>+S28-Z28</f>
        <v>-1</v>
      </c>
      <c r="AC28" s="51">
        <v>26</v>
      </c>
      <c r="AD28" s="51">
        <v>3</v>
      </c>
      <c r="AE28" s="17">
        <f>+Y28-AC28</f>
        <v>1</v>
      </c>
      <c r="AF28" s="17">
        <f>+Z28-AD28</f>
        <v>0</v>
      </c>
      <c r="AG28" s="51">
        <v>45</v>
      </c>
      <c r="AH28" s="51">
        <v>13</v>
      </c>
      <c r="AI28" s="17">
        <f>+AH28+AG28</f>
        <v>58</v>
      </c>
      <c r="AJ28" s="52">
        <v>24</v>
      </c>
      <c r="AK28" s="52">
        <v>3</v>
      </c>
      <c r="AL28" s="52">
        <f>+AC28-AJ28</f>
        <v>2</v>
      </c>
      <c r="AM28" s="52">
        <f>+AD28-AK28</f>
        <v>0</v>
      </c>
      <c r="AN28" s="52">
        <v>22</v>
      </c>
      <c r="AO28" s="52">
        <v>3</v>
      </c>
      <c r="AP28" s="52">
        <f>+AJ28-AN28</f>
        <v>2</v>
      </c>
      <c r="AQ28" s="52">
        <f>+AK28-AO28</f>
        <v>0</v>
      </c>
      <c r="AR28" s="52">
        <v>53</v>
      </c>
      <c r="AS28" s="52">
        <v>14</v>
      </c>
      <c r="AT28" s="52">
        <f>+AS28+AR28</f>
        <v>67</v>
      </c>
      <c r="AU28" s="54">
        <v>21</v>
      </c>
      <c r="AV28" s="54">
        <v>3</v>
      </c>
      <c r="AW28" s="4">
        <f>+AN28-AU28</f>
        <v>1</v>
      </c>
      <c r="AX28" s="4">
        <f>+AO28-AV28</f>
        <v>0</v>
      </c>
      <c r="AY28" s="13">
        <f>+P28-AU28</f>
        <v>16</v>
      </c>
      <c r="AZ28" s="13">
        <f>+Q28-AV28</f>
        <v>-1</v>
      </c>
      <c r="BA28" s="14">
        <f>+(AY28+AZ28)/(P28+Q28)</f>
        <v>0.38461538461538464</v>
      </c>
      <c r="BB28" s="14">
        <f>+(AU28+AV28)/E28</f>
        <v>0.23529411764705882</v>
      </c>
      <c r="BC28" s="14">
        <f>+AU28/D28</f>
        <v>0.16153846153846155</v>
      </c>
      <c r="BD28" s="1" t="str">
        <f>IF(AU28&gt;0,"Graduado","En Proceso")</f>
        <v>Graduado</v>
      </c>
    </row>
    <row r="29" spans="1:56" customFormat="1" hidden="1">
      <c r="A29" s="89" t="s">
        <v>57</v>
      </c>
      <c r="B29" s="89" t="s">
        <v>58</v>
      </c>
      <c r="C29" s="90">
        <v>14</v>
      </c>
      <c r="D29" s="89">
        <v>158</v>
      </c>
      <c r="E29" s="89">
        <v>142</v>
      </c>
      <c r="F29" s="89">
        <v>108</v>
      </c>
      <c r="G29" s="89">
        <v>32</v>
      </c>
      <c r="H29" s="91">
        <f>+G29/F29</f>
        <v>0.29629629629629628</v>
      </c>
      <c r="I29" s="92">
        <v>38</v>
      </c>
      <c r="J29" s="92">
        <v>38</v>
      </c>
      <c r="K29" s="92">
        <v>29</v>
      </c>
      <c r="L29" s="93">
        <f>+K29/J29</f>
        <v>0.76315789473684215</v>
      </c>
      <c r="M29" s="92">
        <v>9</v>
      </c>
      <c r="N29" s="94">
        <v>29</v>
      </c>
      <c r="O29" s="94">
        <v>1</v>
      </c>
      <c r="P29" s="94">
        <f>+O29+N29</f>
        <v>30</v>
      </c>
      <c r="Q29" s="94">
        <v>7</v>
      </c>
      <c r="R29" s="94">
        <v>28</v>
      </c>
      <c r="S29" s="94">
        <v>7</v>
      </c>
      <c r="T29" s="94">
        <f>+P29-R29</f>
        <v>2</v>
      </c>
      <c r="U29" s="94">
        <f>+Q29-S29</f>
        <v>0</v>
      </c>
      <c r="V29" s="94">
        <v>50</v>
      </c>
      <c r="W29" s="94">
        <v>24</v>
      </c>
      <c r="X29" s="94">
        <f>+W29+V29</f>
        <v>74</v>
      </c>
      <c r="Y29" s="101">
        <v>22</v>
      </c>
      <c r="Z29" s="101">
        <v>7</v>
      </c>
      <c r="AA29" s="95">
        <f>+R29-Y29</f>
        <v>6</v>
      </c>
      <c r="AB29" s="95">
        <f>+S29-Z29</f>
        <v>0</v>
      </c>
      <c r="AC29" s="101">
        <v>22</v>
      </c>
      <c r="AD29" s="101">
        <v>5</v>
      </c>
      <c r="AE29" s="95">
        <f>+Y29-AC29</f>
        <v>0</v>
      </c>
      <c r="AF29" s="95">
        <f>+Z29-AD29</f>
        <v>2</v>
      </c>
      <c r="AG29" s="101">
        <v>38</v>
      </c>
      <c r="AH29" s="101">
        <v>17</v>
      </c>
      <c r="AI29" s="95">
        <f>+AH29+AG29</f>
        <v>55</v>
      </c>
      <c r="AJ29" s="96">
        <v>19</v>
      </c>
      <c r="AK29" s="96">
        <v>4</v>
      </c>
      <c r="AL29" s="96">
        <f>+AC29-AJ29</f>
        <v>3</v>
      </c>
      <c r="AM29" s="96">
        <f>+AD29-AK29</f>
        <v>1</v>
      </c>
      <c r="AN29" s="96">
        <v>17</v>
      </c>
      <c r="AO29" s="96">
        <v>4</v>
      </c>
      <c r="AP29" s="96">
        <f>+AJ29-AN29</f>
        <v>2</v>
      </c>
      <c r="AQ29" s="96">
        <f>+AK29-AO29</f>
        <v>0</v>
      </c>
      <c r="AR29" s="96">
        <v>53</v>
      </c>
      <c r="AS29" s="96">
        <v>18</v>
      </c>
      <c r="AT29" s="96">
        <f>+AS29+AR29</f>
        <v>71</v>
      </c>
      <c r="AU29" s="98">
        <v>16</v>
      </c>
      <c r="AV29" s="98">
        <v>4</v>
      </c>
      <c r="AW29" s="98">
        <f>+AN29-AU29</f>
        <v>1</v>
      </c>
      <c r="AX29" s="98">
        <f>+AO29-AV29</f>
        <v>0</v>
      </c>
      <c r="AY29" s="99">
        <f>+P29-AU29</f>
        <v>14</v>
      </c>
      <c r="AZ29" s="99">
        <f>+Q29-AV29</f>
        <v>3</v>
      </c>
      <c r="BA29" s="100">
        <f>+(AY29+AZ29)/(P29+Q29)</f>
        <v>0.45945945945945948</v>
      </c>
      <c r="BB29" s="100">
        <f>+(AU29+AV29)/E29</f>
        <v>0.14084507042253522</v>
      </c>
      <c r="BC29" s="100">
        <f>+AU29/D29</f>
        <v>0.10126582278481013</v>
      </c>
      <c r="BD29" s="89" t="str">
        <f>IF(AU29&gt;0,"Graduado","En Proceso")</f>
        <v>Graduado</v>
      </c>
    </row>
    <row r="30" spans="1:56" customFormat="1">
      <c r="A30" s="7" t="s">
        <v>59</v>
      </c>
      <c r="B30" s="1" t="s">
        <v>53</v>
      </c>
      <c r="C30" s="21">
        <v>14</v>
      </c>
      <c r="D30" s="1">
        <v>176</v>
      </c>
      <c r="E30" s="1">
        <v>129</v>
      </c>
      <c r="F30" s="1">
        <v>105</v>
      </c>
      <c r="G30" s="1">
        <v>39</v>
      </c>
      <c r="H30" s="24">
        <f>+G30/F30</f>
        <v>0.37142857142857144</v>
      </c>
      <c r="I30" s="9">
        <v>31</v>
      </c>
      <c r="J30" s="9">
        <v>30</v>
      </c>
      <c r="K30" s="9">
        <v>27</v>
      </c>
      <c r="L30" s="25">
        <f>+K30/J30</f>
        <v>0.9</v>
      </c>
      <c r="M30" s="9">
        <v>12</v>
      </c>
      <c r="N30" s="2">
        <v>21</v>
      </c>
      <c r="O30" s="2">
        <v>2</v>
      </c>
      <c r="P30" s="2">
        <f>+O30+N30</f>
        <v>23</v>
      </c>
      <c r="Q30" s="2">
        <v>9</v>
      </c>
      <c r="R30" s="2">
        <v>23</v>
      </c>
      <c r="S30" s="2">
        <v>8</v>
      </c>
      <c r="T30" s="2">
        <f>+P30-R30</f>
        <v>0</v>
      </c>
      <c r="U30" s="2">
        <f>+Q30-S30</f>
        <v>1</v>
      </c>
      <c r="V30" s="2">
        <v>43</v>
      </c>
      <c r="W30" s="2">
        <v>34</v>
      </c>
      <c r="X30" s="2">
        <f>+W30+V30</f>
        <v>77</v>
      </c>
      <c r="Y30" s="51">
        <v>22</v>
      </c>
      <c r="Z30" s="51">
        <v>8</v>
      </c>
      <c r="AA30" s="17">
        <f>+R30-Y30</f>
        <v>1</v>
      </c>
      <c r="AB30" s="17">
        <f>+S30-Z30</f>
        <v>0</v>
      </c>
      <c r="AC30" s="51">
        <v>22</v>
      </c>
      <c r="AD30" s="51">
        <v>7</v>
      </c>
      <c r="AE30" s="17">
        <f>+Y30-AC30</f>
        <v>0</v>
      </c>
      <c r="AF30" s="17">
        <f>+Z30-AD30</f>
        <v>1</v>
      </c>
      <c r="AG30" s="51">
        <v>43</v>
      </c>
      <c r="AH30" s="51">
        <v>20</v>
      </c>
      <c r="AI30" s="17">
        <f>+AH30+AG30</f>
        <v>63</v>
      </c>
      <c r="AJ30" s="52">
        <v>21</v>
      </c>
      <c r="AK30" s="52">
        <v>7</v>
      </c>
      <c r="AL30" s="52">
        <f>+AC30-AJ30</f>
        <v>1</v>
      </c>
      <c r="AM30" s="52">
        <f>+AD30-AK30</f>
        <v>0</v>
      </c>
      <c r="AN30" s="52">
        <v>18</v>
      </c>
      <c r="AO30" s="52">
        <v>7</v>
      </c>
      <c r="AP30" s="52">
        <f>+AJ30-AN30</f>
        <v>3</v>
      </c>
      <c r="AQ30" s="52">
        <f>+AK30-AO30</f>
        <v>0</v>
      </c>
      <c r="AR30" s="52">
        <v>43</v>
      </c>
      <c r="AS30" s="52">
        <v>28</v>
      </c>
      <c r="AT30" s="52">
        <f>+AS30+AR30</f>
        <v>71</v>
      </c>
      <c r="AU30" s="4">
        <v>16</v>
      </c>
      <c r="AV30" s="4">
        <v>7</v>
      </c>
      <c r="AW30" s="4">
        <f>+AN30-AU30</f>
        <v>2</v>
      </c>
      <c r="AX30" s="4">
        <f>+AO30-AV30</f>
        <v>0</v>
      </c>
      <c r="AY30" s="13">
        <f>+P30-AU30</f>
        <v>7</v>
      </c>
      <c r="AZ30" s="13">
        <f>+Q30-AV30</f>
        <v>2</v>
      </c>
      <c r="BA30" s="14">
        <f>+(AY30+AZ30)/(P30+Q30)</f>
        <v>0.28125</v>
      </c>
      <c r="BB30" s="14">
        <f>+(AU30+AV30)/E30</f>
        <v>0.17829457364341086</v>
      </c>
      <c r="BC30" s="14">
        <f>+AU30/D30</f>
        <v>9.0909090909090912E-2</v>
      </c>
      <c r="BD30" s="1" t="str">
        <f>IF(AU30&gt;0,"Graduado","En Proceso")</f>
        <v>Graduado</v>
      </c>
    </row>
    <row r="31" spans="1:56" customFormat="1" hidden="1">
      <c r="A31" s="88" t="s">
        <v>60</v>
      </c>
      <c r="B31" s="89" t="s">
        <v>58</v>
      </c>
      <c r="C31" s="90">
        <v>15</v>
      </c>
      <c r="D31" s="89">
        <v>165</v>
      </c>
      <c r="E31" s="89">
        <v>145</v>
      </c>
      <c r="F31" s="89">
        <v>130</v>
      </c>
      <c r="G31" s="89">
        <v>63</v>
      </c>
      <c r="H31" s="91">
        <f>+G31/F31</f>
        <v>0.48461538461538461</v>
      </c>
      <c r="I31" s="92">
        <v>58</v>
      </c>
      <c r="J31" s="92">
        <v>54</v>
      </c>
      <c r="K31" s="92">
        <v>47</v>
      </c>
      <c r="L31" s="93">
        <f>+K31/J31</f>
        <v>0.87037037037037035</v>
      </c>
      <c r="M31" s="92">
        <v>13</v>
      </c>
      <c r="N31" s="94">
        <v>44</v>
      </c>
      <c r="O31" s="94">
        <v>1</v>
      </c>
      <c r="P31" s="94">
        <f>+O31+N31</f>
        <v>45</v>
      </c>
      <c r="Q31" s="94">
        <v>4</v>
      </c>
      <c r="R31" s="94">
        <v>44</v>
      </c>
      <c r="S31" s="94">
        <v>4</v>
      </c>
      <c r="T31" s="94">
        <f>+P31-R31</f>
        <v>1</v>
      </c>
      <c r="U31" s="94">
        <f>+Q31-S31</f>
        <v>0</v>
      </c>
      <c r="V31" s="94">
        <v>55</v>
      </c>
      <c r="W31" s="94">
        <v>14</v>
      </c>
      <c r="X31" s="94">
        <f>+W31+V31</f>
        <v>69</v>
      </c>
      <c r="Y31" s="101">
        <v>39</v>
      </c>
      <c r="Z31" s="101">
        <v>4</v>
      </c>
      <c r="AA31" s="95">
        <f>+R31-Y31</f>
        <v>5</v>
      </c>
      <c r="AB31" s="95">
        <f>+S31-Z31</f>
        <v>0</v>
      </c>
      <c r="AC31" s="101">
        <v>38</v>
      </c>
      <c r="AD31" s="101">
        <v>4</v>
      </c>
      <c r="AE31" s="95">
        <f>+Y31-AC31</f>
        <v>1</v>
      </c>
      <c r="AF31" s="95">
        <f>+Z31-AD31</f>
        <v>0</v>
      </c>
      <c r="AG31" s="101">
        <v>70</v>
      </c>
      <c r="AH31" s="101">
        <v>9</v>
      </c>
      <c r="AI31" s="95">
        <f>+AH31+AG31</f>
        <v>79</v>
      </c>
      <c r="AJ31" s="96">
        <v>32</v>
      </c>
      <c r="AK31" s="96">
        <v>4</v>
      </c>
      <c r="AL31" s="96">
        <f>+AC31-AJ31</f>
        <v>6</v>
      </c>
      <c r="AM31" s="96">
        <f>+AD31-AK31</f>
        <v>0</v>
      </c>
      <c r="AN31" s="96">
        <v>32</v>
      </c>
      <c r="AO31" s="96">
        <v>4</v>
      </c>
      <c r="AP31" s="96">
        <f>+AJ31-AN31</f>
        <v>0</v>
      </c>
      <c r="AQ31" s="96">
        <f>+AK31-AO31</f>
        <v>0</v>
      </c>
      <c r="AR31" s="96">
        <v>105</v>
      </c>
      <c r="AS31" s="96">
        <v>20</v>
      </c>
      <c r="AT31" s="96">
        <f>+AS31+AR31</f>
        <v>125</v>
      </c>
      <c r="AU31" s="98">
        <v>32</v>
      </c>
      <c r="AV31" s="98">
        <v>4</v>
      </c>
      <c r="AW31" s="98">
        <f>+AN31-AU31</f>
        <v>0</v>
      </c>
      <c r="AX31" s="98">
        <f>+AO31-AV31</f>
        <v>0</v>
      </c>
      <c r="AY31" s="99">
        <f>+P31-AU31</f>
        <v>13</v>
      </c>
      <c r="AZ31" s="99">
        <f>+Q31-AV31</f>
        <v>0</v>
      </c>
      <c r="BA31" s="100">
        <f>+(AY31+AZ31)/(P31+Q31)</f>
        <v>0.26530612244897961</v>
      </c>
      <c r="BB31" s="100">
        <f>+(AU31+AV31)/E31</f>
        <v>0.24827586206896551</v>
      </c>
      <c r="BC31" s="100">
        <f>+AU31/D31</f>
        <v>0.19393939393939394</v>
      </c>
      <c r="BD31" s="89" t="str">
        <f>IF(AU31&gt;0,"Graduado","En Proceso")</f>
        <v>Graduado</v>
      </c>
    </row>
    <row r="32" spans="1:56" customFormat="1">
      <c r="A32" s="7" t="s">
        <v>59</v>
      </c>
      <c r="B32" s="1" t="s">
        <v>53</v>
      </c>
      <c r="C32" s="21">
        <v>15</v>
      </c>
      <c r="D32" s="1">
        <v>215</v>
      </c>
      <c r="E32" s="1">
        <v>143</v>
      </c>
      <c r="F32" s="1">
        <v>124</v>
      </c>
      <c r="G32" s="1">
        <v>56</v>
      </c>
      <c r="H32" s="24">
        <f>+G32/F32</f>
        <v>0.45161290322580644</v>
      </c>
      <c r="I32" s="9">
        <v>56</v>
      </c>
      <c r="J32" s="9">
        <v>54</v>
      </c>
      <c r="K32" s="9">
        <v>52</v>
      </c>
      <c r="L32" s="25">
        <f>+K32/J32</f>
        <v>0.96296296296296291</v>
      </c>
      <c r="M32" s="9">
        <v>13</v>
      </c>
      <c r="N32" s="2">
        <v>47</v>
      </c>
      <c r="O32" s="2">
        <v>2</v>
      </c>
      <c r="P32" s="2">
        <f>+O32+N32</f>
        <v>49</v>
      </c>
      <c r="Q32" s="2">
        <v>11</v>
      </c>
      <c r="R32" s="2">
        <v>42</v>
      </c>
      <c r="S32" s="2">
        <v>8</v>
      </c>
      <c r="T32" s="2">
        <f>+P32-R32</f>
        <v>7</v>
      </c>
      <c r="U32" s="2">
        <f>+Q32-S32</f>
        <v>3</v>
      </c>
      <c r="V32" s="2">
        <v>131</v>
      </c>
      <c r="W32" s="2">
        <v>49</v>
      </c>
      <c r="X32" s="2">
        <f>+W32+V32</f>
        <v>180</v>
      </c>
      <c r="Y32" s="51">
        <v>34</v>
      </c>
      <c r="Z32" s="51">
        <v>8</v>
      </c>
      <c r="AA32" s="17">
        <f>+R32-Y32</f>
        <v>8</v>
      </c>
      <c r="AB32" s="17">
        <f>+S32-Z32</f>
        <v>0</v>
      </c>
      <c r="AC32" s="51">
        <v>34</v>
      </c>
      <c r="AD32" s="51">
        <v>8</v>
      </c>
      <c r="AE32" s="17">
        <f>+Y32-AC32</f>
        <v>0</v>
      </c>
      <c r="AF32" s="17">
        <f>+Z32-AD32</f>
        <v>0</v>
      </c>
      <c r="AG32" s="51">
        <v>85</v>
      </c>
      <c r="AH32" s="51">
        <v>24</v>
      </c>
      <c r="AI32" s="17">
        <f>+AH32+AG32</f>
        <v>109</v>
      </c>
      <c r="AJ32" s="52">
        <v>30</v>
      </c>
      <c r="AK32" s="52">
        <v>7</v>
      </c>
      <c r="AL32" s="52">
        <f>+AC32-AJ32</f>
        <v>4</v>
      </c>
      <c r="AM32" s="52">
        <f>+AD32-AK32</f>
        <v>1</v>
      </c>
      <c r="AN32" s="52">
        <v>29</v>
      </c>
      <c r="AO32" s="52">
        <v>7</v>
      </c>
      <c r="AP32" s="52">
        <f>+AJ32-AN32</f>
        <v>1</v>
      </c>
      <c r="AQ32" s="52">
        <f>+AK32-AO32</f>
        <v>0</v>
      </c>
      <c r="AR32" s="52">
        <v>57</v>
      </c>
      <c r="AS32" s="52">
        <v>23</v>
      </c>
      <c r="AT32" s="52">
        <f>+AS32+AR32</f>
        <v>80</v>
      </c>
      <c r="AU32" s="4">
        <v>29</v>
      </c>
      <c r="AV32" s="4">
        <v>7</v>
      </c>
      <c r="AW32" s="4">
        <f>+AN32-AU32</f>
        <v>0</v>
      </c>
      <c r="AX32" s="4">
        <f>+AO32-AV32</f>
        <v>0</v>
      </c>
      <c r="AY32" s="13">
        <f>+P32-AU32</f>
        <v>20</v>
      </c>
      <c r="AZ32" s="13">
        <f>+Q32-AV32</f>
        <v>4</v>
      </c>
      <c r="BA32" s="14">
        <f>+(AY32+AZ32)/(P32+Q32)</f>
        <v>0.4</v>
      </c>
      <c r="BB32" s="14">
        <f>+(AU32+AV32)/E32</f>
        <v>0.25174825174825177</v>
      </c>
      <c r="BC32" s="14">
        <f>+AU32/D32</f>
        <v>0.13488372093023257</v>
      </c>
      <c r="BD32" s="1" t="str">
        <f>IF(AU32&gt;0,"Graduado","En Proceso")</f>
        <v>Graduado</v>
      </c>
    </row>
    <row r="33" spans="1:56" customFormat="1" hidden="1">
      <c r="A33" s="88" t="s">
        <v>61</v>
      </c>
      <c r="B33" s="89" t="s">
        <v>58</v>
      </c>
      <c r="C33" s="90">
        <v>16</v>
      </c>
      <c r="D33" s="89">
        <v>171</v>
      </c>
      <c r="E33" s="89">
        <v>123</v>
      </c>
      <c r="F33" s="89">
        <v>114</v>
      </c>
      <c r="G33" s="89">
        <v>35</v>
      </c>
      <c r="H33" s="91">
        <f>+G33/F33</f>
        <v>0.30701754385964913</v>
      </c>
      <c r="I33" s="92">
        <v>36</v>
      </c>
      <c r="J33" s="92">
        <v>33</v>
      </c>
      <c r="K33" s="92">
        <v>31</v>
      </c>
      <c r="L33" s="93">
        <f>+K33/J33</f>
        <v>0.93939393939393945</v>
      </c>
      <c r="M33" s="92">
        <v>7</v>
      </c>
      <c r="N33" s="94">
        <v>24</v>
      </c>
      <c r="O33" s="94">
        <v>2</v>
      </c>
      <c r="P33" s="94">
        <f>+O33+N33</f>
        <v>26</v>
      </c>
      <c r="Q33" s="94">
        <v>3</v>
      </c>
      <c r="R33" s="94">
        <v>22</v>
      </c>
      <c r="S33" s="94">
        <v>3</v>
      </c>
      <c r="T33" s="94">
        <f>+P33-R33</f>
        <v>4</v>
      </c>
      <c r="U33" s="94">
        <f>+Q33-S33</f>
        <v>0</v>
      </c>
      <c r="V33" s="94">
        <v>24</v>
      </c>
      <c r="W33" s="94">
        <v>12</v>
      </c>
      <c r="X33" s="94">
        <f>+W33+V33</f>
        <v>36</v>
      </c>
      <c r="Y33" s="95">
        <v>19</v>
      </c>
      <c r="Z33" s="95">
        <v>2</v>
      </c>
      <c r="AA33" s="95">
        <f>+R33-Y33</f>
        <v>3</v>
      </c>
      <c r="AB33" s="95">
        <f>+S33-Z33</f>
        <v>1</v>
      </c>
      <c r="AC33" s="95">
        <v>19</v>
      </c>
      <c r="AD33" s="95">
        <v>1</v>
      </c>
      <c r="AE33" s="95">
        <f>+Y33-AC33</f>
        <v>0</v>
      </c>
      <c r="AF33" s="95">
        <f>+Z33-AD33</f>
        <v>1</v>
      </c>
      <c r="AG33" s="95">
        <v>25</v>
      </c>
      <c r="AH33" s="95">
        <v>10</v>
      </c>
      <c r="AI33" s="95">
        <f>+AH33+AG33</f>
        <v>35</v>
      </c>
      <c r="AJ33" s="96">
        <v>14</v>
      </c>
      <c r="AK33" s="96">
        <v>2</v>
      </c>
      <c r="AL33" s="96">
        <f>+AC33-AJ33</f>
        <v>5</v>
      </c>
      <c r="AM33" s="96">
        <f>+AD33-AK33</f>
        <v>-1</v>
      </c>
      <c r="AN33" s="96">
        <v>14</v>
      </c>
      <c r="AO33" s="96">
        <v>2</v>
      </c>
      <c r="AP33" s="96">
        <f>+AJ33-AN33</f>
        <v>0</v>
      </c>
      <c r="AQ33" s="96">
        <f>+AK33-AO33</f>
        <v>0</v>
      </c>
      <c r="AR33" s="96">
        <v>20</v>
      </c>
      <c r="AS33" s="96">
        <v>9</v>
      </c>
      <c r="AT33" s="96">
        <f>+AS33+AR33</f>
        <v>29</v>
      </c>
      <c r="AU33" s="98">
        <v>10</v>
      </c>
      <c r="AV33" s="98">
        <v>2</v>
      </c>
      <c r="AW33" s="98">
        <f>+AN33-AU33</f>
        <v>4</v>
      </c>
      <c r="AX33" s="98">
        <f>+AO33-AV33</f>
        <v>0</v>
      </c>
      <c r="AY33" s="99">
        <f>+P33-AU33</f>
        <v>16</v>
      </c>
      <c r="AZ33" s="99">
        <f>+Q33-AV33</f>
        <v>1</v>
      </c>
      <c r="BA33" s="100">
        <f>+(AY33+AZ33)/(P33+Q33)</f>
        <v>0.58620689655172409</v>
      </c>
      <c r="BB33" s="100">
        <f>+(AU33+AV33)/E33</f>
        <v>9.7560975609756101E-2</v>
      </c>
      <c r="BC33" s="100">
        <f>+AU33/D33</f>
        <v>5.8479532163742687E-2</v>
      </c>
      <c r="BD33" s="89" t="str">
        <f>IF(AU33&gt;0,"Graduado","En Proceso")</f>
        <v>Graduado</v>
      </c>
    </row>
    <row r="34" spans="1:56" customFormat="1">
      <c r="A34" s="7" t="s">
        <v>59</v>
      </c>
      <c r="B34" s="1" t="s">
        <v>53</v>
      </c>
      <c r="C34" s="21">
        <v>16</v>
      </c>
      <c r="D34" s="1">
        <v>180</v>
      </c>
      <c r="E34" s="1">
        <v>138</v>
      </c>
      <c r="F34" s="1">
        <v>110</v>
      </c>
      <c r="G34" s="1">
        <v>33</v>
      </c>
      <c r="H34" s="24">
        <f>+G34/F34</f>
        <v>0.3</v>
      </c>
      <c r="I34" s="9">
        <v>33</v>
      </c>
      <c r="J34" s="9">
        <v>32</v>
      </c>
      <c r="K34" s="9">
        <v>32</v>
      </c>
      <c r="L34" s="25">
        <f>+K34/J34</f>
        <v>1</v>
      </c>
      <c r="M34" s="9">
        <v>4</v>
      </c>
      <c r="N34" s="2">
        <v>30</v>
      </c>
      <c r="O34" s="2">
        <v>3</v>
      </c>
      <c r="P34" s="2">
        <f>+O34+N34</f>
        <v>33</v>
      </c>
      <c r="Q34" s="2">
        <v>3</v>
      </c>
      <c r="R34" s="2">
        <v>33</v>
      </c>
      <c r="S34" s="2">
        <v>3</v>
      </c>
      <c r="T34" s="2">
        <f>+P34-R34</f>
        <v>0</v>
      </c>
      <c r="U34" s="2">
        <f>+Q34-S34</f>
        <v>0</v>
      </c>
      <c r="V34" s="2">
        <v>37</v>
      </c>
      <c r="W34" s="2">
        <v>8</v>
      </c>
      <c r="X34" s="2">
        <f>+W34+V34</f>
        <v>45</v>
      </c>
      <c r="Y34" s="17">
        <v>31</v>
      </c>
      <c r="Z34" s="17">
        <v>3</v>
      </c>
      <c r="AA34" s="17">
        <f>+R34-Y34</f>
        <v>2</v>
      </c>
      <c r="AB34" s="17">
        <f>+S34-Z34</f>
        <v>0</v>
      </c>
      <c r="AC34" s="17">
        <v>28</v>
      </c>
      <c r="AD34" s="17">
        <v>3</v>
      </c>
      <c r="AE34" s="17">
        <f>+Y34-AC34</f>
        <v>3</v>
      </c>
      <c r="AF34" s="17">
        <f>+Z34-AD34</f>
        <v>0</v>
      </c>
      <c r="AG34" s="17">
        <v>39</v>
      </c>
      <c r="AH34" s="17">
        <v>9</v>
      </c>
      <c r="AI34" s="17">
        <f>+AH34+AG34</f>
        <v>48</v>
      </c>
      <c r="AJ34" s="3"/>
      <c r="AK34" s="3"/>
      <c r="AL34" s="52">
        <f>+AC34-AJ34</f>
        <v>28</v>
      </c>
      <c r="AM34" s="52">
        <f>+AD34-AK34</f>
        <v>3</v>
      </c>
      <c r="AN34" s="3"/>
      <c r="AO34" s="3"/>
      <c r="AP34" s="52">
        <f>+AJ34-AN34</f>
        <v>0</v>
      </c>
      <c r="AQ34" s="52">
        <f>+AK34-AO34</f>
        <v>0</v>
      </c>
      <c r="AR34" s="3"/>
      <c r="AS34" s="3"/>
      <c r="AT34" s="52">
        <f>+AS34+AR34</f>
        <v>0</v>
      </c>
      <c r="AU34" s="4">
        <v>24</v>
      </c>
      <c r="AV34" s="4">
        <v>3</v>
      </c>
      <c r="AW34" s="4">
        <f>+AN34-AU34</f>
        <v>-24</v>
      </c>
      <c r="AX34" s="4">
        <f>+AO34-AV34</f>
        <v>-3</v>
      </c>
      <c r="AY34" s="13">
        <f>+P34-AU34</f>
        <v>9</v>
      </c>
      <c r="AZ34" s="13">
        <f>+Q34-AV34</f>
        <v>0</v>
      </c>
      <c r="BA34" s="14">
        <f>+(AY34+AZ34)/(P34+Q34)</f>
        <v>0.25</v>
      </c>
      <c r="BB34" s="14">
        <f>+(AU34+AV34)/E34</f>
        <v>0.19565217391304349</v>
      </c>
      <c r="BC34" s="14">
        <f>+AU34/D34</f>
        <v>0.13333333333333333</v>
      </c>
      <c r="BD34" s="1" t="str">
        <f>IF(AU34&gt;0,"Graduado","En Proceso")</f>
        <v>Graduado</v>
      </c>
    </row>
    <row r="35" spans="1:56" customFormat="1" hidden="1">
      <c r="A35" s="7" t="s">
        <v>61</v>
      </c>
      <c r="B35" s="1" t="s">
        <v>58</v>
      </c>
      <c r="C35" s="21">
        <v>17</v>
      </c>
      <c r="D35" s="1">
        <v>186</v>
      </c>
      <c r="E35" s="1">
        <v>171</v>
      </c>
      <c r="F35" s="1">
        <v>143</v>
      </c>
      <c r="G35" s="1">
        <v>45</v>
      </c>
      <c r="H35" s="24">
        <f>+G35/F35</f>
        <v>0.31468531468531469</v>
      </c>
      <c r="I35" s="9">
        <v>41</v>
      </c>
      <c r="J35" s="9">
        <v>38</v>
      </c>
      <c r="K35" s="9">
        <v>27</v>
      </c>
      <c r="L35" s="25">
        <f>+K35/J35</f>
        <v>0.71052631578947367</v>
      </c>
      <c r="M35" s="9">
        <v>10</v>
      </c>
      <c r="N35" s="2">
        <v>23</v>
      </c>
      <c r="O35" s="2">
        <v>5</v>
      </c>
      <c r="P35" s="2">
        <f>+O35+N35</f>
        <v>28</v>
      </c>
      <c r="Q35" s="2">
        <v>4</v>
      </c>
      <c r="R35" s="2">
        <v>22</v>
      </c>
      <c r="S35" s="2">
        <v>4</v>
      </c>
      <c r="T35" s="2">
        <f>+P35-R35</f>
        <v>6</v>
      </c>
      <c r="U35" s="2">
        <f>+Q35-S35</f>
        <v>0</v>
      </c>
      <c r="V35" s="2">
        <v>38</v>
      </c>
      <c r="W35" s="2">
        <v>15</v>
      </c>
      <c r="X35" s="2">
        <f>+W35+V35</f>
        <v>53</v>
      </c>
      <c r="Y35" s="17">
        <v>18</v>
      </c>
      <c r="Z35" s="17">
        <v>4</v>
      </c>
      <c r="AA35" s="17">
        <f>+R35-Y35</f>
        <v>4</v>
      </c>
      <c r="AB35" s="17">
        <f>+S35-Z35</f>
        <v>0</v>
      </c>
      <c r="AC35" s="17">
        <v>17</v>
      </c>
      <c r="AD35" s="17">
        <v>3</v>
      </c>
      <c r="AE35" s="17">
        <f>+Y35-AC35</f>
        <v>1</v>
      </c>
      <c r="AF35" s="17">
        <f>+Z35-AD35</f>
        <v>1</v>
      </c>
      <c r="AG35" s="17">
        <v>29</v>
      </c>
      <c r="AH35" s="17">
        <v>12</v>
      </c>
      <c r="AI35" s="17">
        <f>+AH35+AG35</f>
        <v>41</v>
      </c>
      <c r="AJ35" s="3"/>
      <c r="AK35" s="3"/>
      <c r="AL35" s="52">
        <f>+AC35-AJ35</f>
        <v>17</v>
      </c>
      <c r="AM35" s="52">
        <f>+AD35-AK35</f>
        <v>3</v>
      </c>
      <c r="AN35" s="3"/>
      <c r="AO35" s="3"/>
      <c r="AP35" s="52">
        <f>+AJ35-AN35</f>
        <v>0</v>
      </c>
      <c r="AQ35" s="52">
        <f>+AK35-AO35</f>
        <v>0</v>
      </c>
      <c r="AR35" s="3"/>
      <c r="AS35" s="3"/>
      <c r="AT35" s="52">
        <f>+AS35+AR35</f>
        <v>0</v>
      </c>
      <c r="AU35" s="4"/>
      <c r="AV35" s="4"/>
      <c r="AW35" s="4">
        <f>+AN35-AU35</f>
        <v>0</v>
      </c>
      <c r="AX35" s="4">
        <f>+AO35-AV35</f>
        <v>0</v>
      </c>
      <c r="AY35" s="13">
        <f>+P35-AU35</f>
        <v>28</v>
      </c>
      <c r="AZ35" s="13">
        <f>+Q35-AV35</f>
        <v>4</v>
      </c>
      <c r="BA35" s="14">
        <f>+(AY35+AZ35)/(P35+Q35)</f>
        <v>1</v>
      </c>
      <c r="BB35" s="14">
        <f>+(AU35+AV35)/E35</f>
        <v>0</v>
      </c>
      <c r="BC35" s="14">
        <f>+AU35/D35</f>
        <v>0</v>
      </c>
      <c r="BD35" s="1" t="str">
        <f>IF(AU35&gt;0,"Graduado","En Proceso")</f>
        <v>En Proceso</v>
      </c>
    </row>
    <row r="36" spans="1:56" customFormat="1">
      <c r="A36" s="7" t="s">
        <v>59</v>
      </c>
      <c r="B36" s="1" t="s">
        <v>53</v>
      </c>
      <c r="C36" s="21">
        <v>17</v>
      </c>
      <c r="D36" s="1">
        <v>228</v>
      </c>
      <c r="E36" s="1">
        <v>153</v>
      </c>
      <c r="F36" s="1">
        <v>120</v>
      </c>
      <c r="G36" s="1">
        <v>52</v>
      </c>
      <c r="H36" s="24">
        <f>+G36/F36</f>
        <v>0.43333333333333335</v>
      </c>
      <c r="I36" s="26">
        <v>45</v>
      </c>
      <c r="J36" s="10">
        <v>39</v>
      </c>
      <c r="K36" s="10">
        <v>39</v>
      </c>
      <c r="L36" s="25">
        <f>+K36/J36</f>
        <v>1</v>
      </c>
      <c r="M36" s="10">
        <v>16</v>
      </c>
      <c r="N36" s="2">
        <v>33</v>
      </c>
      <c r="O36" s="11">
        <v>2</v>
      </c>
      <c r="P36" s="2">
        <f>+O36+N36</f>
        <v>35</v>
      </c>
      <c r="Q36" s="11">
        <v>15</v>
      </c>
      <c r="R36" s="11">
        <v>33</v>
      </c>
      <c r="S36" s="11">
        <v>12</v>
      </c>
      <c r="T36" s="2">
        <f>+P36-R36</f>
        <v>2</v>
      </c>
      <c r="U36" s="2">
        <f>+Q36-S36</f>
        <v>3</v>
      </c>
      <c r="V36" s="11">
        <v>61</v>
      </c>
      <c r="W36" s="11">
        <v>58</v>
      </c>
      <c r="X36" s="2">
        <f>+W36+V36</f>
        <v>119</v>
      </c>
      <c r="Y36" s="18">
        <v>29</v>
      </c>
      <c r="Z36" s="18">
        <v>12</v>
      </c>
      <c r="AA36" s="17">
        <f>+R36-Y36</f>
        <v>4</v>
      </c>
      <c r="AB36" s="17">
        <f>+S36-Z36</f>
        <v>0</v>
      </c>
      <c r="AC36" s="18">
        <v>27</v>
      </c>
      <c r="AD36" s="18">
        <v>11</v>
      </c>
      <c r="AE36" s="17">
        <f>+Y36-AC36</f>
        <v>2</v>
      </c>
      <c r="AF36" s="17">
        <f>+Z36-AD36</f>
        <v>1</v>
      </c>
      <c r="AG36" s="18">
        <v>67</v>
      </c>
      <c r="AH36" s="18">
        <v>34</v>
      </c>
      <c r="AI36" s="17">
        <f>+AH36+AG36</f>
        <v>101</v>
      </c>
      <c r="AJ36" s="16">
        <v>27</v>
      </c>
      <c r="AK36" s="16">
        <v>11</v>
      </c>
      <c r="AL36" s="52">
        <f>+AC36-AJ36</f>
        <v>0</v>
      </c>
      <c r="AM36" s="52">
        <f>+AD36-AK36</f>
        <v>0</v>
      </c>
      <c r="AN36" s="16">
        <v>26</v>
      </c>
      <c r="AO36" s="16">
        <v>10</v>
      </c>
      <c r="AP36" s="52">
        <f>+AJ36-AN36</f>
        <v>1</v>
      </c>
      <c r="AQ36" s="52">
        <f>+AK36-AO36</f>
        <v>1</v>
      </c>
      <c r="AR36" s="16">
        <v>70</v>
      </c>
      <c r="AS36" s="16">
        <v>41</v>
      </c>
      <c r="AT36" s="52">
        <f>+AS36+AR36</f>
        <v>111</v>
      </c>
      <c r="AU36" s="12">
        <v>26</v>
      </c>
      <c r="AV36" s="12">
        <v>10</v>
      </c>
      <c r="AW36" s="4">
        <v>1</v>
      </c>
      <c r="AX36" s="4">
        <f>+AO36-AV36</f>
        <v>0</v>
      </c>
      <c r="AY36" s="13">
        <f>+P36-AU36</f>
        <v>9</v>
      </c>
      <c r="AZ36" s="13">
        <f>+Q36-AV36</f>
        <v>5</v>
      </c>
      <c r="BA36" s="14">
        <f>+(AY36+AZ36)/(P36+Q36)</f>
        <v>0.28000000000000003</v>
      </c>
      <c r="BB36" s="14">
        <f>+(AU36+AV36)/E36</f>
        <v>0.23529411764705882</v>
      </c>
      <c r="BC36" s="14">
        <f>+AU36/D36</f>
        <v>0.11403508771929824</v>
      </c>
      <c r="BD36" s="1" t="str">
        <f>IF(AU36&gt;0,"Graduado","En Proceso")</f>
        <v>Graduado</v>
      </c>
    </row>
    <row r="37" spans="1:56" customFormat="1" hidden="1">
      <c r="A37" s="7" t="s">
        <v>61</v>
      </c>
      <c r="B37" s="1" t="s">
        <v>58</v>
      </c>
      <c r="C37" s="21">
        <v>18</v>
      </c>
      <c r="D37" s="1">
        <v>213</v>
      </c>
      <c r="E37" s="1">
        <v>201</v>
      </c>
      <c r="F37" s="1">
        <v>163</v>
      </c>
      <c r="G37" s="1">
        <v>63</v>
      </c>
      <c r="H37" s="24">
        <f>+G37/F37</f>
        <v>0.38650306748466257</v>
      </c>
      <c r="I37" s="9">
        <v>54</v>
      </c>
      <c r="J37" s="9">
        <v>50</v>
      </c>
      <c r="K37" s="9">
        <v>41</v>
      </c>
      <c r="L37" s="25">
        <f>+K37/J37</f>
        <v>0.82</v>
      </c>
      <c r="M37" s="9">
        <v>9</v>
      </c>
      <c r="N37" s="2">
        <v>34</v>
      </c>
      <c r="O37" s="2">
        <v>3</v>
      </c>
      <c r="P37" s="2">
        <f>+O37+N37</f>
        <v>37</v>
      </c>
      <c r="Q37" s="2">
        <v>7</v>
      </c>
      <c r="R37" s="2">
        <v>35</v>
      </c>
      <c r="S37" s="2">
        <v>5</v>
      </c>
      <c r="T37" s="2">
        <f>+P37-R37</f>
        <v>2</v>
      </c>
      <c r="U37" s="2">
        <f>+Q37-S37</f>
        <v>2</v>
      </c>
      <c r="V37" s="2">
        <v>58</v>
      </c>
      <c r="W37" s="2">
        <v>12</v>
      </c>
      <c r="X37" s="2">
        <f>+W37+V37</f>
        <v>70</v>
      </c>
      <c r="Y37" s="17">
        <v>30</v>
      </c>
      <c r="Z37" s="17">
        <v>5</v>
      </c>
      <c r="AA37" s="17">
        <f>+R37-Y37</f>
        <v>5</v>
      </c>
      <c r="AB37" s="17">
        <f>+S37-Z37</f>
        <v>0</v>
      </c>
      <c r="AC37" s="17">
        <v>30</v>
      </c>
      <c r="AD37" s="17">
        <v>5</v>
      </c>
      <c r="AE37" s="17">
        <f>+Y37-AC37</f>
        <v>0</v>
      </c>
      <c r="AF37" s="17">
        <f>+Z37-AD37</f>
        <v>0</v>
      </c>
      <c r="AG37" s="17">
        <v>57</v>
      </c>
      <c r="AH37" s="17">
        <v>13</v>
      </c>
      <c r="AI37" s="17">
        <f>+AH37+AG37</f>
        <v>70</v>
      </c>
      <c r="AJ37" s="3"/>
      <c r="AK37" s="3"/>
      <c r="AL37" s="52">
        <f>+AC37-AJ37</f>
        <v>30</v>
      </c>
      <c r="AM37" s="52">
        <f>+AD37-AK37</f>
        <v>5</v>
      </c>
      <c r="AN37" s="3"/>
      <c r="AO37" s="3"/>
      <c r="AP37" s="52">
        <f>+AJ37-AN37</f>
        <v>0</v>
      </c>
      <c r="AQ37" s="52">
        <f>+AK37-AO37</f>
        <v>0</v>
      </c>
      <c r="AR37" s="3"/>
      <c r="AS37" s="3"/>
      <c r="AT37" s="52">
        <f>+AS37+AR37</f>
        <v>0</v>
      </c>
      <c r="AU37" s="4"/>
      <c r="AV37" s="4"/>
      <c r="AW37" s="4">
        <f>+AN37-AU37</f>
        <v>0</v>
      </c>
      <c r="AX37" s="4">
        <f>+AO37-AV37</f>
        <v>0</v>
      </c>
      <c r="AY37" s="13">
        <f>+P37-AU37</f>
        <v>37</v>
      </c>
      <c r="AZ37" s="13">
        <f>+Q37-AV37</f>
        <v>7</v>
      </c>
      <c r="BA37" s="14">
        <f>+(AY37+AZ37)/(P37+Q37)</f>
        <v>1</v>
      </c>
      <c r="BB37" s="14">
        <f>+(AU37+AV37)/E37</f>
        <v>0</v>
      </c>
      <c r="BC37" s="14">
        <f>+AU37/D37</f>
        <v>0</v>
      </c>
      <c r="BD37" s="1" t="str">
        <f>IF(AU37&gt;0,"Graduado","En Proceso")</f>
        <v>En Proceso</v>
      </c>
    </row>
    <row r="38" spans="1:56" customFormat="1">
      <c r="A38" s="7" t="s">
        <v>59</v>
      </c>
      <c r="B38" s="1" t="s">
        <v>53</v>
      </c>
      <c r="C38" s="21">
        <v>18</v>
      </c>
      <c r="D38" s="1">
        <v>251</v>
      </c>
      <c r="E38" s="1">
        <v>180</v>
      </c>
      <c r="F38" s="1">
        <v>133</v>
      </c>
      <c r="G38" s="1">
        <v>48</v>
      </c>
      <c r="H38" s="24">
        <f>+G38/F38</f>
        <v>0.36090225563909772</v>
      </c>
      <c r="I38" s="26">
        <v>34</v>
      </c>
      <c r="J38" s="10">
        <v>30</v>
      </c>
      <c r="K38" s="10">
        <v>28</v>
      </c>
      <c r="L38" s="25">
        <f>+K38/J38</f>
        <v>0.93333333333333335</v>
      </c>
      <c r="M38" s="10">
        <v>12</v>
      </c>
      <c r="N38" s="2">
        <v>28</v>
      </c>
      <c r="O38" s="11">
        <v>0</v>
      </c>
      <c r="P38" s="2">
        <f>+O38+N38</f>
        <v>28</v>
      </c>
      <c r="Q38" s="11">
        <v>7</v>
      </c>
      <c r="R38" s="11">
        <v>20</v>
      </c>
      <c r="S38" s="11">
        <v>7</v>
      </c>
      <c r="T38" s="2">
        <f>+P38-R38</f>
        <v>8</v>
      </c>
      <c r="U38" s="2">
        <f>+Q38-S38</f>
        <v>0</v>
      </c>
      <c r="V38" s="11">
        <v>20</v>
      </c>
      <c r="W38" s="11">
        <v>18</v>
      </c>
      <c r="X38" s="2">
        <f>+W38+V38</f>
        <v>38</v>
      </c>
      <c r="Y38" s="18">
        <v>20</v>
      </c>
      <c r="Z38" s="18">
        <v>6</v>
      </c>
      <c r="AA38" s="17">
        <f>+R38-Y38</f>
        <v>0</v>
      </c>
      <c r="AB38" s="17">
        <f>+S38-Z38</f>
        <v>1</v>
      </c>
      <c r="AC38" s="18">
        <v>18</v>
      </c>
      <c r="AD38" s="18">
        <v>6</v>
      </c>
      <c r="AE38" s="17">
        <f>+Y38-AC38</f>
        <v>2</v>
      </c>
      <c r="AF38" s="17">
        <f>+Z38-AD38</f>
        <v>0</v>
      </c>
      <c r="AG38" s="18">
        <v>25</v>
      </c>
      <c r="AH38" s="18">
        <v>12</v>
      </c>
      <c r="AI38" s="17">
        <f>+AH38+AG38</f>
        <v>37</v>
      </c>
      <c r="AJ38" s="16">
        <v>14</v>
      </c>
      <c r="AK38" s="16">
        <v>6</v>
      </c>
      <c r="AL38" s="52">
        <f>+AC38-AJ38</f>
        <v>4</v>
      </c>
      <c r="AM38" s="52">
        <f>+AD38-AK38</f>
        <v>0</v>
      </c>
      <c r="AN38" s="16">
        <v>12</v>
      </c>
      <c r="AO38" s="16">
        <v>6</v>
      </c>
      <c r="AP38" s="52">
        <f>+AJ38-AN38</f>
        <v>2</v>
      </c>
      <c r="AQ38" s="52">
        <f>+AK38-AO38</f>
        <v>0</v>
      </c>
      <c r="AR38" s="16">
        <v>36</v>
      </c>
      <c r="AS38" s="16">
        <v>20</v>
      </c>
      <c r="AT38" s="52">
        <f>+AS38+AR38</f>
        <v>56</v>
      </c>
      <c r="AU38" s="12">
        <v>12</v>
      </c>
      <c r="AV38" s="12">
        <v>6</v>
      </c>
      <c r="AW38" s="4">
        <v>1</v>
      </c>
      <c r="AX38" s="4">
        <f>+AO38-AV38</f>
        <v>0</v>
      </c>
      <c r="AY38" s="13">
        <f>+V38-AU38</f>
        <v>8</v>
      </c>
      <c r="AZ38" s="13">
        <f>+Q38-AV38</f>
        <v>1</v>
      </c>
      <c r="BA38" s="14">
        <f>+(AY38+AZ38)/(P38+Q38)</f>
        <v>0.25714285714285712</v>
      </c>
      <c r="BB38" s="14">
        <f>+(AU38+AV38)/E38</f>
        <v>0.1</v>
      </c>
      <c r="BC38" s="14">
        <f>+AU38/D38</f>
        <v>4.7808764940239043E-2</v>
      </c>
      <c r="BD38" s="1" t="str">
        <f>IF(AU38&gt;0,"Graduado","En Proceso")</f>
        <v>Graduado</v>
      </c>
    </row>
    <row r="39" spans="1:56" hidden="1">
      <c r="A39" s="7" t="s">
        <v>61</v>
      </c>
      <c r="B39" s="1" t="s">
        <v>58</v>
      </c>
      <c r="C39" s="21">
        <v>19</v>
      </c>
      <c r="D39" s="1">
        <v>140</v>
      </c>
      <c r="E39" s="1">
        <v>124</v>
      </c>
      <c r="F39" s="1">
        <v>110</v>
      </c>
      <c r="G39" s="1">
        <v>30</v>
      </c>
      <c r="H39" s="24">
        <f>+G39/F39</f>
        <v>0.27272727272727271</v>
      </c>
      <c r="I39" s="9">
        <v>31</v>
      </c>
      <c r="J39" s="10">
        <v>30</v>
      </c>
      <c r="K39" s="10">
        <v>30</v>
      </c>
      <c r="L39" s="25">
        <f>+K39/J39</f>
        <v>1</v>
      </c>
      <c r="M39" s="10">
        <v>10</v>
      </c>
      <c r="N39" s="11">
        <v>30</v>
      </c>
      <c r="O39" s="11">
        <v>4</v>
      </c>
      <c r="P39" s="2">
        <f>+O39+N39</f>
        <v>34</v>
      </c>
      <c r="Q39" s="11">
        <v>10</v>
      </c>
      <c r="R39" s="11">
        <v>28</v>
      </c>
      <c r="S39" s="11">
        <v>10</v>
      </c>
      <c r="T39" s="2">
        <f>+P39-R39</f>
        <v>6</v>
      </c>
      <c r="U39" s="2">
        <f>+Q39-S39</f>
        <v>0</v>
      </c>
      <c r="V39" s="11">
        <v>60</v>
      </c>
      <c r="W39" s="11">
        <v>43</v>
      </c>
      <c r="X39" s="2">
        <f>+W39+V39</f>
        <v>103</v>
      </c>
      <c r="Y39" s="18"/>
      <c r="Z39" s="18"/>
      <c r="AA39" s="17">
        <f>+R39-Y39</f>
        <v>28</v>
      </c>
      <c r="AB39" s="17">
        <f>+S39-Z39</f>
        <v>10</v>
      </c>
      <c r="AC39" s="18"/>
      <c r="AD39" s="18"/>
      <c r="AE39" s="17">
        <f>+Y39-AC39</f>
        <v>0</v>
      </c>
      <c r="AF39" s="17">
        <f>+Z39-AD39</f>
        <v>0</v>
      </c>
      <c r="AG39" s="18"/>
      <c r="AH39" s="18"/>
      <c r="AI39" s="17">
        <f>+AH39+AG39</f>
        <v>0</v>
      </c>
      <c r="AJ39" s="16"/>
      <c r="AK39" s="16"/>
      <c r="AL39" s="52">
        <f>+AC39-AJ39</f>
        <v>0</v>
      </c>
      <c r="AM39" s="52">
        <f>+AD39-AK39</f>
        <v>0</v>
      </c>
      <c r="AN39" s="16"/>
      <c r="AO39" s="16"/>
      <c r="AP39" s="52">
        <f>+AJ39-AN39</f>
        <v>0</v>
      </c>
      <c r="AQ39" s="52">
        <f>+AK39-AO39</f>
        <v>0</v>
      </c>
      <c r="AR39" s="16"/>
      <c r="AS39" s="16"/>
      <c r="AT39" s="52">
        <f>+AS39+AR39</f>
        <v>0</v>
      </c>
      <c r="AU39" s="12"/>
      <c r="AV39" s="12"/>
      <c r="AW39" s="4">
        <f>+AN39-AU39</f>
        <v>0</v>
      </c>
      <c r="AX39" s="4">
        <f>+AO39-AV39</f>
        <v>0</v>
      </c>
      <c r="AY39" s="13">
        <f>+P39-AU39</f>
        <v>34</v>
      </c>
      <c r="AZ39" s="13">
        <f>+Q39-AV39</f>
        <v>10</v>
      </c>
      <c r="BA39" s="14">
        <f>+(AY39+AZ39)/(P39+Q39)</f>
        <v>1</v>
      </c>
      <c r="BB39" s="14">
        <f>+(AU39+AV39)/E39</f>
        <v>0</v>
      </c>
      <c r="BC39" s="14">
        <f>+AU39/D39</f>
        <v>0</v>
      </c>
      <c r="BD39" s="1" t="str">
        <f>IF(AU39&gt;0,"Graduado","En Proceso")</f>
        <v>En Proceso</v>
      </c>
    </row>
    <row r="40" spans="1:56" customFormat="1">
      <c r="A40" s="7" t="s">
        <v>59</v>
      </c>
      <c r="B40" s="1" t="s">
        <v>53</v>
      </c>
      <c r="C40" s="21">
        <v>19</v>
      </c>
      <c r="D40" s="1">
        <v>217</v>
      </c>
      <c r="E40" s="1">
        <v>160</v>
      </c>
      <c r="F40" s="1">
        <v>133</v>
      </c>
      <c r="G40" s="1">
        <v>64</v>
      </c>
      <c r="H40" s="24">
        <f>+G40/F40</f>
        <v>0.48120300751879697</v>
      </c>
      <c r="I40" s="9">
        <v>61</v>
      </c>
      <c r="J40" s="10">
        <v>60</v>
      </c>
      <c r="K40" s="10">
        <v>58</v>
      </c>
      <c r="L40" s="25">
        <f>+K40/J40</f>
        <v>0.96666666666666667</v>
      </c>
      <c r="M40" s="10">
        <v>12</v>
      </c>
      <c r="N40" s="2">
        <v>53</v>
      </c>
      <c r="O40" s="11">
        <v>3</v>
      </c>
      <c r="P40" s="2">
        <f>+O40+N40</f>
        <v>56</v>
      </c>
      <c r="Q40" s="11">
        <v>9</v>
      </c>
      <c r="R40" s="11">
        <v>48</v>
      </c>
      <c r="S40" s="11">
        <v>9</v>
      </c>
      <c r="T40" s="2">
        <f>+P40-R40</f>
        <v>8</v>
      </c>
      <c r="U40" s="2">
        <f>+Q40-S40</f>
        <v>0</v>
      </c>
      <c r="V40" s="11">
        <v>61</v>
      </c>
      <c r="W40" s="11">
        <v>27</v>
      </c>
      <c r="X40" s="2">
        <f>+W40+V40</f>
        <v>88</v>
      </c>
      <c r="Y40" s="18">
        <v>43</v>
      </c>
      <c r="Z40" s="18">
        <v>6</v>
      </c>
      <c r="AA40" s="17">
        <f>+R40-Y40</f>
        <v>5</v>
      </c>
      <c r="AB40" s="17">
        <f>+S40-Z40</f>
        <v>3</v>
      </c>
      <c r="AC40" s="18">
        <v>36</v>
      </c>
      <c r="AD40" s="18">
        <v>5</v>
      </c>
      <c r="AE40" s="17">
        <f>+Y40-AC40</f>
        <v>7</v>
      </c>
      <c r="AF40" s="17">
        <f>+Z40-AD40</f>
        <v>1</v>
      </c>
      <c r="AG40" s="18">
        <v>44</v>
      </c>
      <c r="AH40" s="18">
        <v>23</v>
      </c>
      <c r="AI40" s="17">
        <f>+AH40+AG40</f>
        <v>67</v>
      </c>
      <c r="AJ40" s="16">
        <v>30</v>
      </c>
      <c r="AK40" s="16">
        <v>4</v>
      </c>
      <c r="AL40" s="52">
        <f>+AC40-AJ40</f>
        <v>6</v>
      </c>
      <c r="AM40" s="52">
        <f>+AD40-AK40</f>
        <v>1</v>
      </c>
      <c r="AN40" s="16">
        <v>27</v>
      </c>
      <c r="AO40" s="16">
        <v>3</v>
      </c>
      <c r="AP40" s="52">
        <f>+AJ40-AN40</f>
        <v>3</v>
      </c>
      <c r="AQ40" s="52">
        <f>+AK40-AO40</f>
        <v>1</v>
      </c>
      <c r="AR40" s="16">
        <v>50</v>
      </c>
      <c r="AS40" s="16">
        <v>18</v>
      </c>
      <c r="AT40" s="52">
        <f>+AS40+AR40</f>
        <v>68</v>
      </c>
      <c r="AU40" s="12"/>
      <c r="AV40" s="12"/>
      <c r="AW40" s="4">
        <f>+AN40-AU40</f>
        <v>27</v>
      </c>
      <c r="AX40" s="4">
        <f>+AO40-AV40</f>
        <v>3</v>
      </c>
      <c r="AY40" s="13">
        <f>+P40-AU40</f>
        <v>56</v>
      </c>
      <c r="AZ40" s="13">
        <f>+Q40-AV40</f>
        <v>9</v>
      </c>
      <c r="BA40" s="14">
        <f>+(AY40+AZ40)/(P40+Q40)</f>
        <v>1</v>
      </c>
      <c r="BB40" s="14">
        <f>+(AU40+AV40)/E40</f>
        <v>0</v>
      </c>
      <c r="BC40" s="14">
        <f>+AU40/D40</f>
        <v>0</v>
      </c>
      <c r="BD40" s="1" t="str">
        <f>IF(AU40&gt;0,"Graduado","En Proceso")</f>
        <v>En Proceso</v>
      </c>
    </row>
    <row r="41" spans="1:56" customFormat="1" hidden="1">
      <c r="A41" s="7" t="s">
        <v>61</v>
      </c>
      <c r="B41" s="1" t="s">
        <v>58</v>
      </c>
      <c r="C41" s="21">
        <v>20</v>
      </c>
      <c r="D41" s="1">
        <v>221</v>
      </c>
      <c r="E41" s="1">
        <v>125</v>
      </c>
      <c r="F41" s="1">
        <v>110</v>
      </c>
      <c r="G41" s="1">
        <v>17</v>
      </c>
      <c r="H41" s="24">
        <f>+G41/F41</f>
        <v>0.15454545454545454</v>
      </c>
      <c r="I41" s="26"/>
      <c r="J41" s="10"/>
      <c r="K41" s="10"/>
      <c r="L41" s="25" t="e">
        <f>+K41/J41</f>
        <v>#DIV/0!</v>
      </c>
      <c r="M41" s="10"/>
      <c r="N41" s="11"/>
      <c r="O41" s="11"/>
      <c r="P41" s="2">
        <f>+O41+N41</f>
        <v>0</v>
      </c>
      <c r="Q41" s="11"/>
      <c r="R41" s="11"/>
      <c r="S41" s="11"/>
      <c r="T41" s="2">
        <f>+P41-R41</f>
        <v>0</v>
      </c>
      <c r="U41" s="2">
        <f>+Q41-S41</f>
        <v>0</v>
      </c>
      <c r="V41" s="11"/>
      <c r="W41" s="11"/>
      <c r="X41" s="2">
        <f>+W41+V41</f>
        <v>0</v>
      </c>
      <c r="Y41" s="18"/>
      <c r="Z41" s="18"/>
      <c r="AA41" s="17">
        <f>+R41-Y41</f>
        <v>0</v>
      </c>
      <c r="AB41" s="17">
        <f>+S41-Z41</f>
        <v>0</v>
      </c>
      <c r="AC41" s="18"/>
      <c r="AD41" s="18"/>
      <c r="AE41" s="17">
        <f>+Y41-AC41</f>
        <v>0</v>
      </c>
      <c r="AF41" s="17">
        <f>+Z41-AD41</f>
        <v>0</v>
      </c>
      <c r="AG41" s="18"/>
      <c r="AH41" s="18"/>
      <c r="AI41" s="17">
        <f>+AH41+AG41</f>
        <v>0</v>
      </c>
      <c r="AJ41" s="16"/>
      <c r="AK41" s="16"/>
      <c r="AL41" s="52">
        <f>+AC41-AJ41</f>
        <v>0</v>
      </c>
      <c r="AM41" s="52">
        <f>+AD41-AK41</f>
        <v>0</v>
      </c>
      <c r="AN41" s="16"/>
      <c r="AO41" s="16"/>
      <c r="AP41" s="52">
        <f>+AJ41-AN41</f>
        <v>0</v>
      </c>
      <c r="AQ41" s="52">
        <f>+AK41-AO41</f>
        <v>0</v>
      </c>
      <c r="AR41" s="16"/>
      <c r="AS41" s="16"/>
      <c r="AT41" s="52">
        <f>+AS41+AR41</f>
        <v>0</v>
      </c>
      <c r="AU41" s="12"/>
      <c r="AV41" s="12"/>
      <c r="AW41" s="4">
        <f>+AN41-AU41</f>
        <v>0</v>
      </c>
      <c r="AX41" s="4">
        <f>+AO41-AV41</f>
        <v>0</v>
      </c>
      <c r="AY41" s="13">
        <f>+P41-AU41</f>
        <v>0</v>
      </c>
      <c r="AZ41" s="13">
        <f>+Q41-AV41</f>
        <v>0</v>
      </c>
      <c r="BA41" s="14" t="e">
        <f>+(AY41+AZ41)/(P41+Q41)</f>
        <v>#DIV/0!</v>
      </c>
      <c r="BB41" s="14">
        <f>+(AU41+AV41)/E41</f>
        <v>0</v>
      </c>
      <c r="BC41" s="14">
        <f>+AU41/D41</f>
        <v>0</v>
      </c>
      <c r="BD41" s="1" t="str">
        <f>IF(AU41&gt;0,"Graduado","En Proceso")</f>
        <v>En Proceso</v>
      </c>
    </row>
    <row r="42" spans="1:56" customFormat="1">
      <c r="A42" s="7" t="s">
        <v>59</v>
      </c>
      <c r="B42" s="1" t="s">
        <v>53</v>
      </c>
      <c r="C42" s="21">
        <v>20</v>
      </c>
      <c r="D42" s="1">
        <v>236</v>
      </c>
      <c r="E42" s="1">
        <v>168</v>
      </c>
      <c r="F42" s="1">
        <v>136</v>
      </c>
      <c r="G42" s="1">
        <v>79</v>
      </c>
      <c r="H42" s="24">
        <f>+G42/F42</f>
        <v>0.58088235294117652</v>
      </c>
      <c r="I42" s="9">
        <v>43</v>
      </c>
      <c r="J42" s="10">
        <v>41</v>
      </c>
      <c r="K42" s="10">
        <v>35</v>
      </c>
      <c r="L42" s="25">
        <f>+K42/J42</f>
        <v>0.85365853658536583</v>
      </c>
      <c r="M42" s="10">
        <v>8</v>
      </c>
      <c r="N42" s="2">
        <v>35</v>
      </c>
      <c r="O42" s="11">
        <v>1</v>
      </c>
      <c r="P42" s="2">
        <f>+O42+N42</f>
        <v>36</v>
      </c>
      <c r="Q42" s="11">
        <v>8</v>
      </c>
      <c r="R42" s="11">
        <v>30</v>
      </c>
      <c r="S42" s="11">
        <v>8</v>
      </c>
      <c r="T42" s="2">
        <f>+P42-R42</f>
        <v>6</v>
      </c>
      <c r="U42" s="2">
        <f>+Q42-S42</f>
        <v>0</v>
      </c>
      <c r="V42" s="11">
        <v>38</v>
      </c>
      <c r="W42" s="11">
        <v>20</v>
      </c>
      <c r="X42" s="2">
        <f>+W42+V42</f>
        <v>58</v>
      </c>
      <c r="Y42" s="18">
        <v>27</v>
      </c>
      <c r="Z42" s="18">
        <v>6</v>
      </c>
      <c r="AA42" s="17">
        <f>+R42-Y42</f>
        <v>3</v>
      </c>
      <c r="AB42" s="17">
        <f>+S42-Z42</f>
        <v>2</v>
      </c>
      <c r="AC42" s="18">
        <v>23</v>
      </c>
      <c r="AD42" s="18">
        <v>3</v>
      </c>
      <c r="AE42" s="17">
        <f>+Y42-AC42</f>
        <v>4</v>
      </c>
      <c r="AF42" s="17">
        <f>+Z42-AD42</f>
        <v>3</v>
      </c>
      <c r="AG42" s="18">
        <v>42</v>
      </c>
      <c r="AH42" s="18">
        <v>22</v>
      </c>
      <c r="AI42" s="17">
        <f>+AH42+AG42</f>
        <v>64</v>
      </c>
      <c r="AJ42" s="16">
        <v>22</v>
      </c>
      <c r="AK42" s="16">
        <v>3</v>
      </c>
      <c r="AL42" s="52">
        <f>+AC42-AJ42</f>
        <v>1</v>
      </c>
      <c r="AM42" s="52">
        <f>+AD42-AK42</f>
        <v>0</v>
      </c>
      <c r="AN42" s="16">
        <v>22</v>
      </c>
      <c r="AO42" s="16">
        <v>3</v>
      </c>
      <c r="AP42" s="52">
        <f>+AJ42-AN42</f>
        <v>0</v>
      </c>
      <c r="AQ42" s="52">
        <f>+AK42-AO42</f>
        <v>0</v>
      </c>
      <c r="AR42" s="16">
        <v>52</v>
      </c>
      <c r="AS42" s="16">
        <v>19</v>
      </c>
      <c r="AT42" s="52">
        <f>+AS42+AR42</f>
        <v>71</v>
      </c>
      <c r="AU42" s="12"/>
      <c r="AV42" s="12"/>
      <c r="AW42" s="4">
        <f>+AN42-AU42</f>
        <v>22</v>
      </c>
      <c r="AX42" s="4">
        <f>+AO42-AV42</f>
        <v>3</v>
      </c>
      <c r="AY42" s="13">
        <f>+P42-AU42</f>
        <v>36</v>
      </c>
      <c r="AZ42" s="13">
        <f>+Q42-AV42</f>
        <v>8</v>
      </c>
      <c r="BA42" s="14">
        <f>+(AY42+AZ42)/(P42+Q42)</f>
        <v>1</v>
      </c>
      <c r="BB42" s="14">
        <f>+(AU42+AV42)/E42</f>
        <v>0</v>
      </c>
      <c r="BC42" s="14">
        <f>+AU42/D42</f>
        <v>0</v>
      </c>
      <c r="BD42" s="1" t="str">
        <f>IF(AU42&gt;0,"Graduado","En Proceso")</f>
        <v>En Proceso</v>
      </c>
    </row>
    <row r="43" spans="1:56" customFormat="1">
      <c r="A43" s="7" t="s">
        <v>59</v>
      </c>
      <c r="B43" s="1" t="s">
        <v>53</v>
      </c>
      <c r="C43" s="21">
        <v>21</v>
      </c>
      <c r="D43" s="1">
        <v>181</v>
      </c>
      <c r="E43" s="1">
        <v>153</v>
      </c>
      <c r="F43" s="1">
        <v>125</v>
      </c>
      <c r="G43" s="1">
        <v>62</v>
      </c>
      <c r="H43" s="24">
        <f>+G43/F43</f>
        <v>0.496</v>
      </c>
      <c r="I43" s="9">
        <v>53</v>
      </c>
      <c r="J43" s="10">
        <v>50</v>
      </c>
      <c r="K43" s="10">
        <v>42</v>
      </c>
      <c r="L43" s="25">
        <f>+K43/J43</f>
        <v>0.84</v>
      </c>
      <c r="M43" s="10">
        <v>3</v>
      </c>
      <c r="N43" s="2">
        <v>42</v>
      </c>
      <c r="O43" s="11">
        <v>2</v>
      </c>
      <c r="P43" s="2">
        <f>+O43+N43</f>
        <v>44</v>
      </c>
      <c r="Q43" s="11">
        <v>7</v>
      </c>
      <c r="R43" s="11">
        <v>35</v>
      </c>
      <c r="S43" s="11">
        <v>7</v>
      </c>
      <c r="T43" s="2">
        <f>+P43-R43</f>
        <v>9</v>
      </c>
      <c r="U43" s="2">
        <f>+Q43-S43</f>
        <v>0</v>
      </c>
      <c r="V43" s="11">
        <v>63</v>
      </c>
      <c r="W43" s="11">
        <v>17</v>
      </c>
      <c r="X43" s="2">
        <f>+W43+V43</f>
        <v>80</v>
      </c>
      <c r="Y43" s="18">
        <v>30</v>
      </c>
      <c r="Z43" s="18">
        <v>3</v>
      </c>
      <c r="AA43" s="17">
        <f>+R43-Y43</f>
        <v>5</v>
      </c>
      <c r="AB43" s="17">
        <f>+S43-Z43</f>
        <v>4</v>
      </c>
      <c r="AC43" s="18">
        <v>30</v>
      </c>
      <c r="AD43" s="18">
        <v>3</v>
      </c>
      <c r="AE43" s="17">
        <f>+Y43-AC43</f>
        <v>0</v>
      </c>
      <c r="AF43" s="17">
        <f>+Z43-AD43</f>
        <v>0</v>
      </c>
      <c r="AG43" s="18">
        <v>67</v>
      </c>
      <c r="AH43" s="18">
        <v>9</v>
      </c>
      <c r="AI43" s="17">
        <f>+AH43+AG43</f>
        <v>76</v>
      </c>
      <c r="AJ43" s="16">
        <v>26</v>
      </c>
      <c r="AK43" s="16">
        <v>3</v>
      </c>
      <c r="AL43" s="52">
        <f>+AC43-AJ43</f>
        <v>4</v>
      </c>
      <c r="AM43" s="52">
        <f>+AD43-AK43</f>
        <v>0</v>
      </c>
      <c r="AN43" s="16">
        <v>25</v>
      </c>
      <c r="AO43" s="16">
        <v>3</v>
      </c>
      <c r="AP43" s="52">
        <f>+AJ43-AN43</f>
        <v>1</v>
      </c>
      <c r="AQ43" s="52">
        <f>+AK43-AO43</f>
        <v>0</v>
      </c>
      <c r="AR43" s="16">
        <v>107</v>
      </c>
      <c r="AS43" s="16">
        <v>13</v>
      </c>
      <c r="AT43" s="52">
        <f>+AS43+AR43</f>
        <v>120</v>
      </c>
      <c r="AU43" s="12">
        <v>24</v>
      </c>
      <c r="AV43" s="12">
        <v>3</v>
      </c>
      <c r="AW43" s="4">
        <f>+AN43-AU43</f>
        <v>1</v>
      </c>
      <c r="AX43" s="4">
        <f>+AO43-AV43</f>
        <v>0</v>
      </c>
      <c r="AY43" s="13">
        <f>+P43-AU43</f>
        <v>20</v>
      </c>
      <c r="AZ43" s="13">
        <f>+Q43-AV43</f>
        <v>4</v>
      </c>
      <c r="BA43" s="14">
        <f>+(AY43+AZ43)/(P43+Q43)</f>
        <v>0.47058823529411764</v>
      </c>
      <c r="BB43" s="14">
        <f>+(AU43+AV43)/E43</f>
        <v>0.17647058823529413</v>
      </c>
      <c r="BC43" s="14">
        <f>+AU43/D43</f>
        <v>0.13259668508287292</v>
      </c>
      <c r="BD43" s="1" t="str">
        <f>IF(AU43&gt;0,"Graduado","En Proceso")</f>
        <v>Graduado</v>
      </c>
    </row>
    <row r="44" spans="1:56" customFormat="1">
      <c r="A44" s="7" t="s">
        <v>59</v>
      </c>
      <c r="B44" s="1" t="s">
        <v>53</v>
      </c>
      <c r="C44" s="21">
        <v>22</v>
      </c>
      <c r="D44" s="1">
        <v>212</v>
      </c>
      <c r="E44" s="1">
        <v>219</v>
      </c>
      <c r="F44" s="1">
        <v>150</v>
      </c>
      <c r="G44" s="1">
        <v>46</v>
      </c>
      <c r="H44" s="24">
        <f>+G44/F44</f>
        <v>0.30666666666666664</v>
      </c>
      <c r="I44" s="9">
        <v>42</v>
      </c>
      <c r="J44" s="10">
        <v>41</v>
      </c>
      <c r="K44" s="10">
        <v>39</v>
      </c>
      <c r="L44" s="25">
        <f>+K44/J44</f>
        <v>0.95121951219512191</v>
      </c>
      <c r="M44" s="10">
        <v>7</v>
      </c>
      <c r="N44" s="2">
        <v>33</v>
      </c>
      <c r="O44" s="11">
        <v>2</v>
      </c>
      <c r="P44" s="2">
        <f>+O44+N44</f>
        <v>35</v>
      </c>
      <c r="Q44" s="11">
        <v>5</v>
      </c>
      <c r="R44" s="11">
        <v>32</v>
      </c>
      <c r="S44" s="11">
        <v>5</v>
      </c>
      <c r="T44" s="2">
        <f>+P44-R44</f>
        <v>3</v>
      </c>
      <c r="U44" s="2">
        <f>+Q44-S44</f>
        <v>0</v>
      </c>
      <c r="V44" s="11">
        <v>35</v>
      </c>
      <c r="W44" s="11">
        <v>19</v>
      </c>
      <c r="X44" s="2">
        <f>+W44+V44</f>
        <v>54</v>
      </c>
      <c r="Y44" s="18">
        <v>27</v>
      </c>
      <c r="Z44" s="18">
        <v>3</v>
      </c>
      <c r="AA44" s="17">
        <f>+R44-Y44</f>
        <v>5</v>
      </c>
      <c r="AB44" s="17">
        <f>+S44-Z44</f>
        <v>2</v>
      </c>
      <c r="AC44" s="18">
        <v>24</v>
      </c>
      <c r="AD44" s="18">
        <v>3</v>
      </c>
      <c r="AE44" s="17">
        <f>+Y44-AC44</f>
        <v>3</v>
      </c>
      <c r="AF44" s="17">
        <f>+Z44-AD44</f>
        <v>0</v>
      </c>
      <c r="AG44" s="18">
        <v>38</v>
      </c>
      <c r="AH44" s="18">
        <v>13</v>
      </c>
      <c r="AI44" s="17">
        <f>+AH44+AG44</f>
        <v>51</v>
      </c>
      <c r="AJ44" s="16">
        <v>23</v>
      </c>
      <c r="AK44" s="16">
        <v>3</v>
      </c>
      <c r="AL44" s="52">
        <f>+AC44-AJ44</f>
        <v>1</v>
      </c>
      <c r="AM44" s="52">
        <f>+AD44-AK44</f>
        <v>0</v>
      </c>
      <c r="AN44" s="16">
        <v>22</v>
      </c>
      <c r="AO44" s="16">
        <v>3</v>
      </c>
      <c r="AP44" s="52">
        <f>+AJ44-AN44</f>
        <v>1</v>
      </c>
      <c r="AQ44" s="52">
        <f>+AK44-AO44</f>
        <v>0</v>
      </c>
      <c r="AR44" s="16">
        <v>73</v>
      </c>
      <c r="AS44" s="16">
        <v>13</v>
      </c>
      <c r="AT44" s="52">
        <f>+AS44+AR44</f>
        <v>86</v>
      </c>
      <c r="AU44" s="12">
        <v>22</v>
      </c>
      <c r="AV44" s="12">
        <v>3</v>
      </c>
      <c r="AW44" s="4">
        <f>+AN44-AU44</f>
        <v>0</v>
      </c>
      <c r="AX44" s="4">
        <f>+AO44-AV44</f>
        <v>0</v>
      </c>
      <c r="AY44" s="13">
        <f>+P44-AU44</f>
        <v>13</v>
      </c>
      <c r="AZ44" s="13">
        <f>+Q44-AV44</f>
        <v>2</v>
      </c>
      <c r="BA44" s="14">
        <f>+(AY44+AZ44)/(P44+Q44)</f>
        <v>0.375</v>
      </c>
      <c r="BB44" s="14">
        <f>+(AU44+AV44)/E44</f>
        <v>0.11415525114155251</v>
      </c>
      <c r="BC44" s="14">
        <f>+AU44/D44</f>
        <v>0.10377358490566038</v>
      </c>
      <c r="BD44" s="1" t="str">
        <f>IF(AU44&gt;0,"Graduado","En Proceso")</f>
        <v>Graduado</v>
      </c>
    </row>
    <row r="45" spans="1:56">
      <c r="A45" s="69" t="s">
        <v>59</v>
      </c>
      <c r="B45" s="70" t="s">
        <v>53</v>
      </c>
      <c r="C45" s="71">
        <v>23</v>
      </c>
      <c r="D45" s="70">
        <v>201</v>
      </c>
      <c r="E45" s="70">
        <v>152</v>
      </c>
      <c r="F45" s="70">
        <v>117</v>
      </c>
      <c r="G45" s="70">
        <v>45</v>
      </c>
      <c r="H45" s="24">
        <f>+G45/F45</f>
        <v>0.38461538461538464</v>
      </c>
      <c r="I45" s="73">
        <v>37</v>
      </c>
      <c r="J45" s="111">
        <v>36</v>
      </c>
      <c r="K45" s="111">
        <v>36</v>
      </c>
      <c r="L45" s="25">
        <f>+K45/J45</f>
        <v>1</v>
      </c>
      <c r="M45" s="111">
        <v>7</v>
      </c>
      <c r="N45" s="75">
        <v>33</v>
      </c>
      <c r="O45" s="112">
        <v>2</v>
      </c>
      <c r="P45" s="2">
        <f>+O45+N45</f>
        <v>35</v>
      </c>
      <c r="Q45" s="112">
        <v>7</v>
      </c>
      <c r="R45" s="112">
        <v>32</v>
      </c>
      <c r="S45" s="112">
        <v>7</v>
      </c>
      <c r="T45" s="2">
        <f>+P45-R45</f>
        <v>3</v>
      </c>
      <c r="U45" s="2">
        <f>+Q45-S45</f>
        <v>0</v>
      </c>
      <c r="V45" s="112">
        <v>69</v>
      </c>
      <c r="W45" s="112">
        <v>37</v>
      </c>
      <c r="X45" s="2">
        <f>+W45+V45</f>
        <v>106</v>
      </c>
      <c r="Y45" s="113">
        <v>28</v>
      </c>
      <c r="Z45" s="113">
        <v>7</v>
      </c>
      <c r="AA45" s="17">
        <f>+R45-Y45</f>
        <v>4</v>
      </c>
      <c r="AB45" s="17">
        <f>+S45-Z45</f>
        <v>0</v>
      </c>
      <c r="AC45" s="113">
        <v>27</v>
      </c>
      <c r="AD45" s="113">
        <v>7</v>
      </c>
      <c r="AE45" s="17">
        <f>+Y45-AC45</f>
        <v>1</v>
      </c>
      <c r="AF45" s="17">
        <f>+Z45-AD45</f>
        <v>0</v>
      </c>
      <c r="AG45" s="113">
        <v>67</v>
      </c>
      <c r="AH45" s="113">
        <v>33</v>
      </c>
      <c r="AI45" s="17">
        <f>+AH45+AG45</f>
        <v>100</v>
      </c>
      <c r="AJ45" s="114">
        <v>26</v>
      </c>
      <c r="AK45" s="114">
        <v>7</v>
      </c>
      <c r="AL45" s="52">
        <f t="shared" ref="AL45:AL48" si="24">+AC45-AJ45</f>
        <v>1</v>
      </c>
      <c r="AM45" s="52">
        <f t="shared" ref="AM45:AM48" si="25">+AD45-AK45</f>
        <v>0</v>
      </c>
      <c r="AN45" s="114">
        <v>25</v>
      </c>
      <c r="AO45" s="114">
        <v>7</v>
      </c>
      <c r="AP45" s="52">
        <f t="shared" ref="AP45:AP48" si="26">+AJ45-AN45</f>
        <v>1</v>
      </c>
      <c r="AQ45" s="52">
        <f t="shared" ref="AQ45:AQ48" si="27">+AK45-AO45</f>
        <v>0</v>
      </c>
      <c r="AR45" s="114">
        <v>93</v>
      </c>
      <c r="AS45" s="114">
        <v>41</v>
      </c>
      <c r="AT45" s="52">
        <f t="shared" ref="AT45:AT48" si="28">+AS45+AR45</f>
        <v>134</v>
      </c>
      <c r="AU45" s="115">
        <v>24</v>
      </c>
      <c r="AV45" s="115">
        <v>7</v>
      </c>
      <c r="AW45" s="4">
        <f>+AN45-AU45</f>
        <v>1</v>
      </c>
      <c r="AX45" s="4">
        <f>+AO45-AV45</f>
        <v>0</v>
      </c>
      <c r="AY45" s="13">
        <f>+P45-AU45</f>
        <v>11</v>
      </c>
      <c r="AZ45" s="13">
        <f>+Q45-AV45</f>
        <v>0</v>
      </c>
      <c r="BA45" s="14">
        <f t="shared" ref="BA45:BA48" si="29">+(AY45+AZ45)/(P45+Q45)</f>
        <v>0.26190476190476192</v>
      </c>
      <c r="BB45" s="14">
        <f t="shared" ref="BB45:BB48" si="30">+(AU45+AV45)/E45</f>
        <v>0.20394736842105263</v>
      </c>
      <c r="BC45" s="14">
        <f t="shared" ref="BC45:BC48" si="31">+AU45/D45</f>
        <v>0.11940298507462686</v>
      </c>
      <c r="BD45" s="1" t="s">
        <v>54</v>
      </c>
    </row>
    <row r="46" spans="1:56" ht="15">
      <c r="A46" s="69" t="s">
        <v>59</v>
      </c>
      <c r="B46" s="70" t="s">
        <v>53</v>
      </c>
      <c r="C46" s="71">
        <v>26</v>
      </c>
      <c r="D46" s="70">
        <v>334</v>
      </c>
      <c r="E46" s="70">
        <v>247</v>
      </c>
      <c r="F46" s="70">
        <v>184</v>
      </c>
      <c r="G46" s="70">
        <v>52</v>
      </c>
      <c r="H46" s="24">
        <f>+G46/F46</f>
        <v>0.28260869565217389</v>
      </c>
      <c r="I46" s="73">
        <v>43</v>
      </c>
      <c r="J46" s="111"/>
      <c r="K46" s="111"/>
      <c r="L46" s="25"/>
      <c r="M46" s="111"/>
      <c r="N46" s="75">
        <v>30</v>
      </c>
      <c r="O46" s="112">
        <v>1</v>
      </c>
      <c r="P46" s="2">
        <f t="shared" ref="P46:P48" si="32">+O46+N46</f>
        <v>31</v>
      </c>
      <c r="Q46" s="112">
        <v>9</v>
      </c>
      <c r="R46" s="112"/>
      <c r="S46" s="112">
        <v>9</v>
      </c>
      <c r="T46" s="2"/>
      <c r="U46" s="2"/>
      <c r="V46" s="112"/>
      <c r="W46" s="112"/>
      <c r="X46" s="2"/>
      <c r="Y46" s="113"/>
      <c r="Z46" s="113"/>
      <c r="AA46" s="17"/>
      <c r="AB46" s="17"/>
      <c r="AC46" s="113"/>
      <c r="AD46" s="113"/>
      <c r="AE46" s="17"/>
      <c r="AF46" s="17"/>
      <c r="AG46" s="113"/>
      <c r="AH46" s="113"/>
      <c r="AI46" s="17"/>
      <c r="AJ46" s="114"/>
      <c r="AK46" s="114"/>
      <c r="AL46" s="52"/>
      <c r="AM46" s="52"/>
      <c r="AN46" s="114"/>
      <c r="AO46" s="114"/>
      <c r="AP46" s="52"/>
      <c r="AQ46" s="52"/>
      <c r="AR46" s="114"/>
      <c r="AS46" s="114"/>
      <c r="AT46" s="52"/>
      <c r="AU46" s="115"/>
      <c r="AV46" s="115"/>
      <c r="AW46" s="4"/>
      <c r="AX46" s="4"/>
      <c r="AY46" s="13"/>
      <c r="AZ46" s="13"/>
      <c r="BA46" s="14"/>
      <c r="BB46" s="14"/>
      <c r="BC46" s="14"/>
      <c r="BD46" s="1"/>
    </row>
    <row r="47" spans="1:56">
      <c r="A47" s="69" t="s">
        <v>59</v>
      </c>
      <c r="B47" s="70" t="s">
        <v>53</v>
      </c>
      <c r="C47" s="71">
        <v>24</v>
      </c>
      <c r="D47" s="70">
        <v>277</v>
      </c>
      <c r="E47" s="70">
        <v>227</v>
      </c>
      <c r="F47" s="70">
        <v>185</v>
      </c>
      <c r="G47" s="70">
        <v>79</v>
      </c>
      <c r="H47" s="24">
        <f>+G47/F47</f>
        <v>0.42702702702702705</v>
      </c>
      <c r="I47" s="73">
        <v>81</v>
      </c>
      <c r="J47" s="111">
        <v>77</v>
      </c>
      <c r="K47" s="111">
        <v>66</v>
      </c>
      <c r="L47" s="25">
        <f>+K47/J47</f>
        <v>0.8571428571428571</v>
      </c>
      <c r="M47" s="111">
        <v>15</v>
      </c>
      <c r="N47" s="75">
        <v>61</v>
      </c>
      <c r="O47" s="112">
        <v>5</v>
      </c>
      <c r="P47" s="2">
        <f t="shared" si="32"/>
        <v>66</v>
      </c>
      <c r="Q47" s="112">
        <v>14</v>
      </c>
      <c r="R47" s="112">
        <v>63</v>
      </c>
      <c r="S47" s="112">
        <v>12</v>
      </c>
      <c r="T47" s="2">
        <f>+P47-R47</f>
        <v>3</v>
      </c>
      <c r="U47" s="2">
        <f>+Q47-S47</f>
        <v>2</v>
      </c>
      <c r="V47" s="112">
        <v>104</v>
      </c>
      <c r="W47" s="112">
        <v>44</v>
      </c>
      <c r="X47" s="2">
        <f>+W47+V47</f>
        <v>148</v>
      </c>
      <c r="Y47" s="113">
        <v>50</v>
      </c>
      <c r="Z47" s="113">
        <v>12</v>
      </c>
      <c r="AA47" s="17">
        <f>+R47-Y47</f>
        <v>13</v>
      </c>
      <c r="AB47" s="17">
        <f>+S47-Z47</f>
        <v>0</v>
      </c>
      <c r="AC47" s="113">
        <v>48</v>
      </c>
      <c r="AD47" s="113">
        <v>12</v>
      </c>
      <c r="AE47" s="17">
        <f>+Y47-AC47</f>
        <v>2</v>
      </c>
      <c r="AF47" s="17">
        <f>+Z47-AD47</f>
        <v>0</v>
      </c>
      <c r="AG47" s="113">
        <v>97</v>
      </c>
      <c r="AH47" s="113">
        <v>30</v>
      </c>
      <c r="AI47" s="17">
        <f>+AH47+AG47</f>
        <v>127</v>
      </c>
      <c r="AJ47" s="114">
        <v>42</v>
      </c>
      <c r="AK47" s="114">
        <v>10</v>
      </c>
      <c r="AL47" s="52">
        <f t="shared" si="24"/>
        <v>6</v>
      </c>
      <c r="AM47" s="52">
        <f t="shared" si="25"/>
        <v>2</v>
      </c>
      <c r="AN47" s="114"/>
      <c r="AO47" s="114"/>
      <c r="AP47" s="52">
        <f t="shared" si="26"/>
        <v>42</v>
      </c>
      <c r="AQ47" s="52">
        <f t="shared" si="27"/>
        <v>10</v>
      </c>
      <c r="AR47" s="114"/>
      <c r="AS47" s="114"/>
      <c r="AT47" s="52">
        <f t="shared" si="28"/>
        <v>0</v>
      </c>
      <c r="AU47" s="115"/>
      <c r="AV47" s="115"/>
      <c r="AW47" s="4">
        <f>+AN47-AU47</f>
        <v>0</v>
      </c>
      <c r="AX47" s="4">
        <f>+AO47-AV47</f>
        <v>0</v>
      </c>
      <c r="AY47" s="13">
        <f>+P47-AU47</f>
        <v>66</v>
      </c>
      <c r="AZ47" s="13">
        <f>+Q47-AV47</f>
        <v>14</v>
      </c>
      <c r="BA47" s="14">
        <f t="shared" si="29"/>
        <v>1</v>
      </c>
      <c r="BB47" s="14">
        <f t="shared" si="30"/>
        <v>0</v>
      </c>
      <c r="BC47" s="14">
        <f t="shared" si="31"/>
        <v>0</v>
      </c>
      <c r="BD47" s="1"/>
    </row>
    <row r="48" spans="1:56">
      <c r="A48" s="69" t="s">
        <v>59</v>
      </c>
      <c r="B48" s="70" t="s">
        <v>53</v>
      </c>
      <c r="C48" s="71">
        <v>25</v>
      </c>
      <c r="D48" s="70">
        <v>210</v>
      </c>
      <c r="E48" s="70">
        <v>56</v>
      </c>
      <c r="F48" s="70">
        <v>154</v>
      </c>
      <c r="G48" s="70">
        <v>50</v>
      </c>
      <c r="H48" s="24">
        <f>+G48/F48</f>
        <v>0.32467532467532467</v>
      </c>
      <c r="I48" s="73">
        <v>41</v>
      </c>
      <c r="J48" s="111">
        <v>38</v>
      </c>
      <c r="K48" s="111">
        <v>31</v>
      </c>
      <c r="L48" s="25">
        <f>+K48/J48</f>
        <v>0.81578947368421051</v>
      </c>
      <c r="M48" s="111">
        <v>6</v>
      </c>
      <c r="N48" s="75">
        <v>31</v>
      </c>
      <c r="O48" s="112">
        <v>0</v>
      </c>
      <c r="P48" s="2">
        <f t="shared" si="32"/>
        <v>31</v>
      </c>
      <c r="Q48" s="112">
        <v>5</v>
      </c>
      <c r="R48" s="112">
        <v>23</v>
      </c>
      <c r="S48" s="112">
        <v>5</v>
      </c>
      <c r="T48" s="2">
        <f>+P48-R48</f>
        <v>8</v>
      </c>
      <c r="U48" s="2">
        <v>0</v>
      </c>
      <c r="V48" s="112">
        <v>33</v>
      </c>
      <c r="W48" s="112">
        <v>14</v>
      </c>
      <c r="X48" s="2">
        <f>+W48+V48</f>
        <v>47</v>
      </c>
      <c r="Y48" s="113">
        <v>22</v>
      </c>
      <c r="Z48" s="113">
        <v>4</v>
      </c>
      <c r="AA48" s="17">
        <f>+R48-Y48</f>
        <v>1</v>
      </c>
      <c r="AB48" s="17">
        <f>+S48-Z48</f>
        <v>1</v>
      </c>
      <c r="AC48" s="113"/>
      <c r="AD48" s="113"/>
      <c r="AE48" s="17"/>
      <c r="AF48" s="17"/>
      <c r="AG48" s="113"/>
      <c r="AH48" s="113"/>
      <c r="AI48" s="17"/>
      <c r="AJ48" s="114"/>
      <c r="AK48" s="114"/>
      <c r="AL48" s="52">
        <f t="shared" si="24"/>
        <v>0</v>
      </c>
      <c r="AM48" s="52">
        <f t="shared" si="25"/>
        <v>0</v>
      </c>
      <c r="AN48" s="114"/>
      <c r="AO48" s="114"/>
      <c r="AP48" s="52">
        <f t="shared" si="26"/>
        <v>0</v>
      </c>
      <c r="AQ48" s="52">
        <f t="shared" si="27"/>
        <v>0</v>
      </c>
      <c r="AR48" s="114"/>
      <c r="AS48" s="114"/>
      <c r="AT48" s="52">
        <f t="shared" si="28"/>
        <v>0</v>
      </c>
      <c r="AU48" s="115"/>
      <c r="AV48" s="115"/>
      <c r="AW48" s="4"/>
      <c r="AX48" s="4"/>
      <c r="AY48" s="13"/>
      <c r="AZ48" s="13"/>
      <c r="BA48" s="14">
        <f t="shared" si="29"/>
        <v>0</v>
      </c>
      <c r="BB48" s="14">
        <f t="shared" si="30"/>
        <v>0</v>
      </c>
      <c r="BC48" s="14">
        <f t="shared" si="31"/>
        <v>0</v>
      </c>
      <c r="BD48" s="1"/>
    </row>
    <row r="49" spans="1:56" hidden="1">
      <c r="A49" s="7" t="s">
        <v>62</v>
      </c>
      <c r="B49" s="1" t="s">
        <v>63</v>
      </c>
      <c r="C49" s="21">
        <v>79</v>
      </c>
      <c r="D49" s="1">
        <v>460</v>
      </c>
      <c r="E49" s="1">
        <v>305</v>
      </c>
      <c r="F49" s="1">
        <v>259</v>
      </c>
      <c r="G49" s="1">
        <v>71</v>
      </c>
      <c r="H49" s="24">
        <f t="shared" ref="H36:H68" si="33">+G49/F49</f>
        <v>0.27413127413127414</v>
      </c>
      <c r="I49" s="9">
        <v>57</v>
      </c>
      <c r="J49" s="9">
        <v>53</v>
      </c>
      <c r="K49" s="9">
        <v>45</v>
      </c>
      <c r="L49" s="25">
        <f t="shared" ref="L48:L87" si="34">+K49/J49</f>
        <v>0.84905660377358494</v>
      </c>
      <c r="M49" s="9">
        <v>9</v>
      </c>
      <c r="N49" s="2">
        <v>51</v>
      </c>
      <c r="O49" s="2"/>
      <c r="P49" s="2">
        <f t="shared" ref="P48:P87" si="35">+O49+N49</f>
        <v>51</v>
      </c>
      <c r="Q49" s="2">
        <v>4</v>
      </c>
      <c r="R49" s="2">
        <v>45</v>
      </c>
      <c r="S49" s="2">
        <v>4</v>
      </c>
      <c r="T49" s="2">
        <f t="shared" ref="T48:T87" si="36">+P49-R49</f>
        <v>6</v>
      </c>
      <c r="U49" s="2">
        <f t="shared" ref="U48:U87" si="37">+Q49-S49</f>
        <v>0</v>
      </c>
      <c r="V49" s="2">
        <v>97</v>
      </c>
      <c r="W49" s="2">
        <v>14</v>
      </c>
      <c r="X49" s="2">
        <f t="shared" ref="X48:X87" si="38">+W49+V49</f>
        <v>111</v>
      </c>
      <c r="Y49" s="17">
        <v>41</v>
      </c>
      <c r="Z49" s="17">
        <v>3</v>
      </c>
      <c r="AA49" s="17">
        <f t="shared" ref="AA49:AA87" si="39">+R49-Y49</f>
        <v>4</v>
      </c>
      <c r="AB49" s="17">
        <f t="shared" ref="AB49:AB87" si="40">+S49-Z49</f>
        <v>1</v>
      </c>
      <c r="AC49" s="17">
        <v>40</v>
      </c>
      <c r="AD49" s="17">
        <v>3</v>
      </c>
      <c r="AE49" s="17">
        <f t="shared" ref="AE48:AE87" si="41">+Y49-AC49</f>
        <v>1</v>
      </c>
      <c r="AF49" s="17">
        <f t="shared" ref="AF48:AF87" si="42">+Z49-AD49</f>
        <v>0</v>
      </c>
      <c r="AG49" s="17">
        <v>100</v>
      </c>
      <c r="AH49" s="17">
        <v>9</v>
      </c>
      <c r="AI49" s="17">
        <f t="shared" ref="AI48:AI87" si="43">+AH49+AG49</f>
        <v>109</v>
      </c>
      <c r="AJ49" s="3">
        <v>37</v>
      </c>
      <c r="AK49" s="3">
        <v>3</v>
      </c>
      <c r="AL49" s="52">
        <f t="shared" ref="AL49:AL87" si="44">+AC49-AJ49</f>
        <v>3</v>
      </c>
      <c r="AM49" s="52">
        <f t="shared" ref="AM49:AM87" si="45">+AD49-AK49</f>
        <v>0</v>
      </c>
      <c r="AN49" s="3">
        <v>34</v>
      </c>
      <c r="AO49" s="3">
        <v>3</v>
      </c>
      <c r="AP49" s="52">
        <f t="shared" ref="AP49:AP87" si="46">+AJ49-AN49</f>
        <v>3</v>
      </c>
      <c r="AQ49" s="52">
        <f t="shared" ref="AQ49:AQ87" si="47">+AK49-AO49</f>
        <v>0</v>
      </c>
      <c r="AR49" s="3">
        <v>95</v>
      </c>
      <c r="AS49" s="3">
        <v>13</v>
      </c>
      <c r="AT49" s="52">
        <f t="shared" ref="AT49:AT87" si="48">+AS49+AR49</f>
        <v>108</v>
      </c>
      <c r="AU49" s="4">
        <v>32</v>
      </c>
      <c r="AV49" s="4">
        <v>3</v>
      </c>
      <c r="AW49" s="4">
        <f t="shared" ref="AW48:AW87" si="49">+AN49-AU49</f>
        <v>2</v>
      </c>
      <c r="AX49" s="4">
        <f t="shared" ref="AX48:AX87" si="50">+AO49-AV49</f>
        <v>0</v>
      </c>
      <c r="AY49" s="13">
        <f t="shared" ref="AY48:AY87" si="51">+P49-AU49</f>
        <v>19</v>
      </c>
      <c r="AZ49" s="13">
        <f t="shared" ref="AZ48:AZ87" si="52">+Q49-AV49</f>
        <v>1</v>
      </c>
      <c r="BA49" s="14">
        <f t="shared" ref="BA49:BA87" si="53">+(AY49+AZ49)/(P49+Q49)</f>
        <v>0.36363636363636365</v>
      </c>
      <c r="BB49" s="14">
        <f t="shared" ref="BB49:BB87" si="54">+(AU49+AV49)/E49</f>
        <v>0.11475409836065574</v>
      </c>
      <c r="BC49" s="14">
        <f t="shared" ref="BC49:BC87" si="55">+AU49/D49</f>
        <v>6.9565217391304349E-2</v>
      </c>
      <c r="BD49" s="1" t="str">
        <f t="shared" ref="BD49:BD87" si="56">IF(AU49&gt;0,"Graduado","En Proceso")</f>
        <v>Graduado</v>
      </c>
    </row>
    <row r="50" spans="1:56" hidden="1">
      <c r="A50" s="7" t="s">
        <v>50</v>
      </c>
      <c r="B50" s="1" t="s">
        <v>63</v>
      </c>
      <c r="C50" s="21">
        <v>80</v>
      </c>
      <c r="D50" s="1">
        <v>428</v>
      </c>
      <c r="E50" s="1">
        <v>296</v>
      </c>
      <c r="F50" s="1">
        <v>267</v>
      </c>
      <c r="G50" s="1">
        <v>74</v>
      </c>
      <c r="H50" s="24">
        <f t="shared" si="33"/>
        <v>0.27715355805243447</v>
      </c>
      <c r="I50" s="9">
        <v>59</v>
      </c>
      <c r="J50" s="9">
        <v>57</v>
      </c>
      <c r="K50" s="9">
        <v>55</v>
      </c>
      <c r="L50" s="25">
        <f t="shared" si="34"/>
        <v>0.96491228070175439</v>
      </c>
      <c r="M50" s="9">
        <v>12</v>
      </c>
      <c r="N50" s="2">
        <v>50</v>
      </c>
      <c r="O50" s="2"/>
      <c r="P50" s="2">
        <f t="shared" si="35"/>
        <v>50</v>
      </c>
      <c r="Q50" s="2">
        <v>5</v>
      </c>
      <c r="R50" s="2">
        <v>44</v>
      </c>
      <c r="S50" s="2">
        <v>5</v>
      </c>
      <c r="T50" s="2">
        <f t="shared" si="36"/>
        <v>6</v>
      </c>
      <c r="U50" s="2">
        <f t="shared" si="37"/>
        <v>0</v>
      </c>
      <c r="V50" s="2">
        <v>80</v>
      </c>
      <c r="W50" s="2">
        <v>13</v>
      </c>
      <c r="X50" s="2">
        <f t="shared" si="38"/>
        <v>93</v>
      </c>
      <c r="Y50" s="17">
        <v>43</v>
      </c>
      <c r="Z50" s="17">
        <v>5</v>
      </c>
      <c r="AA50" s="17">
        <f t="shared" si="39"/>
        <v>1</v>
      </c>
      <c r="AB50" s="17">
        <f t="shared" si="40"/>
        <v>0</v>
      </c>
      <c r="AC50" s="17">
        <v>39</v>
      </c>
      <c r="AD50" s="17">
        <v>5</v>
      </c>
      <c r="AE50" s="17">
        <f t="shared" si="41"/>
        <v>4</v>
      </c>
      <c r="AF50" s="17">
        <f t="shared" si="42"/>
        <v>0</v>
      </c>
      <c r="AG50" s="17">
        <v>63</v>
      </c>
      <c r="AH50" s="17">
        <v>16</v>
      </c>
      <c r="AI50" s="17">
        <f t="shared" si="43"/>
        <v>79</v>
      </c>
      <c r="AJ50" s="3">
        <v>38</v>
      </c>
      <c r="AK50" s="3">
        <v>5</v>
      </c>
      <c r="AL50" s="52">
        <f t="shared" si="44"/>
        <v>1</v>
      </c>
      <c r="AM50" s="52">
        <f t="shared" si="45"/>
        <v>0</v>
      </c>
      <c r="AN50" s="3">
        <v>38</v>
      </c>
      <c r="AO50" s="3">
        <v>5</v>
      </c>
      <c r="AP50" s="52">
        <f t="shared" si="46"/>
        <v>0</v>
      </c>
      <c r="AQ50" s="52">
        <f t="shared" si="47"/>
        <v>0</v>
      </c>
      <c r="AR50" s="3">
        <v>78</v>
      </c>
      <c r="AS50" s="3">
        <v>21</v>
      </c>
      <c r="AT50" s="52">
        <f t="shared" si="48"/>
        <v>99</v>
      </c>
      <c r="AU50" s="4">
        <v>35</v>
      </c>
      <c r="AV50" s="4">
        <v>5</v>
      </c>
      <c r="AW50" s="4">
        <f t="shared" si="49"/>
        <v>3</v>
      </c>
      <c r="AX50" s="4">
        <f t="shared" si="50"/>
        <v>0</v>
      </c>
      <c r="AY50" s="13">
        <f t="shared" si="51"/>
        <v>15</v>
      </c>
      <c r="AZ50" s="13">
        <f t="shared" si="52"/>
        <v>0</v>
      </c>
      <c r="BA50" s="14">
        <f t="shared" si="53"/>
        <v>0.27272727272727271</v>
      </c>
      <c r="BB50" s="14">
        <f t="shared" si="54"/>
        <v>0.13513513513513514</v>
      </c>
      <c r="BC50" s="14">
        <f t="shared" si="55"/>
        <v>8.1775700934579434E-2</v>
      </c>
      <c r="BD50" s="1" t="str">
        <f t="shared" si="56"/>
        <v>Graduado</v>
      </c>
    </row>
    <row r="51" spans="1:56" hidden="1">
      <c r="A51" s="7" t="s">
        <v>64</v>
      </c>
      <c r="B51" s="1" t="s">
        <v>63</v>
      </c>
      <c r="C51" s="21">
        <v>81</v>
      </c>
      <c r="D51" s="1">
        <v>392</v>
      </c>
      <c r="E51" s="1">
        <v>283</v>
      </c>
      <c r="F51" s="1">
        <v>263</v>
      </c>
      <c r="G51" s="1">
        <v>95</v>
      </c>
      <c r="H51" s="24">
        <f t="shared" si="33"/>
        <v>0.36121673003802279</v>
      </c>
      <c r="I51" s="9">
        <v>98</v>
      </c>
      <c r="J51" s="9">
        <v>94</v>
      </c>
      <c r="K51" s="9">
        <v>89</v>
      </c>
      <c r="L51" s="25">
        <f t="shared" si="34"/>
        <v>0.94680851063829785</v>
      </c>
      <c r="M51" s="9">
        <v>21</v>
      </c>
      <c r="N51" s="2">
        <v>82</v>
      </c>
      <c r="O51" s="2"/>
      <c r="P51" s="2">
        <f t="shared" si="35"/>
        <v>82</v>
      </c>
      <c r="Q51" s="2">
        <v>12</v>
      </c>
      <c r="R51" s="2">
        <v>78</v>
      </c>
      <c r="S51" s="2">
        <v>10</v>
      </c>
      <c r="T51" s="2">
        <f t="shared" si="36"/>
        <v>4</v>
      </c>
      <c r="U51" s="2">
        <f t="shared" si="37"/>
        <v>2</v>
      </c>
      <c r="V51" s="2">
        <v>107</v>
      </c>
      <c r="W51" s="2">
        <v>24</v>
      </c>
      <c r="X51" s="2">
        <f t="shared" si="38"/>
        <v>131</v>
      </c>
      <c r="Y51" s="17">
        <v>71</v>
      </c>
      <c r="Z51" s="17">
        <v>7</v>
      </c>
      <c r="AA51" s="17">
        <f t="shared" si="39"/>
        <v>7</v>
      </c>
      <c r="AB51" s="17">
        <f t="shared" si="40"/>
        <v>3</v>
      </c>
      <c r="AC51" s="17">
        <v>66</v>
      </c>
      <c r="AD51" s="17">
        <v>7</v>
      </c>
      <c r="AE51" s="17">
        <f t="shared" si="41"/>
        <v>5</v>
      </c>
      <c r="AF51" s="17">
        <f t="shared" si="42"/>
        <v>0</v>
      </c>
      <c r="AG51" s="17">
        <v>129</v>
      </c>
      <c r="AH51" s="17">
        <v>17</v>
      </c>
      <c r="AI51" s="17">
        <f t="shared" si="43"/>
        <v>146</v>
      </c>
      <c r="AJ51" s="3">
        <v>60</v>
      </c>
      <c r="AK51" s="3">
        <v>6</v>
      </c>
      <c r="AL51" s="52">
        <f t="shared" si="44"/>
        <v>6</v>
      </c>
      <c r="AM51" s="52">
        <f t="shared" si="45"/>
        <v>1</v>
      </c>
      <c r="AN51" s="3">
        <v>58</v>
      </c>
      <c r="AO51" s="3">
        <v>5</v>
      </c>
      <c r="AP51" s="52">
        <f t="shared" si="46"/>
        <v>2</v>
      </c>
      <c r="AQ51" s="52">
        <f t="shared" si="47"/>
        <v>1</v>
      </c>
      <c r="AR51" s="3">
        <v>135</v>
      </c>
      <c r="AS51" s="3">
        <v>25</v>
      </c>
      <c r="AT51" s="52">
        <f t="shared" si="48"/>
        <v>160</v>
      </c>
      <c r="AU51" s="4">
        <v>57</v>
      </c>
      <c r="AV51" s="4">
        <v>5</v>
      </c>
      <c r="AW51" s="4">
        <f t="shared" si="49"/>
        <v>1</v>
      </c>
      <c r="AX51" s="4">
        <f t="shared" si="50"/>
        <v>0</v>
      </c>
      <c r="AY51" s="13">
        <f t="shared" si="51"/>
        <v>25</v>
      </c>
      <c r="AZ51" s="13">
        <f t="shared" si="52"/>
        <v>7</v>
      </c>
      <c r="BA51" s="14">
        <f t="shared" si="53"/>
        <v>0.34042553191489361</v>
      </c>
      <c r="BB51" s="14">
        <f t="shared" si="54"/>
        <v>0.21908127208480566</v>
      </c>
      <c r="BC51" s="14">
        <f t="shared" si="55"/>
        <v>0.14540816326530612</v>
      </c>
      <c r="BD51" s="1" t="str">
        <f t="shared" si="56"/>
        <v>Graduado</v>
      </c>
    </row>
    <row r="52" spans="1:56" hidden="1">
      <c r="A52" s="7" t="s">
        <v>65</v>
      </c>
      <c r="B52" s="1" t="s">
        <v>63</v>
      </c>
      <c r="C52" s="21">
        <v>82</v>
      </c>
      <c r="D52" s="1">
        <v>382</v>
      </c>
      <c r="E52" s="1">
        <v>332</v>
      </c>
      <c r="F52" s="1">
        <v>290</v>
      </c>
      <c r="G52" s="1">
        <v>75</v>
      </c>
      <c r="H52" s="24">
        <f t="shared" si="33"/>
        <v>0.25862068965517243</v>
      </c>
      <c r="I52" s="9">
        <v>66</v>
      </c>
      <c r="J52" s="9">
        <v>64</v>
      </c>
      <c r="K52" s="9">
        <v>59</v>
      </c>
      <c r="L52" s="25">
        <f t="shared" si="34"/>
        <v>0.921875</v>
      </c>
      <c r="M52" s="9">
        <v>17</v>
      </c>
      <c r="N52" s="2">
        <v>47</v>
      </c>
      <c r="O52" s="2"/>
      <c r="P52" s="2">
        <f t="shared" si="35"/>
        <v>47</v>
      </c>
      <c r="Q52" s="2">
        <v>11</v>
      </c>
      <c r="R52" s="2">
        <v>36</v>
      </c>
      <c r="S52" s="2">
        <v>10</v>
      </c>
      <c r="T52" s="2">
        <f t="shared" si="36"/>
        <v>11</v>
      </c>
      <c r="U52" s="2">
        <f t="shared" si="37"/>
        <v>1</v>
      </c>
      <c r="V52" s="2">
        <v>74</v>
      </c>
      <c r="W52" s="2">
        <v>33</v>
      </c>
      <c r="X52" s="2">
        <f t="shared" si="38"/>
        <v>107</v>
      </c>
      <c r="Y52" s="17">
        <v>34</v>
      </c>
      <c r="Z52" s="17">
        <v>9</v>
      </c>
      <c r="AA52" s="17">
        <f t="shared" si="39"/>
        <v>2</v>
      </c>
      <c r="AB52" s="17">
        <f t="shared" si="40"/>
        <v>1</v>
      </c>
      <c r="AC52" s="17">
        <v>33</v>
      </c>
      <c r="AD52" s="17">
        <v>9</v>
      </c>
      <c r="AE52" s="17">
        <f t="shared" si="41"/>
        <v>1</v>
      </c>
      <c r="AF52" s="17">
        <f t="shared" si="42"/>
        <v>0</v>
      </c>
      <c r="AG52" s="17">
        <v>71</v>
      </c>
      <c r="AH52" s="17">
        <v>28</v>
      </c>
      <c r="AI52" s="17">
        <f t="shared" si="43"/>
        <v>99</v>
      </c>
      <c r="AJ52" s="3">
        <v>30</v>
      </c>
      <c r="AK52" s="3">
        <v>9</v>
      </c>
      <c r="AL52" s="52">
        <f t="shared" si="44"/>
        <v>3</v>
      </c>
      <c r="AM52" s="52">
        <f t="shared" si="45"/>
        <v>0</v>
      </c>
      <c r="AN52" s="3">
        <v>30</v>
      </c>
      <c r="AO52" s="3">
        <v>9</v>
      </c>
      <c r="AP52" s="52">
        <f t="shared" si="46"/>
        <v>0</v>
      </c>
      <c r="AQ52" s="52">
        <f t="shared" si="47"/>
        <v>0</v>
      </c>
      <c r="AR52" s="3">
        <v>61</v>
      </c>
      <c r="AS52" s="3">
        <v>39</v>
      </c>
      <c r="AT52" s="52">
        <f t="shared" si="48"/>
        <v>100</v>
      </c>
      <c r="AU52" s="4">
        <v>29</v>
      </c>
      <c r="AV52" s="4">
        <v>9</v>
      </c>
      <c r="AW52" s="4">
        <f t="shared" si="49"/>
        <v>1</v>
      </c>
      <c r="AX52" s="4">
        <f t="shared" si="50"/>
        <v>0</v>
      </c>
      <c r="AY52" s="13">
        <f t="shared" si="51"/>
        <v>18</v>
      </c>
      <c r="AZ52" s="13">
        <f t="shared" si="52"/>
        <v>2</v>
      </c>
      <c r="BA52" s="14">
        <f t="shared" si="53"/>
        <v>0.34482758620689657</v>
      </c>
      <c r="BB52" s="14">
        <f t="shared" si="54"/>
        <v>0.1144578313253012</v>
      </c>
      <c r="BC52" s="14">
        <f t="shared" si="55"/>
        <v>7.5916230366492143E-2</v>
      </c>
      <c r="BD52" s="1" t="str">
        <f t="shared" si="56"/>
        <v>Graduado</v>
      </c>
    </row>
    <row r="53" spans="1:56" customFormat="1" hidden="1">
      <c r="A53" s="7" t="s">
        <v>62</v>
      </c>
      <c r="B53" s="1" t="s">
        <v>63</v>
      </c>
      <c r="C53" s="21">
        <v>83</v>
      </c>
      <c r="D53" s="1">
        <v>485</v>
      </c>
      <c r="E53" s="1">
        <v>307</v>
      </c>
      <c r="F53" s="1">
        <v>268</v>
      </c>
      <c r="G53" s="1">
        <v>70</v>
      </c>
      <c r="H53" s="24">
        <f t="shared" si="33"/>
        <v>0.26119402985074625</v>
      </c>
      <c r="I53" s="9">
        <v>70</v>
      </c>
      <c r="J53" s="9">
        <v>70</v>
      </c>
      <c r="K53" s="9">
        <v>69</v>
      </c>
      <c r="L53" s="25">
        <f t="shared" si="34"/>
        <v>0.98571428571428577</v>
      </c>
      <c r="M53" s="9">
        <v>17</v>
      </c>
      <c r="N53" s="2">
        <v>62</v>
      </c>
      <c r="O53" s="2">
        <v>9</v>
      </c>
      <c r="P53" s="2">
        <f t="shared" si="35"/>
        <v>71</v>
      </c>
      <c r="Q53" s="2">
        <v>16</v>
      </c>
      <c r="R53" s="2">
        <v>66</v>
      </c>
      <c r="S53" s="2">
        <v>15</v>
      </c>
      <c r="T53" s="2">
        <f t="shared" si="36"/>
        <v>5</v>
      </c>
      <c r="U53" s="2">
        <f t="shared" si="37"/>
        <v>1</v>
      </c>
      <c r="V53" s="2">
        <v>134</v>
      </c>
      <c r="W53" s="2">
        <v>39</v>
      </c>
      <c r="X53" s="2">
        <f t="shared" si="38"/>
        <v>173</v>
      </c>
      <c r="Y53" s="17">
        <v>61</v>
      </c>
      <c r="Z53" s="17">
        <v>14</v>
      </c>
      <c r="AA53" s="17">
        <f t="shared" si="39"/>
        <v>5</v>
      </c>
      <c r="AB53" s="17">
        <f t="shared" si="40"/>
        <v>1</v>
      </c>
      <c r="AC53" s="17">
        <v>59</v>
      </c>
      <c r="AD53" s="17">
        <v>14</v>
      </c>
      <c r="AE53" s="17">
        <f t="shared" si="41"/>
        <v>2</v>
      </c>
      <c r="AF53" s="17">
        <f t="shared" si="42"/>
        <v>0</v>
      </c>
      <c r="AG53" s="17">
        <v>69</v>
      </c>
      <c r="AH53" s="17">
        <v>35</v>
      </c>
      <c r="AI53" s="17">
        <f t="shared" si="43"/>
        <v>104</v>
      </c>
      <c r="AJ53" s="3">
        <v>59</v>
      </c>
      <c r="AK53" s="3">
        <v>14</v>
      </c>
      <c r="AL53" s="52">
        <f t="shared" si="44"/>
        <v>0</v>
      </c>
      <c r="AM53" s="52">
        <f t="shared" si="45"/>
        <v>0</v>
      </c>
      <c r="AN53" s="3">
        <v>53</v>
      </c>
      <c r="AO53" s="3">
        <v>14</v>
      </c>
      <c r="AP53" s="52">
        <f t="shared" si="46"/>
        <v>6</v>
      </c>
      <c r="AQ53" s="52">
        <f t="shared" si="47"/>
        <v>0</v>
      </c>
      <c r="AR53" s="3">
        <v>125</v>
      </c>
      <c r="AS53" s="3">
        <v>54</v>
      </c>
      <c r="AT53" s="52">
        <f t="shared" si="48"/>
        <v>179</v>
      </c>
      <c r="AU53" s="4">
        <v>52</v>
      </c>
      <c r="AV53" s="4">
        <v>14</v>
      </c>
      <c r="AW53" s="4">
        <f t="shared" si="49"/>
        <v>1</v>
      </c>
      <c r="AX53" s="4">
        <f t="shared" si="50"/>
        <v>0</v>
      </c>
      <c r="AY53" s="13">
        <f t="shared" si="51"/>
        <v>19</v>
      </c>
      <c r="AZ53" s="13">
        <f t="shared" si="52"/>
        <v>2</v>
      </c>
      <c r="BA53" s="14">
        <f t="shared" si="53"/>
        <v>0.2413793103448276</v>
      </c>
      <c r="BB53" s="14">
        <f t="shared" si="54"/>
        <v>0.21498371335504887</v>
      </c>
      <c r="BC53" s="14">
        <f t="shared" si="55"/>
        <v>0.10721649484536082</v>
      </c>
      <c r="BD53" s="1" t="str">
        <f t="shared" si="56"/>
        <v>Graduado</v>
      </c>
    </row>
    <row r="54" spans="1:56" customFormat="1" hidden="1">
      <c r="A54" s="7" t="s">
        <v>65</v>
      </c>
      <c r="B54" s="1" t="s">
        <v>63</v>
      </c>
      <c r="C54" s="21">
        <v>84</v>
      </c>
      <c r="D54" s="1">
        <v>361</v>
      </c>
      <c r="E54" s="1">
        <v>335</v>
      </c>
      <c r="F54" s="1">
        <v>299</v>
      </c>
      <c r="G54" s="1">
        <v>108</v>
      </c>
      <c r="H54" s="24">
        <f t="shared" si="33"/>
        <v>0.3612040133779264</v>
      </c>
      <c r="I54" s="9">
        <v>101</v>
      </c>
      <c r="J54" s="9">
        <v>94</v>
      </c>
      <c r="K54" s="9">
        <v>84</v>
      </c>
      <c r="L54" s="25">
        <f t="shared" si="34"/>
        <v>0.8936170212765957</v>
      </c>
      <c r="M54" s="9">
        <v>32</v>
      </c>
      <c r="N54" s="2">
        <v>81</v>
      </c>
      <c r="O54" s="2"/>
      <c r="P54" s="2">
        <f t="shared" si="35"/>
        <v>81</v>
      </c>
      <c r="Q54" s="2">
        <v>22</v>
      </c>
      <c r="R54" s="2">
        <v>76</v>
      </c>
      <c r="S54" s="2">
        <v>22</v>
      </c>
      <c r="T54" s="2">
        <f t="shared" si="36"/>
        <v>5</v>
      </c>
      <c r="U54" s="2">
        <f t="shared" si="37"/>
        <v>0</v>
      </c>
      <c r="V54" s="2">
        <v>136</v>
      </c>
      <c r="W54" s="2">
        <v>74</v>
      </c>
      <c r="X54" s="2">
        <f t="shared" si="38"/>
        <v>210</v>
      </c>
      <c r="Y54" s="17">
        <v>67</v>
      </c>
      <c r="Z54" s="17">
        <v>21</v>
      </c>
      <c r="AA54" s="17">
        <f t="shared" si="39"/>
        <v>9</v>
      </c>
      <c r="AB54" s="17">
        <f t="shared" si="40"/>
        <v>1</v>
      </c>
      <c r="AC54" s="17">
        <v>65</v>
      </c>
      <c r="AD54" s="17">
        <v>20</v>
      </c>
      <c r="AE54" s="17">
        <f t="shared" si="41"/>
        <v>2</v>
      </c>
      <c r="AF54" s="17">
        <f t="shared" si="42"/>
        <v>1</v>
      </c>
      <c r="AG54" s="17">
        <v>103</v>
      </c>
      <c r="AH54" s="17">
        <v>55</v>
      </c>
      <c r="AI54" s="17">
        <f t="shared" si="43"/>
        <v>158</v>
      </c>
      <c r="AJ54" s="3">
        <v>57</v>
      </c>
      <c r="AK54" s="3">
        <v>19</v>
      </c>
      <c r="AL54" s="52">
        <f t="shared" si="44"/>
        <v>8</v>
      </c>
      <c r="AM54" s="52">
        <f t="shared" si="45"/>
        <v>1</v>
      </c>
      <c r="AN54" s="3">
        <v>51</v>
      </c>
      <c r="AO54" s="3">
        <v>19</v>
      </c>
      <c r="AP54" s="52">
        <f t="shared" si="46"/>
        <v>6</v>
      </c>
      <c r="AQ54" s="52">
        <f t="shared" si="47"/>
        <v>0</v>
      </c>
      <c r="AR54" s="3">
        <v>83</v>
      </c>
      <c r="AS54" s="3">
        <v>77</v>
      </c>
      <c r="AT54" s="52">
        <f t="shared" si="48"/>
        <v>160</v>
      </c>
      <c r="AU54" s="4">
        <v>50</v>
      </c>
      <c r="AV54" s="4">
        <v>18</v>
      </c>
      <c r="AW54" s="4">
        <f t="shared" si="49"/>
        <v>1</v>
      </c>
      <c r="AX54" s="4">
        <f t="shared" si="50"/>
        <v>1</v>
      </c>
      <c r="AY54" s="13">
        <f t="shared" si="51"/>
        <v>31</v>
      </c>
      <c r="AZ54" s="13">
        <f t="shared" si="52"/>
        <v>4</v>
      </c>
      <c r="BA54" s="14">
        <f t="shared" si="53"/>
        <v>0.33980582524271846</v>
      </c>
      <c r="BB54" s="14">
        <f t="shared" si="54"/>
        <v>0.20298507462686566</v>
      </c>
      <c r="BC54" s="14">
        <f t="shared" si="55"/>
        <v>0.13850415512465375</v>
      </c>
      <c r="BD54" s="1" t="str">
        <f t="shared" si="56"/>
        <v>Graduado</v>
      </c>
    </row>
    <row r="55" spans="1:56" customFormat="1" hidden="1">
      <c r="A55" s="7" t="s">
        <v>52</v>
      </c>
      <c r="B55" s="1" t="s">
        <v>63</v>
      </c>
      <c r="C55" s="21">
        <v>85</v>
      </c>
      <c r="D55" s="1">
        <v>426</v>
      </c>
      <c r="E55" s="1">
        <v>260</v>
      </c>
      <c r="F55" s="1">
        <v>238</v>
      </c>
      <c r="G55" s="1">
        <v>83</v>
      </c>
      <c r="H55" s="24">
        <f t="shared" si="33"/>
        <v>0.34873949579831931</v>
      </c>
      <c r="I55" s="9">
        <v>76</v>
      </c>
      <c r="J55" s="9">
        <v>73</v>
      </c>
      <c r="K55" s="9">
        <v>65</v>
      </c>
      <c r="L55" s="25">
        <f t="shared" si="34"/>
        <v>0.8904109589041096</v>
      </c>
      <c r="M55" s="9">
        <v>9</v>
      </c>
      <c r="N55" s="2">
        <v>50</v>
      </c>
      <c r="O55" s="2">
        <v>9</v>
      </c>
      <c r="P55" s="2">
        <f t="shared" si="35"/>
        <v>59</v>
      </c>
      <c r="Q55" s="2">
        <v>8</v>
      </c>
      <c r="R55" s="2">
        <v>55</v>
      </c>
      <c r="S55" s="2">
        <v>7</v>
      </c>
      <c r="T55" s="2">
        <f t="shared" si="36"/>
        <v>4</v>
      </c>
      <c r="U55" s="2">
        <f t="shared" si="37"/>
        <v>1</v>
      </c>
      <c r="V55" s="2">
        <v>79</v>
      </c>
      <c r="W55" s="2">
        <v>31</v>
      </c>
      <c r="X55" s="2">
        <f t="shared" si="38"/>
        <v>110</v>
      </c>
      <c r="Y55" s="17">
        <v>51</v>
      </c>
      <c r="Z55" s="17">
        <v>7</v>
      </c>
      <c r="AA55" s="17">
        <f t="shared" si="39"/>
        <v>4</v>
      </c>
      <c r="AB55" s="17">
        <f t="shared" si="40"/>
        <v>0</v>
      </c>
      <c r="AC55" s="17">
        <v>45</v>
      </c>
      <c r="AD55" s="17">
        <v>5</v>
      </c>
      <c r="AE55" s="17">
        <f t="shared" si="41"/>
        <v>6</v>
      </c>
      <c r="AF55" s="17">
        <f t="shared" si="42"/>
        <v>2</v>
      </c>
      <c r="AG55" s="17">
        <v>79</v>
      </c>
      <c r="AH55" s="17">
        <v>22</v>
      </c>
      <c r="AI55" s="17">
        <f t="shared" si="43"/>
        <v>101</v>
      </c>
      <c r="AJ55" s="3">
        <v>40</v>
      </c>
      <c r="AK55" s="3">
        <v>5</v>
      </c>
      <c r="AL55" s="52">
        <f t="shared" si="44"/>
        <v>5</v>
      </c>
      <c r="AM55" s="52">
        <f t="shared" si="45"/>
        <v>0</v>
      </c>
      <c r="AN55" s="3">
        <v>38</v>
      </c>
      <c r="AO55" s="3">
        <v>5</v>
      </c>
      <c r="AP55" s="52">
        <f t="shared" si="46"/>
        <v>2</v>
      </c>
      <c r="AQ55" s="52">
        <f t="shared" si="47"/>
        <v>0</v>
      </c>
      <c r="AR55" s="3">
        <v>70</v>
      </c>
      <c r="AS55" s="3">
        <v>18</v>
      </c>
      <c r="AT55" s="52">
        <f t="shared" si="48"/>
        <v>88</v>
      </c>
      <c r="AU55" s="4">
        <v>35</v>
      </c>
      <c r="AV55" s="4">
        <v>5</v>
      </c>
      <c r="AW55" s="4">
        <f t="shared" si="49"/>
        <v>3</v>
      </c>
      <c r="AX55" s="4">
        <f t="shared" si="50"/>
        <v>0</v>
      </c>
      <c r="AY55" s="13">
        <f t="shared" si="51"/>
        <v>24</v>
      </c>
      <c r="AZ55" s="13">
        <f t="shared" si="52"/>
        <v>3</v>
      </c>
      <c r="BA55" s="14">
        <f t="shared" si="53"/>
        <v>0.40298507462686567</v>
      </c>
      <c r="BB55" s="14">
        <f t="shared" si="54"/>
        <v>0.15384615384615385</v>
      </c>
      <c r="BC55" s="14">
        <f t="shared" si="55"/>
        <v>8.2159624413145546E-2</v>
      </c>
      <c r="BD55" s="1" t="str">
        <f t="shared" si="56"/>
        <v>Graduado</v>
      </c>
    </row>
    <row r="56" spans="1:56" customFormat="1" hidden="1">
      <c r="A56" s="7" t="s">
        <v>65</v>
      </c>
      <c r="B56" s="1" t="s">
        <v>63</v>
      </c>
      <c r="C56" s="21">
        <v>86</v>
      </c>
      <c r="D56" s="1">
        <v>408</v>
      </c>
      <c r="E56" s="1">
        <v>339</v>
      </c>
      <c r="F56" s="1">
        <v>298</v>
      </c>
      <c r="G56" s="1">
        <v>62</v>
      </c>
      <c r="H56" s="24">
        <f t="shared" si="33"/>
        <v>0.20805369127516779</v>
      </c>
      <c r="I56" s="9">
        <v>66</v>
      </c>
      <c r="J56" s="10">
        <v>65</v>
      </c>
      <c r="K56" s="10">
        <v>54</v>
      </c>
      <c r="L56" s="25">
        <f t="shared" si="34"/>
        <v>0.83076923076923082</v>
      </c>
      <c r="M56" s="10">
        <v>10</v>
      </c>
      <c r="N56" s="11">
        <v>48</v>
      </c>
      <c r="O56" s="11">
        <v>11</v>
      </c>
      <c r="P56" s="2">
        <f t="shared" si="35"/>
        <v>59</v>
      </c>
      <c r="Q56" s="11">
        <v>10</v>
      </c>
      <c r="R56" s="11">
        <v>56</v>
      </c>
      <c r="S56" s="11">
        <v>9</v>
      </c>
      <c r="T56" s="2">
        <f t="shared" si="36"/>
        <v>3</v>
      </c>
      <c r="U56" s="2">
        <f t="shared" si="37"/>
        <v>1</v>
      </c>
      <c r="V56" s="11">
        <v>58</v>
      </c>
      <c r="W56" s="11">
        <v>25</v>
      </c>
      <c r="X56" s="2">
        <f t="shared" si="38"/>
        <v>83</v>
      </c>
      <c r="Y56" s="18">
        <v>59</v>
      </c>
      <c r="Z56" s="18">
        <v>10</v>
      </c>
      <c r="AA56" s="17">
        <f t="shared" si="39"/>
        <v>-3</v>
      </c>
      <c r="AB56" s="17">
        <f t="shared" si="40"/>
        <v>-1</v>
      </c>
      <c r="AC56" s="18">
        <v>48</v>
      </c>
      <c r="AD56" s="18">
        <v>9</v>
      </c>
      <c r="AE56" s="17">
        <f t="shared" si="41"/>
        <v>11</v>
      </c>
      <c r="AF56" s="17">
        <f t="shared" si="42"/>
        <v>1</v>
      </c>
      <c r="AG56" s="18">
        <v>62</v>
      </c>
      <c r="AH56" s="18">
        <v>32</v>
      </c>
      <c r="AI56" s="17">
        <f t="shared" si="43"/>
        <v>94</v>
      </c>
      <c r="AJ56" s="16">
        <v>48</v>
      </c>
      <c r="AK56" s="16">
        <v>9</v>
      </c>
      <c r="AL56" s="52">
        <f t="shared" si="44"/>
        <v>0</v>
      </c>
      <c r="AM56" s="52">
        <f t="shared" si="45"/>
        <v>0</v>
      </c>
      <c r="AN56" s="16">
        <v>42</v>
      </c>
      <c r="AO56" s="16">
        <v>9</v>
      </c>
      <c r="AP56" s="52">
        <f t="shared" si="46"/>
        <v>6</v>
      </c>
      <c r="AQ56" s="52">
        <f t="shared" si="47"/>
        <v>0</v>
      </c>
      <c r="AR56" s="16">
        <v>62</v>
      </c>
      <c r="AS56" s="16">
        <v>32</v>
      </c>
      <c r="AT56" s="52">
        <f t="shared" si="48"/>
        <v>94</v>
      </c>
      <c r="AU56" s="12">
        <v>37</v>
      </c>
      <c r="AV56" s="12">
        <v>9</v>
      </c>
      <c r="AW56" s="4">
        <f t="shared" si="49"/>
        <v>5</v>
      </c>
      <c r="AX56" s="4">
        <f t="shared" si="50"/>
        <v>0</v>
      </c>
      <c r="AY56" s="13">
        <f t="shared" si="51"/>
        <v>22</v>
      </c>
      <c r="AZ56" s="13">
        <f t="shared" si="52"/>
        <v>1</v>
      </c>
      <c r="BA56" s="14">
        <f t="shared" si="53"/>
        <v>0.33333333333333331</v>
      </c>
      <c r="BB56" s="14">
        <f t="shared" si="54"/>
        <v>0.13569321533923304</v>
      </c>
      <c r="BC56" s="14">
        <f t="shared" si="55"/>
        <v>9.0686274509803919E-2</v>
      </c>
      <c r="BD56" s="1" t="str">
        <f t="shared" si="56"/>
        <v>Graduado</v>
      </c>
    </row>
    <row r="57" spans="1:56" hidden="1">
      <c r="A57" s="7" t="s">
        <v>48</v>
      </c>
      <c r="B57" s="1" t="s">
        <v>63</v>
      </c>
      <c r="C57" s="21">
        <v>87</v>
      </c>
      <c r="D57" s="1">
        <v>373</v>
      </c>
      <c r="E57" s="1">
        <v>269</v>
      </c>
      <c r="F57" s="1">
        <v>241</v>
      </c>
      <c r="G57" s="1">
        <v>64</v>
      </c>
      <c r="H57" s="24">
        <f t="shared" si="33"/>
        <v>0.26556016597510373</v>
      </c>
      <c r="I57" s="9">
        <v>72</v>
      </c>
      <c r="J57" s="10">
        <v>66</v>
      </c>
      <c r="K57" s="10">
        <v>64</v>
      </c>
      <c r="L57" s="25">
        <f t="shared" si="34"/>
        <v>0.96969696969696972</v>
      </c>
      <c r="M57" s="10">
        <v>13</v>
      </c>
      <c r="N57" s="11">
        <v>43</v>
      </c>
      <c r="O57" s="11">
        <v>9</v>
      </c>
      <c r="P57" s="2">
        <f t="shared" si="35"/>
        <v>52</v>
      </c>
      <c r="Q57" s="11">
        <v>13</v>
      </c>
      <c r="R57" s="11">
        <v>42</v>
      </c>
      <c r="S57" s="11">
        <v>13</v>
      </c>
      <c r="T57" s="2">
        <f t="shared" si="36"/>
        <v>10</v>
      </c>
      <c r="U57" s="2">
        <f t="shared" si="37"/>
        <v>0</v>
      </c>
      <c r="V57" s="11">
        <v>82</v>
      </c>
      <c r="W57" s="11">
        <v>47</v>
      </c>
      <c r="X57" s="2">
        <f t="shared" si="38"/>
        <v>129</v>
      </c>
      <c r="Y57" s="18">
        <v>34</v>
      </c>
      <c r="Z57" s="18">
        <v>13</v>
      </c>
      <c r="AA57" s="17">
        <f t="shared" si="39"/>
        <v>8</v>
      </c>
      <c r="AB57" s="17">
        <f t="shared" si="40"/>
        <v>0</v>
      </c>
      <c r="AC57" s="18">
        <v>34</v>
      </c>
      <c r="AD57" s="18">
        <v>13</v>
      </c>
      <c r="AE57" s="17">
        <f t="shared" si="41"/>
        <v>0</v>
      </c>
      <c r="AF57" s="17">
        <f t="shared" si="42"/>
        <v>0</v>
      </c>
      <c r="AG57" s="18">
        <v>63</v>
      </c>
      <c r="AH57" s="18">
        <v>39</v>
      </c>
      <c r="AI57" s="17">
        <f t="shared" si="43"/>
        <v>102</v>
      </c>
      <c r="AJ57" s="16">
        <v>32</v>
      </c>
      <c r="AK57" s="16">
        <v>13</v>
      </c>
      <c r="AL57" s="52">
        <f t="shared" si="44"/>
        <v>2</v>
      </c>
      <c r="AM57" s="52">
        <f t="shared" si="45"/>
        <v>0</v>
      </c>
      <c r="AN57" s="16">
        <v>32</v>
      </c>
      <c r="AO57" s="16">
        <v>13</v>
      </c>
      <c r="AP57" s="52">
        <f t="shared" si="46"/>
        <v>0</v>
      </c>
      <c r="AQ57" s="52">
        <f t="shared" si="47"/>
        <v>0</v>
      </c>
      <c r="AR57" s="16">
        <v>54</v>
      </c>
      <c r="AS57" s="16">
        <v>43</v>
      </c>
      <c r="AT57" s="52">
        <f t="shared" si="48"/>
        <v>97</v>
      </c>
      <c r="AU57" s="12">
        <v>31</v>
      </c>
      <c r="AV57" s="12">
        <v>13</v>
      </c>
      <c r="AW57" s="4">
        <f t="shared" si="49"/>
        <v>1</v>
      </c>
      <c r="AX57" s="4">
        <f t="shared" si="50"/>
        <v>0</v>
      </c>
      <c r="AY57" s="13">
        <f t="shared" si="51"/>
        <v>21</v>
      </c>
      <c r="AZ57" s="13">
        <f t="shared" si="52"/>
        <v>0</v>
      </c>
      <c r="BA57" s="14">
        <f t="shared" si="53"/>
        <v>0.32307692307692309</v>
      </c>
      <c r="BB57" s="14">
        <f t="shared" si="54"/>
        <v>0.16356877323420074</v>
      </c>
      <c r="BC57" s="14">
        <f t="shared" si="55"/>
        <v>8.3109919571045576E-2</v>
      </c>
      <c r="BD57" s="1" t="str">
        <f t="shared" si="56"/>
        <v>Graduado</v>
      </c>
    </row>
    <row r="58" spans="1:56" hidden="1">
      <c r="A58" s="7" t="s">
        <v>66</v>
      </c>
      <c r="B58" s="1" t="s">
        <v>63</v>
      </c>
      <c r="C58" s="21">
        <v>88</v>
      </c>
      <c r="D58" s="1">
        <v>341</v>
      </c>
      <c r="E58" s="1">
        <v>302</v>
      </c>
      <c r="F58" s="1">
        <v>258</v>
      </c>
      <c r="G58" s="1">
        <v>64</v>
      </c>
      <c r="H58" s="24">
        <f t="shared" si="33"/>
        <v>0.24806201550387597</v>
      </c>
      <c r="I58" s="9">
        <v>84</v>
      </c>
      <c r="J58" s="10">
        <v>82</v>
      </c>
      <c r="K58" s="10">
        <v>80</v>
      </c>
      <c r="L58" s="25">
        <f t="shared" si="34"/>
        <v>0.97560975609756095</v>
      </c>
      <c r="M58" s="10">
        <v>13</v>
      </c>
      <c r="N58" s="2">
        <v>70</v>
      </c>
      <c r="O58" s="11">
        <v>4</v>
      </c>
      <c r="P58" s="2">
        <f t="shared" si="35"/>
        <v>74</v>
      </c>
      <c r="Q58" s="11">
        <v>12</v>
      </c>
      <c r="R58" s="11">
        <v>70</v>
      </c>
      <c r="S58" s="11">
        <v>12</v>
      </c>
      <c r="T58" s="2">
        <f t="shared" si="36"/>
        <v>4</v>
      </c>
      <c r="U58" s="2">
        <f t="shared" si="37"/>
        <v>0</v>
      </c>
      <c r="V58" s="11">
        <v>108</v>
      </c>
      <c r="W58" s="11">
        <v>37</v>
      </c>
      <c r="X58" s="2">
        <f t="shared" si="38"/>
        <v>145</v>
      </c>
      <c r="Y58" s="18">
        <v>70</v>
      </c>
      <c r="Z58" s="18">
        <v>12</v>
      </c>
      <c r="AA58" s="17">
        <f t="shared" si="39"/>
        <v>0</v>
      </c>
      <c r="AB58" s="17">
        <f t="shared" si="40"/>
        <v>0</v>
      </c>
      <c r="AC58" s="18">
        <v>70</v>
      </c>
      <c r="AD58" s="18">
        <v>10</v>
      </c>
      <c r="AE58" s="17">
        <f t="shared" si="41"/>
        <v>0</v>
      </c>
      <c r="AF58" s="17">
        <f t="shared" si="42"/>
        <v>2</v>
      </c>
      <c r="AG58" s="18">
        <v>85</v>
      </c>
      <c r="AH58" s="18">
        <v>29</v>
      </c>
      <c r="AI58" s="17">
        <f t="shared" si="43"/>
        <v>114</v>
      </c>
      <c r="AJ58" s="16">
        <v>58</v>
      </c>
      <c r="AK58" s="16">
        <v>10</v>
      </c>
      <c r="AL58" s="52">
        <f t="shared" si="44"/>
        <v>12</v>
      </c>
      <c r="AM58" s="52">
        <f t="shared" si="45"/>
        <v>0</v>
      </c>
      <c r="AN58" s="16">
        <v>54</v>
      </c>
      <c r="AO58" s="16">
        <v>10</v>
      </c>
      <c r="AP58" s="52">
        <f t="shared" si="46"/>
        <v>4</v>
      </c>
      <c r="AQ58" s="52">
        <f t="shared" si="47"/>
        <v>0</v>
      </c>
      <c r="AR58" s="16">
        <v>110</v>
      </c>
      <c r="AS58" s="16">
        <v>55</v>
      </c>
      <c r="AT58" s="52">
        <f t="shared" si="48"/>
        <v>165</v>
      </c>
      <c r="AU58" s="12">
        <v>51</v>
      </c>
      <c r="AV58" s="12">
        <v>10</v>
      </c>
      <c r="AW58" s="4">
        <f t="shared" si="49"/>
        <v>3</v>
      </c>
      <c r="AX58" s="4">
        <f t="shared" si="50"/>
        <v>0</v>
      </c>
      <c r="AY58" s="13">
        <f t="shared" si="51"/>
        <v>23</v>
      </c>
      <c r="AZ58" s="13">
        <f t="shared" si="52"/>
        <v>2</v>
      </c>
      <c r="BA58" s="14">
        <f t="shared" si="53"/>
        <v>0.29069767441860467</v>
      </c>
      <c r="BB58" s="14">
        <f t="shared" si="54"/>
        <v>0.20198675496688742</v>
      </c>
      <c r="BC58" s="14">
        <f t="shared" si="55"/>
        <v>0.14956011730205279</v>
      </c>
      <c r="BD58" s="1" t="str">
        <f t="shared" si="56"/>
        <v>Graduado</v>
      </c>
    </row>
    <row r="59" spans="1:56" hidden="1">
      <c r="A59" s="7" t="s">
        <v>65</v>
      </c>
      <c r="B59" s="1" t="s">
        <v>63</v>
      </c>
      <c r="C59" s="21">
        <v>89</v>
      </c>
      <c r="D59" s="1">
        <v>409</v>
      </c>
      <c r="E59" s="1">
        <v>281</v>
      </c>
      <c r="F59" s="1">
        <v>256</v>
      </c>
      <c r="G59" s="1">
        <v>75</v>
      </c>
      <c r="H59" s="24">
        <f t="shared" si="33"/>
        <v>0.29296875</v>
      </c>
      <c r="I59" s="9">
        <v>52</v>
      </c>
      <c r="J59" s="10">
        <v>51</v>
      </c>
      <c r="K59" s="10">
        <v>45</v>
      </c>
      <c r="L59" s="25">
        <f t="shared" si="34"/>
        <v>0.88235294117647056</v>
      </c>
      <c r="M59" s="10">
        <v>12</v>
      </c>
      <c r="N59" s="11">
        <v>20</v>
      </c>
      <c r="O59" s="11">
        <v>6</v>
      </c>
      <c r="P59" s="2">
        <f t="shared" si="35"/>
        <v>26</v>
      </c>
      <c r="Q59" s="11">
        <v>9</v>
      </c>
      <c r="R59" s="11">
        <v>24</v>
      </c>
      <c r="S59" s="11">
        <v>9</v>
      </c>
      <c r="T59" s="2">
        <f t="shared" si="36"/>
        <v>2</v>
      </c>
      <c r="U59" s="2">
        <f t="shared" si="37"/>
        <v>0</v>
      </c>
      <c r="V59" s="11">
        <v>39</v>
      </c>
      <c r="W59" s="11">
        <v>26</v>
      </c>
      <c r="X59" s="2">
        <f t="shared" si="38"/>
        <v>65</v>
      </c>
      <c r="Y59" s="18">
        <v>22</v>
      </c>
      <c r="Z59" s="18">
        <v>9</v>
      </c>
      <c r="AA59" s="17">
        <f t="shared" si="39"/>
        <v>2</v>
      </c>
      <c r="AB59" s="17">
        <f t="shared" si="40"/>
        <v>0</v>
      </c>
      <c r="AC59" s="18">
        <v>21</v>
      </c>
      <c r="AD59" s="18">
        <v>6</v>
      </c>
      <c r="AE59" s="17">
        <f t="shared" si="41"/>
        <v>1</v>
      </c>
      <c r="AF59" s="17">
        <f t="shared" si="42"/>
        <v>3</v>
      </c>
      <c r="AG59" s="18">
        <v>36</v>
      </c>
      <c r="AH59" s="18">
        <v>20</v>
      </c>
      <c r="AI59" s="17">
        <f t="shared" si="43"/>
        <v>56</v>
      </c>
      <c r="AJ59" s="16">
        <v>18</v>
      </c>
      <c r="AK59" s="16">
        <v>6</v>
      </c>
      <c r="AL59" s="52">
        <f t="shared" si="44"/>
        <v>3</v>
      </c>
      <c r="AM59" s="52">
        <f t="shared" si="45"/>
        <v>0</v>
      </c>
      <c r="AN59" s="16">
        <v>18</v>
      </c>
      <c r="AO59" s="16">
        <v>6</v>
      </c>
      <c r="AP59" s="52">
        <f t="shared" si="46"/>
        <v>0</v>
      </c>
      <c r="AQ59" s="52">
        <f t="shared" si="47"/>
        <v>0</v>
      </c>
      <c r="AR59" s="16">
        <v>47</v>
      </c>
      <c r="AS59" s="16">
        <v>30</v>
      </c>
      <c r="AT59" s="52">
        <f t="shared" si="48"/>
        <v>77</v>
      </c>
      <c r="AU59" s="12">
        <v>18</v>
      </c>
      <c r="AV59" s="12">
        <v>6</v>
      </c>
      <c r="AW59" s="4">
        <f t="shared" si="49"/>
        <v>0</v>
      </c>
      <c r="AX59" s="4">
        <f t="shared" si="50"/>
        <v>0</v>
      </c>
      <c r="AY59" s="13">
        <f t="shared" si="51"/>
        <v>8</v>
      </c>
      <c r="AZ59" s="13">
        <f t="shared" si="52"/>
        <v>3</v>
      </c>
      <c r="BA59" s="14">
        <f t="shared" si="53"/>
        <v>0.31428571428571428</v>
      </c>
      <c r="BB59" s="14">
        <f t="shared" si="54"/>
        <v>8.5409252669039148E-2</v>
      </c>
      <c r="BC59" s="14">
        <f t="shared" si="55"/>
        <v>4.4009779951100246E-2</v>
      </c>
      <c r="BD59" s="1" t="str">
        <f t="shared" si="56"/>
        <v>Graduado</v>
      </c>
    </row>
    <row r="60" spans="1:56" hidden="1">
      <c r="A60" s="7" t="s">
        <v>66</v>
      </c>
      <c r="B60" s="1" t="s">
        <v>63</v>
      </c>
      <c r="C60" s="21">
        <v>90</v>
      </c>
      <c r="D60" s="1">
        <v>399</v>
      </c>
      <c r="E60" s="1">
        <v>332</v>
      </c>
      <c r="F60" s="1">
        <v>318</v>
      </c>
      <c r="G60" s="1">
        <v>94</v>
      </c>
      <c r="H60" s="24">
        <f t="shared" si="33"/>
        <v>0.29559748427672955</v>
      </c>
      <c r="I60" s="9">
        <v>92</v>
      </c>
      <c r="J60" s="10">
        <v>91</v>
      </c>
      <c r="K60" s="10">
        <v>87</v>
      </c>
      <c r="L60" s="25">
        <f t="shared" si="34"/>
        <v>0.95604395604395609</v>
      </c>
      <c r="M60" s="10">
        <v>24</v>
      </c>
      <c r="N60" s="2">
        <v>80</v>
      </c>
      <c r="O60" s="11">
        <v>4</v>
      </c>
      <c r="P60" s="2">
        <f t="shared" si="35"/>
        <v>84</v>
      </c>
      <c r="Q60" s="11">
        <v>16</v>
      </c>
      <c r="R60" s="11">
        <v>73</v>
      </c>
      <c r="S60" s="11">
        <v>16</v>
      </c>
      <c r="T60" s="2">
        <f t="shared" si="36"/>
        <v>11</v>
      </c>
      <c r="U60" s="2">
        <f t="shared" si="37"/>
        <v>0</v>
      </c>
      <c r="V60" s="11">
        <v>120</v>
      </c>
      <c r="W60" s="11">
        <v>41</v>
      </c>
      <c r="X60" s="2">
        <f t="shared" si="38"/>
        <v>161</v>
      </c>
      <c r="Y60" s="18">
        <v>68</v>
      </c>
      <c r="Z60" s="18">
        <v>13</v>
      </c>
      <c r="AA60" s="17">
        <f t="shared" si="39"/>
        <v>5</v>
      </c>
      <c r="AB60" s="17">
        <f t="shared" si="40"/>
        <v>3</v>
      </c>
      <c r="AC60" s="18">
        <v>63</v>
      </c>
      <c r="AD60" s="18">
        <v>13</v>
      </c>
      <c r="AE60" s="17">
        <f t="shared" si="41"/>
        <v>5</v>
      </c>
      <c r="AF60" s="17">
        <f t="shared" si="42"/>
        <v>0</v>
      </c>
      <c r="AG60" s="18">
        <v>87</v>
      </c>
      <c r="AH60" s="18">
        <v>32</v>
      </c>
      <c r="AI60" s="17">
        <f t="shared" si="43"/>
        <v>119</v>
      </c>
      <c r="AJ60" s="16">
        <v>61</v>
      </c>
      <c r="AK60" s="16">
        <v>11</v>
      </c>
      <c r="AL60" s="52">
        <f t="shared" si="44"/>
        <v>2</v>
      </c>
      <c r="AM60" s="52">
        <f t="shared" si="45"/>
        <v>2</v>
      </c>
      <c r="AN60" s="16">
        <v>59</v>
      </c>
      <c r="AO60" s="16">
        <v>11</v>
      </c>
      <c r="AP60" s="52">
        <f t="shared" si="46"/>
        <v>2</v>
      </c>
      <c r="AQ60" s="52">
        <f t="shared" si="47"/>
        <v>0</v>
      </c>
      <c r="AR60" s="16">
        <v>104</v>
      </c>
      <c r="AS60" s="16">
        <v>32</v>
      </c>
      <c r="AT60" s="52">
        <f t="shared" si="48"/>
        <v>136</v>
      </c>
      <c r="AU60" s="12">
        <v>57</v>
      </c>
      <c r="AV60" s="12">
        <v>11</v>
      </c>
      <c r="AW60" s="4">
        <f t="shared" si="49"/>
        <v>2</v>
      </c>
      <c r="AX60" s="4">
        <f t="shared" si="50"/>
        <v>0</v>
      </c>
      <c r="AY60" s="13">
        <f t="shared" si="51"/>
        <v>27</v>
      </c>
      <c r="AZ60" s="13">
        <f t="shared" si="52"/>
        <v>5</v>
      </c>
      <c r="BA60" s="14">
        <f t="shared" si="53"/>
        <v>0.32</v>
      </c>
      <c r="BB60" s="14">
        <f t="shared" si="54"/>
        <v>0.20481927710843373</v>
      </c>
      <c r="BC60" s="14">
        <f t="shared" si="55"/>
        <v>0.14285714285714285</v>
      </c>
      <c r="BD60" s="1" t="str">
        <f t="shared" si="56"/>
        <v>Graduado</v>
      </c>
    </row>
    <row r="61" spans="1:56" hidden="1">
      <c r="A61" s="7" t="s">
        <v>67</v>
      </c>
      <c r="B61" s="1" t="s">
        <v>63</v>
      </c>
      <c r="C61" s="21">
        <v>91</v>
      </c>
      <c r="D61" s="1">
        <v>255</v>
      </c>
      <c r="E61" s="1">
        <v>202</v>
      </c>
      <c r="F61" s="1">
        <v>180</v>
      </c>
      <c r="G61" s="1">
        <v>71</v>
      </c>
      <c r="H61" s="24">
        <f t="shared" si="33"/>
        <v>0.39444444444444443</v>
      </c>
      <c r="I61" s="9">
        <v>58</v>
      </c>
      <c r="J61" s="9">
        <v>57</v>
      </c>
      <c r="K61" s="9">
        <v>56</v>
      </c>
      <c r="L61" s="25">
        <f t="shared" si="34"/>
        <v>0.98245614035087714</v>
      </c>
      <c r="M61" s="9">
        <v>11</v>
      </c>
      <c r="N61" s="2">
        <v>46</v>
      </c>
      <c r="O61" s="2">
        <v>2</v>
      </c>
      <c r="P61" s="2">
        <f t="shared" si="35"/>
        <v>48</v>
      </c>
      <c r="Q61" s="2">
        <v>7</v>
      </c>
      <c r="R61" s="2">
        <v>45</v>
      </c>
      <c r="S61" s="2">
        <v>7</v>
      </c>
      <c r="T61" s="2">
        <f t="shared" si="36"/>
        <v>3</v>
      </c>
      <c r="U61" s="2">
        <f t="shared" si="37"/>
        <v>0</v>
      </c>
      <c r="V61" s="2">
        <v>64</v>
      </c>
      <c r="W61" s="2">
        <v>23</v>
      </c>
      <c r="X61" s="2">
        <f t="shared" si="38"/>
        <v>87</v>
      </c>
      <c r="Y61" s="17">
        <v>43</v>
      </c>
      <c r="Z61" s="17">
        <v>7</v>
      </c>
      <c r="AA61" s="17">
        <f t="shared" si="39"/>
        <v>2</v>
      </c>
      <c r="AB61" s="17">
        <f t="shared" si="40"/>
        <v>0</v>
      </c>
      <c r="AC61" s="17">
        <v>42</v>
      </c>
      <c r="AD61" s="17">
        <v>6</v>
      </c>
      <c r="AE61" s="17">
        <f t="shared" si="41"/>
        <v>1</v>
      </c>
      <c r="AF61" s="17">
        <f t="shared" si="42"/>
        <v>1</v>
      </c>
      <c r="AG61" s="17">
        <v>101</v>
      </c>
      <c r="AH61" s="17">
        <v>25</v>
      </c>
      <c r="AI61" s="17">
        <f t="shared" si="43"/>
        <v>126</v>
      </c>
      <c r="AJ61" s="3">
        <v>40</v>
      </c>
      <c r="AK61" s="3">
        <v>6</v>
      </c>
      <c r="AL61" s="52">
        <f t="shared" si="44"/>
        <v>2</v>
      </c>
      <c r="AM61" s="52">
        <f t="shared" si="45"/>
        <v>0</v>
      </c>
      <c r="AN61" s="3">
        <v>40</v>
      </c>
      <c r="AO61" s="3">
        <v>6</v>
      </c>
      <c r="AP61" s="52">
        <f t="shared" si="46"/>
        <v>0</v>
      </c>
      <c r="AQ61" s="52">
        <f t="shared" si="47"/>
        <v>0</v>
      </c>
      <c r="AR61" s="3">
        <v>89</v>
      </c>
      <c r="AS61" s="3">
        <v>23</v>
      </c>
      <c r="AT61" s="52">
        <f t="shared" si="48"/>
        <v>112</v>
      </c>
      <c r="AU61" s="4">
        <v>40</v>
      </c>
      <c r="AV61" s="4">
        <v>6</v>
      </c>
      <c r="AW61" s="4">
        <f t="shared" si="49"/>
        <v>0</v>
      </c>
      <c r="AX61" s="4">
        <f t="shared" si="50"/>
        <v>0</v>
      </c>
      <c r="AY61" s="13">
        <f t="shared" si="51"/>
        <v>8</v>
      </c>
      <c r="AZ61" s="13">
        <f t="shared" si="52"/>
        <v>1</v>
      </c>
      <c r="BA61" s="14">
        <f t="shared" si="53"/>
        <v>0.16363636363636364</v>
      </c>
      <c r="BB61" s="14">
        <f t="shared" si="54"/>
        <v>0.22772277227722773</v>
      </c>
      <c r="BC61" s="14">
        <f t="shared" si="55"/>
        <v>0.15686274509803921</v>
      </c>
      <c r="BD61" s="1" t="str">
        <f t="shared" si="56"/>
        <v>Graduado</v>
      </c>
    </row>
    <row r="62" spans="1:56" hidden="1">
      <c r="A62" s="7" t="s">
        <v>68</v>
      </c>
      <c r="B62" s="1" t="s">
        <v>63</v>
      </c>
      <c r="C62" s="21">
        <v>92</v>
      </c>
      <c r="D62" s="1">
        <v>391</v>
      </c>
      <c r="E62" s="1">
        <v>272</v>
      </c>
      <c r="F62" s="1">
        <v>242</v>
      </c>
      <c r="G62" s="1">
        <v>62</v>
      </c>
      <c r="H62" s="24">
        <f t="shared" si="33"/>
        <v>0.256198347107438</v>
      </c>
      <c r="I62" s="9">
        <v>40</v>
      </c>
      <c r="J62" s="10">
        <v>40</v>
      </c>
      <c r="K62" s="10">
        <v>40</v>
      </c>
      <c r="L62" s="25">
        <f t="shared" si="34"/>
        <v>1</v>
      </c>
      <c r="M62" s="10">
        <v>8</v>
      </c>
      <c r="N62" s="2">
        <v>40</v>
      </c>
      <c r="O62" s="11">
        <v>8</v>
      </c>
      <c r="P62" s="2">
        <f t="shared" si="35"/>
        <v>48</v>
      </c>
      <c r="Q62" s="11">
        <v>6</v>
      </c>
      <c r="R62" s="11">
        <v>42</v>
      </c>
      <c r="S62" s="11">
        <v>5</v>
      </c>
      <c r="T62" s="2">
        <f t="shared" si="36"/>
        <v>6</v>
      </c>
      <c r="U62" s="2">
        <f t="shared" si="37"/>
        <v>1</v>
      </c>
      <c r="V62" s="11">
        <v>112</v>
      </c>
      <c r="W62" s="11">
        <v>25</v>
      </c>
      <c r="X62" s="2">
        <f t="shared" si="38"/>
        <v>137</v>
      </c>
      <c r="Y62" s="18">
        <v>40</v>
      </c>
      <c r="Z62" s="18">
        <v>5</v>
      </c>
      <c r="AA62" s="17">
        <f t="shared" si="39"/>
        <v>2</v>
      </c>
      <c r="AB62" s="17">
        <f t="shared" si="40"/>
        <v>0</v>
      </c>
      <c r="AC62" s="18">
        <v>34</v>
      </c>
      <c r="AD62" s="18">
        <v>5</v>
      </c>
      <c r="AE62" s="17">
        <f t="shared" si="41"/>
        <v>6</v>
      </c>
      <c r="AF62" s="17">
        <f t="shared" si="42"/>
        <v>0</v>
      </c>
      <c r="AG62" s="18">
        <v>104</v>
      </c>
      <c r="AH62" s="18">
        <v>32</v>
      </c>
      <c r="AI62" s="17">
        <f t="shared" si="43"/>
        <v>136</v>
      </c>
      <c r="AJ62" s="16">
        <v>30</v>
      </c>
      <c r="AK62" s="16">
        <v>5</v>
      </c>
      <c r="AL62" s="52">
        <f t="shared" si="44"/>
        <v>4</v>
      </c>
      <c r="AM62" s="52">
        <f t="shared" si="45"/>
        <v>0</v>
      </c>
      <c r="AN62" s="16">
        <v>27</v>
      </c>
      <c r="AO62" s="16">
        <v>5</v>
      </c>
      <c r="AP62" s="52">
        <f t="shared" si="46"/>
        <v>3</v>
      </c>
      <c r="AQ62" s="52">
        <f t="shared" si="47"/>
        <v>0</v>
      </c>
      <c r="AR62" s="16">
        <v>88</v>
      </c>
      <c r="AS62" s="16">
        <v>26</v>
      </c>
      <c r="AT62" s="52">
        <f t="shared" si="48"/>
        <v>114</v>
      </c>
      <c r="AU62" s="12">
        <v>27</v>
      </c>
      <c r="AV62" s="12">
        <v>5</v>
      </c>
      <c r="AW62" s="4">
        <f t="shared" si="49"/>
        <v>0</v>
      </c>
      <c r="AX62" s="4">
        <f t="shared" si="50"/>
        <v>0</v>
      </c>
      <c r="AY62" s="13">
        <f t="shared" si="51"/>
        <v>21</v>
      </c>
      <c r="AZ62" s="13">
        <f t="shared" si="52"/>
        <v>1</v>
      </c>
      <c r="BA62" s="14">
        <f t="shared" si="53"/>
        <v>0.40740740740740738</v>
      </c>
      <c r="BB62" s="14">
        <f t="shared" si="54"/>
        <v>0.11764705882352941</v>
      </c>
      <c r="BC62" s="14">
        <f t="shared" si="55"/>
        <v>6.9053708439897693E-2</v>
      </c>
      <c r="BD62" s="1" t="str">
        <f t="shared" si="56"/>
        <v>Graduado</v>
      </c>
    </row>
    <row r="63" spans="1:56" hidden="1">
      <c r="A63" s="7" t="s">
        <v>65</v>
      </c>
      <c r="B63" s="1" t="s">
        <v>63</v>
      </c>
      <c r="C63" s="21">
        <v>93</v>
      </c>
      <c r="D63" s="1">
        <v>239</v>
      </c>
      <c r="E63" s="1">
        <v>216</v>
      </c>
      <c r="F63" s="1">
        <v>190</v>
      </c>
      <c r="G63" s="1">
        <v>71</v>
      </c>
      <c r="H63" s="24">
        <f t="shared" si="33"/>
        <v>0.37368421052631579</v>
      </c>
      <c r="I63" s="9">
        <v>94</v>
      </c>
      <c r="J63" s="10">
        <v>84</v>
      </c>
      <c r="K63" s="10">
        <v>76</v>
      </c>
      <c r="L63" s="25">
        <f t="shared" si="34"/>
        <v>0.90476190476190477</v>
      </c>
      <c r="M63" s="10">
        <v>13</v>
      </c>
      <c r="N63" s="2">
        <v>61</v>
      </c>
      <c r="O63" s="11">
        <v>5</v>
      </c>
      <c r="P63" s="2">
        <f t="shared" si="35"/>
        <v>66</v>
      </c>
      <c r="Q63" s="11">
        <v>11</v>
      </c>
      <c r="R63" s="11">
        <v>62</v>
      </c>
      <c r="S63" s="11">
        <v>11</v>
      </c>
      <c r="T63" s="2">
        <f t="shared" si="36"/>
        <v>4</v>
      </c>
      <c r="U63" s="2">
        <f t="shared" si="37"/>
        <v>0</v>
      </c>
      <c r="V63" s="11">
        <v>97</v>
      </c>
      <c r="W63" s="11">
        <v>29</v>
      </c>
      <c r="X63" s="2">
        <f t="shared" si="38"/>
        <v>126</v>
      </c>
      <c r="Y63" s="18">
        <v>56</v>
      </c>
      <c r="Z63" s="18">
        <v>11</v>
      </c>
      <c r="AA63" s="17">
        <f t="shared" si="39"/>
        <v>6</v>
      </c>
      <c r="AB63" s="17">
        <f t="shared" si="40"/>
        <v>0</v>
      </c>
      <c r="AC63" s="18">
        <v>54</v>
      </c>
      <c r="AD63" s="18">
        <v>11</v>
      </c>
      <c r="AE63" s="17">
        <f t="shared" si="41"/>
        <v>2</v>
      </c>
      <c r="AF63" s="17">
        <f t="shared" si="42"/>
        <v>0</v>
      </c>
      <c r="AG63" s="18">
        <v>74</v>
      </c>
      <c r="AH63" s="18">
        <v>31</v>
      </c>
      <c r="AI63" s="17">
        <f t="shared" si="43"/>
        <v>105</v>
      </c>
      <c r="AJ63" s="16">
        <v>50</v>
      </c>
      <c r="AK63" s="16">
        <v>11</v>
      </c>
      <c r="AL63" s="52">
        <f t="shared" si="44"/>
        <v>4</v>
      </c>
      <c r="AM63" s="52">
        <f t="shared" si="45"/>
        <v>0</v>
      </c>
      <c r="AN63" s="16">
        <v>49</v>
      </c>
      <c r="AO63" s="16">
        <v>11</v>
      </c>
      <c r="AP63" s="52">
        <f t="shared" si="46"/>
        <v>1</v>
      </c>
      <c r="AQ63" s="52">
        <f t="shared" si="47"/>
        <v>0</v>
      </c>
      <c r="AR63" s="16">
        <v>69</v>
      </c>
      <c r="AS63" s="16">
        <v>52</v>
      </c>
      <c r="AT63" s="52">
        <f t="shared" si="48"/>
        <v>121</v>
      </c>
      <c r="AU63" s="12">
        <v>48</v>
      </c>
      <c r="AV63" s="12">
        <v>10</v>
      </c>
      <c r="AW63" s="4">
        <f t="shared" si="49"/>
        <v>1</v>
      </c>
      <c r="AX63" s="4">
        <f t="shared" si="50"/>
        <v>1</v>
      </c>
      <c r="AY63" s="13">
        <f t="shared" si="51"/>
        <v>18</v>
      </c>
      <c r="AZ63" s="13">
        <f t="shared" si="52"/>
        <v>1</v>
      </c>
      <c r="BA63" s="14">
        <f t="shared" si="53"/>
        <v>0.24675324675324675</v>
      </c>
      <c r="BB63" s="14">
        <f t="shared" si="54"/>
        <v>0.26851851851851855</v>
      </c>
      <c r="BC63" s="14">
        <f t="shared" si="55"/>
        <v>0.20083682008368201</v>
      </c>
      <c r="BD63" s="1" t="str">
        <f t="shared" si="56"/>
        <v>Graduado</v>
      </c>
    </row>
    <row r="64" spans="1:56" hidden="1">
      <c r="A64" s="7" t="s">
        <v>69</v>
      </c>
      <c r="B64" s="1" t="s">
        <v>63</v>
      </c>
      <c r="C64" s="21">
        <v>94</v>
      </c>
      <c r="D64" s="1">
        <v>421</v>
      </c>
      <c r="E64" s="1">
        <v>328</v>
      </c>
      <c r="F64" s="1">
        <v>300</v>
      </c>
      <c r="G64" s="1">
        <v>125</v>
      </c>
      <c r="H64" s="24">
        <f t="shared" si="33"/>
        <v>0.41666666666666669</v>
      </c>
      <c r="I64" s="9">
        <v>94</v>
      </c>
      <c r="J64" s="10">
        <v>91</v>
      </c>
      <c r="K64" s="10">
        <v>78</v>
      </c>
      <c r="L64" s="25">
        <f t="shared" si="34"/>
        <v>0.8571428571428571</v>
      </c>
      <c r="M64" s="10">
        <v>7</v>
      </c>
      <c r="N64" s="2">
        <v>66</v>
      </c>
      <c r="O64" s="11">
        <v>1</v>
      </c>
      <c r="P64" s="2">
        <f t="shared" si="35"/>
        <v>67</v>
      </c>
      <c r="Q64" s="11">
        <v>6</v>
      </c>
      <c r="R64" s="11">
        <v>62</v>
      </c>
      <c r="S64" s="11">
        <v>6</v>
      </c>
      <c r="T64" s="2">
        <f t="shared" si="36"/>
        <v>5</v>
      </c>
      <c r="U64" s="2">
        <f t="shared" si="37"/>
        <v>0</v>
      </c>
      <c r="V64" s="11">
        <v>75</v>
      </c>
      <c r="W64" s="11">
        <v>20</v>
      </c>
      <c r="X64" s="2">
        <f t="shared" si="38"/>
        <v>95</v>
      </c>
      <c r="Y64" s="18">
        <v>60</v>
      </c>
      <c r="Z64" s="18">
        <v>6</v>
      </c>
      <c r="AA64" s="17">
        <f t="shared" si="39"/>
        <v>2</v>
      </c>
      <c r="AB64" s="17">
        <f t="shared" si="40"/>
        <v>0</v>
      </c>
      <c r="AC64" s="18">
        <v>55</v>
      </c>
      <c r="AD64" s="18">
        <v>6</v>
      </c>
      <c r="AE64" s="17">
        <f t="shared" si="41"/>
        <v>5</v>
      </c>
      <c r="AF64" s="17">
        <f t="shared" si="42"/>
        <v>0</v>
      </c>
      <c r="AG64" s="18">
        <v>96</v>
      </c>
      <c r="AH64" s="18">
        <v>25</v>
      </c>
      <c r="AI64" s="17">
        <f t="shared" si="43"/>
        <v>121</v>
      </c>
      <c r="AJ64" s="16">
        <v>47</v>
      </c>
      <c r="AK64" s="16">
        <v>4</v>
      </c>
      <c r="AL64" s="52">
        <f t="shared" si="44"/>
        <v>8</v>
      </c>
      <c r="AM64" s="52">
        <f t="shared" si="45"/>
        <v>2</v>
      </c>
      <c r="AN64" s="16">
        <v>45</v>
      </c>
      <c r="AO64" s="16">
        <v>4</v>
      </c>
      <c r="AP64" s="52">
        <f t="shared" si="46"/>
        <v>2</v>
      </c>
      <c r="AQ64" s="52">
        <f t="shared" si="47"/>
        <v>0</v>
      </c>
      <c r="AR64" s="16">
        <v>93</v>
      </c>
      <c r="AS64" s="16">
        <v>15</v>
      </c>
      <c r="AT64" s="52">
        <f t="shared" si="48"/>
        <v>108</v>
      </c>
      <c r="AU64" s="12">
        <v>40</v>
      </c>
      <c r="AV64" s="12">
        <v>3</v>
      </c>
      <c r="AW64" s="4">
        <f t="shared" si="49"/>
        <v>5</v>
      </c>
      <c r="AX64" s="4">
        <f t="shared" si="50"/>
        <v>1</v>
      </c>
      <c r="AY64" s="13">
        <f t="shared" si="51"/>
        <v>27</v>
      </c>
      <c r="AZ64" s="13">
        <f t="shared" si="52"/>
        <v>3</v>
      </c>
      <c r="BA64" s="14">
        <f t="shared" si="53"/>
        <v>0.41095890410958902</v>
      </c>
      <c r="BB64" s="14">
        <f t="shared" si="54"/>
        <v>0.13109756097560976</v>
      </c>
      <c r="BC64" s="14">
        <f t="shared" si="55"/>
        <v>9.5011876484560567E-2</v>
      </c>
      <c r="BD64" s="1" t="str">
        <f t="shared" si="56"/>
        <v>Graduado</v>
      </c>
    </row>
    <row r="65" spans="1:57" hidden="1">
      <c r="A65" s="7" t="s">
        <v>67</v>
      </c>
      <c r="B65" s="1" t="s">
        <v>63</v>
      </c>
      <c r="C65" s="21">
        <v>95</v>
      </c>
      <c r="D65" s="1">
        <v>330</v>
      </c>
      <c r="E65" s="1">
        <v>241</v>
      </c>
      <c r="F65" s="1">
        <v>209</v>
      </c>
      <c r="G65" s="1">
        <v>75</v>
      </c>
      <c r="H65" s="24">
        <f t="shared" si="33"/>
        <v>0.35885167464114831</v>
      </c>
      <c r="I65" s="9">
        <v>75</v>
      </c>
      <c r="J65" s="10">
        <v>71</v>
      </c>
      <c r="K65" s="10">
        <v>65</v>
      </c>
      <c r="L65" s="25">
        <f t="shared" si="34"/>
        <v>0.91549295774647887</v>
      </c>
      <c r="M65" s="10">
        <v>11</v>
      </c>
      <c r="N65" s="2">
        <v>53</v>
      </c>
      <c r="O65" s="11">
        <v>8</v>
      </c>
      <c r="P65" s="2">
        <f t="shared" si="35"/>
        <v>61</v>
      </c>
      <c r="Q65" s="11">
        <v>9</v>
      </c>
      <c r="R65" s="11">
        <v>58</v>
      </c>
      <c r="S65" s="11">
        <v>9</v>
      </c>
      <c r="T65" s="2">
        <f t="shared" si="36"/>
        <v>3</v>
      </c>
      <c r="U65" s="2">
        <f t="shared" si="37"/>
        <v>0</v>
      </c>
      <c r="V65" s="11">
        <v>76</v>
      </c>
      <c r="W65" s="11">
        <v>31</v>
      </c>
      <c r="X65" s="2">
        <f t="shared" si="38"/>
        <v>107</v>
      </c>
      <c r="Y65" s="18">
        <v>53</v>
      </c>
      <c r="Z65" s="18">
        <v>9</v>
      </c>
      <c r="AA65" s="17">
        <f t="shared" si="39"/>
        <v>5</v>
      </c>
      <c r="AB65" s="17">
        <f t="shared" si="40"/>
        <v>0</v>
      </c>
      <c r="AC65" s="18">
        <v>52</v>
      </c>
      <c r="AD65" s="18">
        <v>9</v>
      </c>
      <c r="AE65" s="17">
        <f t="shared" si="41"/>
        <v>1</v>
      </c>
      <c r="AF65" s="17">
        <f t="shared" si="42"/>
        <v>0</v>
      </c>
      <c r="AG65" s="18">
        <v>68</v>
      </c>
      <c r="AH65" s="18">
        <v>34</v>
      </c>
      <c r="AI65" s="17">
        <f t="shared" si="43"/>
        <v>102</v>
      </c>
      <c r="AJ65" s="16">
        <v>46</v>
      </c>
      <c r="AK65" s="16">
        <v>9</v>
      </c>
      <c r="AL65" s="52">
        <f t="shared" si="44"/>
        <v>6</v>
      </c>
      <c r="AM65" s="52">
        <f t="shared" si="45"/>
        <v>0</v>
      </c>
      <c r="AN65" s="16">
        <v>44</v>
      </c>
      <c r="AO65" s="16">
        <v>8</v>
      </c>
      <c r="AP65" s="52">
        <f t="shared" si="46"/>
        <v>2</v>
      </c>
      <c r="AQ65" s="52">
        <f t="shared" si="47"/>
        <v>1</v>
      </c>
      <c r="AR65" s="16">
        <v>55</v>
      </c>
      <c r="AS65" s="16">
        <v>21</v>
      </c>
      <c r="AT65" s="52">
        <f t="shared" si="48"/>
        <v>76</v>
      </c>
      <c r="AU65" s="12">
        <v>37</v>
      </c>
      <c r="AV65" s="12">
        <v>8</v>
      </c>
      <c r="AW65" s="4">
        <f t="shared" si="49"/>
        <v>7</v>
      </c>
      <c r="AX65" s="4">
        <f t="shared" si="50"/>
        <v>0</v>
      </c>
      <c r="AY65" s="13">
        <f t="shared" si="51"/>
        <v>24</v>
      </c>
      <c r="AZ65" s="13">
        <f t="shared" si="52"/>
        <v>1</v>
      </c>
      <c r="BA65" s="14">
        <f t="shared" si="53"/>
        <v>0.35714285714285715</v>
      </c>
      <c r="BB65" s="14">
        <f t="shared" si="54"/>
        <v>0.18672199170124482</v>
      </c>
      <c r="BC65" s="14">
        <f t="shared" si="55"/>
        <v>0.11212121212121212</v>
      </c>
      <c r="BD65" s="1" t="str">
        <f t="shared" si="56"/>
        <v>Graduado</v>
      </c>
    </row>
    <row r="66" spans="1:57" hidden="1">
      <c r="A66" s="58" t="s">
        <v>64</v>
      </c>
      <c r="B66" s="59" t="s">
        <v>63</v>
      </c>
      <c r="C66" s="60">
        <v>96</v>
      </c>
      <c r="D66" s="59">
        <v>302</v>
      </c>
      <c r="E66" s="59">
        <v>231</v>
      </c>
      <c r="F66" s="59">
        <v>206</v>
      </c>
      <c r="G66" s="59">
        <v>56</v>
      </c>
      <c r="H66" s="24">
        <f t="shared" si="33"/>
        <v>0.27184466019417475</v>
      </c>
      <c r="I66" s="61">
        <v>61</v>
      </c>
      <c r="J66" s="62">
        <v>57</v>
      </c>
      <c r="K66" s="62">
        <v>53</v>
      </c>
      <c r="L66" s="25">
        <f t="shared" si="34"/>
        <v>0.92982456140350878</v>
      </c>
      <c r="M66" s="62">
        <v>4</v>
      </c>
      <c r="N66" s="64">
        <v>44</v>
      </c>
      <c r="O66" s="64">
        <v>10</v>
      </c>
      <c r="P66" s="63">
        <f t="shared" si="35"/>
        <v>54</v>
      </c>
      <c r="Q66" s="64">
        <v>5</v>
      </c>
      <c r="R66" s="64">
        <v>51</v>
      </c>
      <c r="S66" s="64">
        <v>5</v>
      </c>
      <c r="T66" s="63">
        <f t="shared" si="36"/>
        <v>3</v>
      </c>
      <c r="U66" s="63">
        <f t="shared" si="37"/>
        <v>0</v>
      </c>
      <c r="V66" s="64">
        <v>69</v>
      </c>
      <c r="W66" s="64">
        <v>15</v>
      </c>
      <c r="X66" s="63">
        <f t="shared" si="38"/>
        <v>84</v>
      </c>
      <c r="Y66" s="65">
        <v>43</v>
      </c>
      <c r="Z66" s="65">
        <v>5</v>
      </c>
      <c r="AA66" s="83">
        <f t="shared" si="39"/>
        <v>8</v>
      </c>
      <c r="AB66" s="83">
        <f t="shared" si="40"/>
        <v>0</v>
      </c>
      <c r="AC66" s="65">
        <v>43</v>
      </c>
      <c r="AD66" s="65">
        <v>4</v>
      </c>
      <c r="AE66" s="83">
        <f t="shared" si="41"/>
        <v>0</v>
      </c>
      <c r="AF66" s="83">
        <f t="shared" si="42"/>
        <v>1</v>
      </c>
      <c r="AG66" s="65">
        <v>57</v>
      </c>
      <c r="AH66" s="65">
        <v>19</v>
      </c>
      <c r="AI66" s="83">
        <f t="shared" si="43"/>
        <v>76</v>
      </c>
      <c r="AJ66" s="66">
        <v>39</v>
      </c>
      <c r="AK66" s="66">
        <v>3</v>
      </c>
      <c r="AL66" s="84">
        <f t="shared" si="44"/>
        <v>4</v>
      </c>
      <c r="AM66" s="84">
        <f t="shared" si="45"/>
        <v>1</v>
      </c>
      <c r="AN66" s="66">
        <v>36</v>
      </c>
      <c r="AO66" s="66">
        <v>3</v>
      </c>
      <c r="AP66" s="84">
        <f t="shared" si="46"/>
        <v>3</v>
      </c>
      <c r="AQ66" s="84">
        <f t="shared" si="47"/>
        <v>0</v>
      </c>
      <c r="AR66" s="66">
        <v>63</v>
      </c>
      <c r="AS66" s="66">
        <v>14</v>
      </c>
      <c r="AT66" s="84">
        <f t="shared" si="48"/>
        <v>77</v>
      </c>
      <c r="AU66" s="67">
        <v>36</v>
      </c>
      <c r="AV66" s="67">
        <v>3</v>
      </c>
      <c r="AW66" s="4">
        <f t="shared" si="49"/>
        <v>0</v>
      </c>
      <c r="AX66" s="4">
        <f t="shared" si="50"/>
        <v>0</v>
      </c>
      <c r="AY66" s="13">
        <f t="shared" si="51"/>
        <v>18</v>
      </c>
      <c r="AZ66" s="13">
        <f t="shared" si="52"/>
        <v>2</v>
      </c>
      <c r="BA66" s="14">
        <f t="shared" si="53"/>
        <v>0.33898305084745761</v>
      </c>
      <c r="BB66" s="14">
        <f t="shared" si="54"/>
        <v>0.16883116883116883</v>
      </c>
      <c r="BC66" s="14">
        <f t="shared" si="55"/>
        <v>0.11920529801324503</v>
      </c>
      <c r="BD66" s="1" t="str">
        <f t="shared" si="56"/>
        <v>Graduado</v>
      </c>
    </row>
    <row r="67" spans="1:57" hidden="1">
      <c r="A67" s="7" t="s">
        <v>65</v>
      </c>
      <c r="B67" s="1" t="s">
        <v>63</v>
      </c>
      <c r="C67" s="21">
        <v>97</v>
      </c>
      <c r="D67" s="1">
        <v>324</v>
      </c>
      <c r="E67" s="1">
        <v>302</v>
      </c>
      <c r="F67" s="1">
        <v>276</v>
      </c>
      <c r="G67" s="1">
        <v>115</v>
      </c>
      <c r="H67" s="24">
        <f t="shared" si="33"/>
        <v>0.41666666666666669</v>
      </c>
      <c r="I67" s="9">
        <v>108</v>
      </c>
      <c r="J67" s="10">
        <v>100</v>
      </c>
      <c r="K67" s="10">
        <v>96</v>
      </c>
      <c r="L67" s="25">
        <f t="shared" si="34"/>
        <v>0.96</v>
      </c>
      <c r="M67" s="10">
        <v>13</v>
      </c>
      <c r="N67" s="11">
        <v>65</v>
      </c>
      <c r="O67" s="11">
        <v>5</v>
      </c>
      <c r="P67" s="2">
        <f t="shared" si="35"/>
        <v>70</v>
      </c>
      <c r="Q67" s="11">
        <v>13</v>
      </c>
      <c r="R67" s="11">
        <v>65</v>
      </c>
      <c r="S67" s="11">
        <v>9</v>
      </c>
      <c r="T67" s="2">
        <f t="shared" si="36"/>
        <v>5</v>
      </c>
      <c r="U67" s="2">
        <f t="shared" si="37"/>
        <v>4</v>
      </c>
      <c r="V67" s="11">
        <v>76</v>
      </c>
      <c r="W67" s="11">
        <v>22</v>
      </c>
      <c r="X67" s="2">
        <f t="shared" si="38"/>
        <v>98</v>
      </c>
      <c r="Y67" s="18">
        <v>64</v>
      </c>
      <c r="Z67" s="18">
        <v>9</v>
      </c>
      <c r="AA67" s="17">
        <f t="shared" si="39"/>
        <v>1</v>
      </c>
      <c r="AB67" s="17">
        <f t="shared" si="40"/>
        <v>0</v>
      </c>
      <c r="AC67" s="18">
        <v>60</v>
      </c>
      <c r="AD67" s="18">
        <v>9</v>
      </c>
      <c r="AE67" s="17">
        <f t="shared" si="41"/>
        <v>4</v>
      </c>
      <c r="AF67" s="17">
        <f t="shared" si="42"/>
        <v>0</v>
      </c>
      <c r="AG67" s="18">
        <v>84</v>
      </c>
      <c r="AH67" s="18">
        <v>25</v>
      </c>
      <c r="AI67" s="17">
        <f t="shared" si="43"/>
        <v>109</v>
      </c>
      <c r="AJ67" s="16">
        <v>54</v>
      </c>
      <c r="AK67" s="16">
        <v>9</v>
      </c>
      <c r="AL67" s="52">
        <f t="shared" si="44"/>
        <v>6</v>
      </c>
      <c r="AM67" s="52">
        <f t="shared" si="45"/>
        <v>0</v>
      </c>
      <c r="AN67" s="16">
        <v>48</v>
      </c>
      <c r="AO67" s="16">
        <v>9</v>
      </c>
      <c r="AP67" s="52">
        <f t="shared" si="46"/>
        <v>6</v>
      </c>
      <c r="AQ67" s="52">
        <f t="shared" si="47"/>
        <v>0</v>
      </c>
      <c r="AR67" s="16">
        <v>98</v>
      </c>
      <c r="AS67" s="16">
        <v>37</v>
      </c>
      <c r="AT67" s="52">
        <f t="shared" si="48"/>
        <v>135</v>
      </c>
      <c r="AU67" s="12">
        <v>44</v>
      </c>
      <c r="AV67" s="12">
        <v>9</v>
      </c>
      <c r="AW67" s="4">
        <f t="shared" si="49"/>
        <v>4</v>
      </c>
      <c r="AX67" s="4">
        <f t="shared" si="50"/>
        <v>0</v>
      </c>
      <c r="AY67" s="13">
        <f t="shared" si="51"/>
        <v>26</v>
      </c>
      <c r="AZ67" s="13">
        <f t="shared" si="52"/>
        <v>4</v>
      </c>
      <c r="BA67" s="14">
        <f t="shared" si="53"/>
        <v>0.36144578313253012</v>
      </c>
      <c r="BB67" s="14">
        <f t="shared" si="54"/>
        <v>0.17549668874172186</v>
      </c>
      <c r="BC67" s="14">
        <f t="shared" si="55"/>
        <v>0.13580246913580246</v>
      </c>
      <c r="BD67" s="1" t="str">
        <f t="shared" si="56"/>
        <v>Graduado</v>
      </c>
    </row>
    <row r="68" spans="1:57" hidden="1">
      <c r="A68" s="88" t="s">
        <v>68</v>
      </c>
      <c r="B68" s="89" t="s">
        <v>63</v>
      </c>
      <c r="C68" s="90">
        <v>98</v>
      </c>
      <c r="D68" s="89">
        <v>319</v>
      </c>
      <c r="E68" s="89">
        <v>322</v>
      </c>
      <c r="F68" s="89">
        <v>260</v>
      </c>
      <c r="G68" s="89">
        <v>76</v>
      </c>
      <c r="H68" s="24">
        <f t="shared" si="33"/>
        <v>0.29230769230769232</v>
      </c>
      <c r="I68" s="92">
        <v>87</v>
      </c>
      <c r="J68" s="102">
        <v>85</v>
      </c>
      <c r="K68" s="102">
        <v>79</v>
      </c>
      <c r="L68" s="25">
        <f t="shared" si="34"/>
        <v>0.92941176470588238</v>
      </c>
      <c r="M68" s="102">
        <v>8</v>
      </c>
      <c r="N68" s="94">
        <v>53</v>
      </c>
      <c r="O68" s="103">
        <v>4</v>
      </c>
      <c r="P68" s="94">
        <f t="shared" si="35"/>
        <v>57</v>
      </c>
      <c r="Q68" s="103">
        <v>6</v>
      </c>
      <c r="R68" s="103">
        <v>55</v>
      </c>
      <c r="S68" s="103">
        <v>5</v>
      </c>
      <c r="T68" s="94">
        <f t="shared" si="36"/>
        <v>2</v>
      </c>
      <c r="U68" s="94">
        <f t="shared" si="37"/>
        <v>1</v>
      </c>
      <c r="V68" s="103">
        <v>65</v>
      </c>
      <c r="W68" s="103">
        <v>14</v>
      </c>
      <c r="X68" s="94">
        <f t="shared" si="38"/>
        <v>79</v>
      </c>
      <c r="Y68" s="104">
        <v>50</v>
      </c>
      <c r="Z68" s="104">
        <v>3</v>
      </c>
      <c r="AA68" s="95">
        <f t="shared" si="39"/>
        <v>5</v>
      </c>
      <c r="AB68" s="95">
        <f t="shared" si="40"/>
        <v>2</v>
      </c>
      <c r="AC68" s="104">
        <v>44</v>
      </c>
      <c r="AD68" s="104">
        <v>2</v>
      </c>
      <c r="AE68" s="95">
        <f t="shared" si="41"/>
        <v>6</v>
      </c>
      <c r="AF68" s="95">
        <f t="shared" si="42"/>
        <v>1</v>
      </c>
      <c r="AG68" s="104">
        <v>66</v>
      </c>
      <c r="AH68" s="104">
        <v>9</v>
      </c>
      <c r="AI68" s="95">
        <f t="shared" si="43"/>
        <v>75</v>
      </c>
      <c r="AJ68" s="105">
        <v>40</v>
      </c>
      <c r="AK68" s="105">
        <v>2</v>
      </c>
      <c r="AL68" s="96">
        <f t="shared" si="44"/>
        <v>4</v>
      </c>
      <c r="AM68" s="96">
        <f t="shared" si="45"/>
        <v>0</v>
      </c>
      <c r="AN68" s="105">
        <v>38</v>
      </c>
      <c r="AO68" s="105">
        <v>2</v>
      </c>
      <c r="AP68" s="96">
        <f t="shared" si="46"/>
        <v>2</v>
      </c>
      <c r="AQ68" s="96">
        <f t="shared" si="47"/>
        <v>0</v>
      </c>
      <c r="AR68" s="105">
        <v>34</v>
      </c>
      <c r="AS68" s="105">
        <v>8</v>
      </c>
      <c r="AT68" s="96">
        <f t="shared" si="48"/>
        <v>42</v>
      </c>
      <c r="AU68" s="106">
        <v>30</v>
      </c>
      <c r="AV68" s="106">
        <v>2</v>
      </c>
      <c r="AW68" s="4">
        <f t="shared" si="49"/>
        <v>8</v>
      </c>
      <c r="AX68" s="4">
        <f t="shared" si="50"/>
        <v>0</v>
      </c>
      <c r="AY68" s="13">
        <f t="shared" si="51"/>
        <v>27</v>
      </c>
      <c r="AZ68" s="13">
        <f t="shared" si="52"/>
        <v>4</v>
      </c>
      <c r="BA68" s="14">
        <f t="shared" si="53"/>
        <v>0.49206349206349204</v>
      </c>
      <c r="BB68" s="14">
        <f t="shared" si="54"/>
        <v>9.9378881987577633E-2</v>
      </c>
      <c r="BC68" s="14">
        <f t="shared" si="55"/>
        <v>9.4043887147335428E-2</v>
      </c>
      <c r="BD68" s="1" t="str">
        <f t="shared" si="56"/>
        <v>Graduado</v>
      </c>
    </row>
    <row r="69" spans="1:57" hidden="1">
      <c r="A69" s="7" t="s">
        <v>67</v>
      </c>
      <c r="B69" s="1" t="s">
        <v>63</v>
      </c>
      <c r="C69" s="21">
        <v>99</v>
      </c>
      <c r="D69" s="1">
        <v>322</v>
      </c>
      <c r="E69" s="1">
        <v>186</v>
      </c>
      <c r="F69" s="1">
        <v>130</v>
      </c>
      <c r="G69" s="1">
        <v>46</v>
      </c>
      <c r="H69" s="24">
        <f t="shared" ref="H69:H100" si="57">+G69/F69</f>
        <v>0.35384615384615387</v>
      </c>
      <c r="I69" s="9">
        <v>49</v>
      </c>
      <c r="J69" s="10">
        <v>44</v>
      </c>
      <c r="K69" s="10">
        <v>38</v>
      </c>
      <c r="L69" s="25">
        <f t="shared" si="34"/>
        <v>0.86363636363636365</v>
      </c>
      <c r="M69" s="10">
        <v>4</v>
      </c>
      <c r="N69" s="2">
        <v>29</v>
      </c>
      <c r="O69" s="11">
        <v>14</v>
      </c>
      <c r="P69" s="2">
        <f t="shared" si="35"/>
        <v>43</v>
      </c>
      <c r="Q69" s="11">
        <v>6</v>
      </c>
      <c r="R69" s="11">
        <v>41</v>
      </c>
      <c r="S69" s="11">
        <v>6</v>
      </c>
      <c r="T69" s="2">
        <f t="shared" si="36"/>
        <v>2</v>
      </c>
      <c r="U69" s="2">
        <f t="shared" si="37"/>
        <v>0</v>
      </c>
      <c r="V69" s="11">
        <v>67</v>
      </c>
      <c r="W69" s="11">
        <v>21</v>
      </c>
      <c r="X69" s="2">
        <f t="shared" si="38"/>
        <v>88</v>
      </c>
      <c r="Y69" s="18">
        <v>37</v>
      </c>
      <c r="Z69" s="18">
        <v>6</v>
      </c>
      <c r="AA69" s="17">
        <f t="shared" si="39"/>
        <v>4</v>
      </c>
      <c r="AB69" s="17">
        <f t="shared" si="40"/>
        <v>0</v>
      </c>
      <c r="AC69" s="18">
        <v>31</v>
      </c>
      <c r="AD69" s="18">
        <v>6</v>
      </c>
      <c r="AE69" s="17">
        <f t="shared" si="41"/>
        <v>6</v>
      </c>
      <c r="AF69" s="17">
        <f t="shared" si="42"/>
        <v>0</v>
      </c>
      <c r="AG69" s="18">
        <v>53</v>
      </c>
      <c r="AH69" s="18">
        <v>18</v>
      </c>
      <c r="AI69" s="17">
        <f t="shared" si="43"/>
        <v>71</v>
      </c>
      <c r="AJ69" s="16">
        <v>28</v>
      </c>
      <c r="AK69" s="16">
        <v>4</v>
      </c>
      <c r="AL69" s="52">
        <f t="shared" si="44"/>
        <v>3</v>
      </c>
      <c r="AM69" s="52">
        <f t="shared" si="45"/>
        <v>2</v>
      </c>
      <c r="AN69" s="16">
        <v>28</v>
      </c>
      <c r="AO69" s="16">
        <v>4</v>
      </c>
      <c r="AP69" s="52">
        <f t="shared" si="46"/>
        <v>0</v>
      </c>
      <c r="AQ69" s="52">
        <f t="shared" si="47"/>
        <v>0</v>
      </c>
      <c r="AR69" s="16">
        <v>74</v>
      </c>
      <c r="AS69" s="16">
        <v>20</v>
      </c>
      <c r="AT69" s="52">
        <f t="shared" si="48"/>
        <v>94</v>
      </c>
      <c r="AU69" s="12">
        <v>27</v>
      </c>
      <c r="AV69" s="12">
        <v>4</v>
      </c>
      <c r="AW69" s="4">
        <f t="shared" si="49"/>
        <v>1</v>
      </c>
      <c r="AX69" s="4">
        <f t="shared" si="50"/>
        <v>0</v>
      </c>
      <c r="AY69" s="13">
        <f t="shared" si="51"/>
        <v>16</v>
      </c>
      <c r="AZ69" s="13">
        <f t="shared" si="52"/>
        <v>2</v>
      </c>
      <c r="BA69" s="14">
        <f t="shared" si="53"/>
        <v>0.36734693877551022</v>
      </c>
      <c r="BB69" s="14">
        <f t="shared" si="54"/>
        <v>0.16666666666666666</v>
      </c>
      <c r="BC69" s="14">
        <f t="shared" si="55"/>
        <v>8.3850931677018639E-2</v>
      </c>
      <c r="BD69" s="1" t="str">
        <f t="shared" si="56"/>
        <v>Graduado</v>
      </c>
    </row>
    <row r="70" spans="1:57" hidden="1">
      <c r="A70" s="7" t="s">
        <v>57</v>
      </c>
      <c r="B70" s="1" t="s">
        <v>63</v>
      </c>
      <c r="C70" s="21">
        <v>100</v>
      </c>
      <c r="D70" s="1">
        <v>263</v>
      </c>
      <c r="E70" s="1">
        <v>232</v>
      </c>
      <c r="F70" s="1">
        <v>192</v>
      </c>
      <c r="G70" s="1">
        <v>59</v>
      </c>
      <c r="H70" s="24">
        <f t="shared" si="57"/>
        <v>0.30729166666666669</v>
      </c>
      <c r="I70" s="9">
        <v>69</v>
      </c>
      <c r="J70" s="10">
        <v>67</v>
      </c>
      <c r="K70" s="10">
        <v>64</v>
      </c>
      <c r="L70" s="25">
        <f t="shared" si="34"/>
        <v>0.95522388059701491</v>
      </c>
      <c r="M70" s="10">
        <v>19</v>
      </c>
      <c r="N70" s="11">
        <v>51</v>
      </c>
      <c r="O70" s="11">
        <v>17</v>
      </c>
      <c r="P70" s="2">
        <f t="shared" si="35"/>
        <v>68</v>
      </c>
      <c r="Q70" s="11">
        <v>15</v>
      </c>
      <c r="R70" s="11">
        <v>64</v>
      </c>
      <c r="S70" s="11">
        <v>14</v>
      </c>
      <c r="T70" s="2">
        <f t="shared" si="36"/>
        <v>4</v>
      </c>
      <c r="U70" s="2">
        <f t="shared" si="37"/>
        <v>1</v>
      </c>
      <c r="V70" s="11">
        <v>87</v>
      </c>
      <c r="W70" s="11">
        <v>47</v>
      </c>
      <c r="X70" s="2">
        <f t="shared" si="38"/>
        <v>134</v>
      </c>
      <c r="Y70" s="18">
        <v>57</v>
      </c>
      <c r="Z70" s="18">
        <v>14</v>
      </c>
      <c r="AA70" s="17">
        <f t="shared" si="39"/>
        <v>7</v>
      </c>
      <c r="AB70" s="17">
        <f t="shared" si="40"/>
        <v>0</v>
      </c>
      <c r="AC70" s="18">
        <v>55</v>
      </c>
      <c r="AD70" s="18">
        <v>14</v>
      </c>
      <c r="AE70" s="17">
        <f t="shared" si="41"/>
        <v>2</v>
      </c>
      <c r="AF70" s="17">
        <f t="shared" si="42"/>
        <v>0</v>
      </c>
      <c r="AG70" s="18">
        <v>99</v>
      </c>
      <c r="AH70" s="18">
        <v>51</v>
      </c>
      <c r="AI70" s="17">
        <f t="shared" si="43"/>
        <v>150</v>
      </c>
      <c r="AJ70" s="16">
        <v>52</v>
      </c>
      <c r="AK70" s="16">
        <v>14</v>
      </c>
      <c r="AL70" s="52">
        <f t="shared" si="44"/>
        <v>3</v>
      </c>
      <c r="AM70" s="52">
        <f t="shared" si="45"/>
        <v>0</v>
      </c>
      <c r="AN70" s="16">
        <v>49</v>
      </c>
      <c r="AO70" s="16">
        <v>14</v>
      </c>
      <c r="AP70" s="52">
        <f t="shared" si="46"/>
        <v>3</v>
      </c>
      <c r="AQ70" s="52">
        <f t="shared" si="47"/>
        <v>0</v>
      </c>
      <c r="AR70" s="16">
        <v>107</v>
      </c>
      <c r="AS70" s="16">
        <v>54</v>
      </c>
      <c r="AT70" s="52">
        <f t="shared" si="48"/>
        <v>161</v>
      </c>
      <c r="AU70" s="12">
        <v>47</v>
      </c>
      <c r="AV70" s="12">
        <v>14</v>
      </c>
      <c r="AW70" s="4">
        <f t="shared" si="49"/>
        <v>2</v>
      </c>
      <c r="AX70" s="4">
        <f t="shared" si="50"/>
        <v>0</v>
      </c>
      <c r="AY70" s="13">
        <f t="shared" si="51"/>
        <v>21</v>
      </c>
      <c r="AZ70" s="13">
        <f t="shared" si="52"/>
        <v>1</v>
      </c>
      <c r="BA70" s="14">
        <f t="shared" si="53"/>
        <v>0.26506024096385544</v>
      </c>
      <c r="BB70" s="14">
        <f t="shared" si="54"/>
        <v>0.26293103448275862</v>
      </c>
      <c r="BC70" s="14">
        <f t="shared" si="55"/>
        <v>0.17870722433460076</v>
      </c>
      <c r="BD70" s="1" t="str">
        <f t="shared" si="56"/>
        <v>Graduado</v>
      </c>
    </row>
    <row r="71" spans="1:57" hidden="1">
      <c r="A71" s="7" t="s">
        <v>65</v>
      </c>
      <c r="B71" s="1" t="s">
        <v>63</v>
      </c>
      <c r="C71" s="21">
        <v>101</v>
      </c>
      <c r="D71" s="1">
        <v>271</v>
      </c>
      <c r="E71" s="1">
        <v>208</v>
      </c>
      <c r="F71" s="1">
        <v>186</v>
      </c>
      <c r="G71" s="1">
        <v>50</v>
      </c>
      <c r="H71" s="24">
        <f t="shared" si="57"/>
        <v>0.26881720430107525</v>
      </c>
      <c r="I71" s="9">
        <v>52</v>
      </c>
      <c r="J71" s="10">
        <v>45</v>
      </c>
      <c r="K71" s="10">
        <v>41</v>
      </c>
      <c r="L71" s="25">
        <f t="shared" si="34"/>
        <v>0.91111111111111109</v>
      </c>
      <c r="M71" s="10">
        <v>7</v>
      </c>
      <c r="N71" s="11">
        <v>38</v>
      </c>
      <c r="O71" s="11">
        <v>10</v>
      </c>
      <c r="P71" s="2">
        <f t="shared" si="35"/>
        <v>48</v>
      </c>
      <c r="Q71" s="11">
        <v>3</v>
      </c>
      <c r="R71" s="11">
        <v>42</v>
      </c>
      <c r="S71" s="11">
        <v>3</v>
      </c>
      <c r="T71" s="2">
        <f t="shared" si="36"/>
        <v>6</v>
      </c>
      <c r="U71" s="2">
        <f t="shared" si="37"/>
        <v>0</v>
      </c>
      <c r="V71" s="11">
        <v>58</v>
      </c>
      <c r="W71" s="11">
        <v>11</v>
      </c>
      <c r="X71" s="2">
        <f t="shared" si="38"/>
        <v>69</v>
      </c>
      <c r="Y71" s="18">
        <v>38</v>
      </c>
      <c r="Z71" s="18">
        <v>3</v>
      </c>
      <c r="AA71" s="17">
        <f t="shared" si="39"/>
        <v>4</v>
      </c>
      <c r="AB71" s="17">
        <f t="shared" si="40"/>
        <v>0</v>
      </c>
      <c r="AC71" s="18">
        <v>32</v>
      </c>
      <c r="AD71" s="18">
        <v>3</v>
      </c>
      <c r="AE71" s="17">
        <f t="shared" si="41"/>
        <v>6</v>
      </c>
      <c r="AF71" s="17">
        <f t="shared" si="42"/>
        <v>0</v>
      </c>
      <c r="AG71" s="18">
        <v>55</v>
      </c>
      <c r="AH71" s="18">
        <v>6</v>
      </c>
      <c r="AI71" s="17">
        <f t="shared" si="43"/>
        <v>61</v>
      </c>
      <c r="AJ71" s="16">
        <v>28</v>
      </c>
      <c r="AK71" s="16">
        <v>3</v>
      </c>
      <c r="AL71" s="52">
        <f t="shared" si="44"/>
        <v>4</v>
      </c>
      <c r="AM71" s="52">
        <f t="shared" si="45"/>
        <v>0</v>
      </c>
      <c r="AN71" s="16">
        <v>25</v>
      </c>
      <c r="AO71" s="16">
        <v>3</v>
      </c>
      <c r="AP71" s="52">
        <f t="shared" si="46"/>
        <v>3</v>
      </c>
      <c r="AQ71" s="52">
        <f t="shared" si="47"/>
        <v>0</v>
      </c>
      <c r="AR71" s="16">
        <v>48</v>
      </c>
      <c r="AS71" s="16">
        <v>12</v>
      </c>
      <c r="AT71" s="52">
        <f t="shared" si="48"/>
        <v>60</v>
      </c>
      <c r="AU71" s="12">
        <v>25</v>
      </c>
      <c r="AV71" s="12">
        <v>3</v>
      </c>
      <c r="AW71" s="4">
        <f t="shared" si="49"/>
        <v>0</v>
      </c>
      <c r="AX71" s="4">
        <f t="shared" si="50"/>
        <v>0</v>
      </c>
      <c r="AY71" s="13">
        <f t="shared" si="51"/>
        <v>23</v>
      </c>
      <c r="AZ71" s="13">
        <f t="shared" si="52"/>
        <v>0</v>
      </c>
      <c r="BA71" s="14">
        <f t="shared" si="53"/>
        <v>0.45098039215686275</v>
      </c>
      <c r="BB71" s="14">
        <f t="shared" si="54"/>
        <v>0.13461538461538461</v>
      </c>
      <c r="BC71" s="14">
        <f t="shared" si="55"/>
        <v>9.2250922509225092E-2</v>
      </c>
      <c r="BD71" s="1" t="str">
        <f t="shared" si="56"/>
        <v>Graduado</v>
      </c>
    </row>
    <row r="72" spans="1:57" hidden="1">
      <c r="A72" s="7" t="s">
        <v>68</v>
      </c>
      <c r="B72" s="1" t="s">
        <v>63</v>
      </c>
      <c r="C72" s="21">
        <v>102</v>
      </c>
      <c r="D72" s="1">
        <v>287</v>
      </c>
      <c r="E72" s="1">
        <v>234</v>
      </c>
      <c r="F72" s="1">
        <v>208</v>
      </c>
      <c r="G72" s="1">
        <v>61</v>
      </c>
      <c r="H72" s="24">
        <f t="shared" si="57"/>
        <v>0.29326923076923078</v>
      </c>
      <c r="I72" s="9">
        <v>48</v>
      </c>
      <c r="J72" s="10">
        <v>47</v>
      </c>
      <c r="K72" s="10">
        <v>42</v>
      </c>
      <c r="L72" s="25">
        <f t="shared" si="34"/>
        <v>0.8936170212765957</v>
      </c>
      <c r="M72" s="10">
        <v>5</v>
      </c>
      <c r="N72" s="2">
        <v>31</v>
      </c>
      <c r="O72" s="11">
        <v>4</v>
      </c>
      <c r="P72" s="2">
        <f t="shared" si="35"/>
        <v>35</v>
      </c>
      <c r="Q72" s="11">
        <v>7</v>
      </c>
      <c r="R72" s="11">
        <v>32</v>
      </c>
      <c r="S72" s="11">
        <v>6</v>
      </c>
      <c r="T72" s="2">
        <f t="shared" si="36"/>
        <v>3</v>
      </c>
      <c r="U72" s="2">
        <f t="shared" si="37"/>
        <v>1</v>
      </c>
      <c r="V72" s="11">
        <v>33</v>
      </c>
      <c r="W72" s="11">
        <v>17</v>
      </c>
      <c r="X72" s="2">
        <f t="shared" si="38"/>
        <v>50</v>
      </c>
      <c r="Y72" s="18">
        <v>30</v>
      </c>
      <c r="Z72" s="18">
        <v>5</v>
      </c>
      <c r="AA72" s="17">
        <f t="shared" si="39"/>
        <v>2</v>
      </c>
      <c r="AB72" s="17">
        <f t="shared" si="40"/>
        <v>1</v>
      </c>
      <c r="AC72" s="18">
        <v>27</v>
      </c>
      <c r="AD72" s="18">
        <v>5</v>
      </c>
      <c r="AE72" s="17">
        <f t="shared" si="41"/>
        <v>3</v>
      </c>
      <c r="AF72" s="17">
        <f t="shared" si="42"/>
        <v>0</v>
      </c>
      <c r="AG72" s="18">
        <v>43</v>
      </c>
      <c r="AH72" s="18">
        <v>17</v>
      </c>
      <c r="AI72" s="17">
        <f t="shared" si="43"/>
        <v>60</v>
      </c>
      <c r="AJ72" s="16">
        <v>21</v>
      </c>
      <c r="AK72" s="16">
        <v>4</v>
      </c>
      <c r="AL72" s="52">
        <f t="shared" si="44"/>
        <v>6</v>
      </c>
      <c r="AM72" s="52">
        <f t="shared" si="45"/>
        <v>1</v>
      </c>
      <c r="AN72" s="16">
        <v>20</v>
      </c>
      <c r="AO72" s="16">
        <v>4</v>
      </c>
      <c r="AP72" s="52">
        <f t="shared" si="46"/>
        <v>1</v>
      </c>
      <c r="AQ72" s="52">
        <f t="shared" si="47"/>
        <v>0</v>
      </c>
      <c r="AR72" s="16">
        <v>49</v>
      </c>
      <c r="AS72" s="16">
        <v>20</v>
      </c>
      <c r="AT72" s="52">
        <f t="shared" si="48"/>
        <v>69</v>
      </c>
      <c r="AU72" s="12">
        <v>18</v>
      </c>
      <c r="AV72" s="12">
        <v>4</v>
      </c>
      <c r="AW72" s="4">
        <f t="shared" si="49"/>
        <v>2</v>
      </c>
      <c r="AX72" s="4">
        <f t="shared" si="50"/>
        <v>0</v>
      </c>
      <c r="AY72" s="13">
        <f t="shared" si="51"/>
        <v>17</v>
      </c>
      <c r="AZ72" s="13">
        <f t="shared" si="52"/>
        <v>3</v>
      </c>
      <c r="BA72" s="14">
        <f t="shared" si="53"/>
        <v>0.47619047619047616</v>
      </c>
      <c r="BB72" s="14">
        <f t="shared" si="54"/>
        <v>9.4017094017094016E-2</v>
      </c>
      <c r="BC72" s="14">
        <f t="shared" si="55"/>
        <v>6.2717770034843204E-2</v>
      </c>
      <c r="BD72" s="1" t="str">
        <f t="shared" si="56"/>
        <v>Graduado</v>
      </c>
    </row>
    <row r="73" spans="1:57" hidden="1">
      <c r="A73" s="7" t="s">
        <v>65</v>
      </c>
      <c r="B73" s="1" t="s">
        <v>63</v>
      </c>
      <c r="C73" s="21">
        <v>103</v>
      </c>
      <c r="D73" s="1">
        <v>276</v>
      </c>
      <c r="E73" s="1">
        <v>249</v>
      </c>
      <c r="F73" s="1">
        <v>231</v>
      </c>
      <c r="G73" s="1">
        <v>88</v>
      </c>
      <c r="H73" s="24">
        <f t="shared" si="57"/>
        <v>0.38095238095238093</v>
      </c>
      <c r="I73" s="9">
        <v>89</v>
      </c>
      <c r="J73" s="10">
        <v>79</v>
      </c>
      <c r="K73" s="10">
        <v>69</v>
      </c>
      <c r="L73" s="25">
        <f t="shared" si="34"/>
        <v>0.87341772151898733</v>
      </c>
      <c r="M73" s="10">
        <v>13</v>
      </c>
      <c r="N73" s="2">
        <v>55</v>
      </c>
      <c r="O73" s="11">
        <v>9</v>
      </c>
      <c r="P73" s="2">
        <f t="shared" si="35"/>
        <v>64</v>
      </c>
      <c r="Q73" s="11">
        <v>9</v>
      </c>
      <c r="R73" s="11">
        <v>54</v>
      </c>
      <c r="S73" s="11">
        <v>9</v>
      </c>
      <c r="T73" s="2">
        <f t="shared" si="36"/>
        <v>10</v>
      </c>
      <c r="U73" s="2">
        <f t="shared" si="37"/>
        <v>0</v>
      </c>
      <c r="V73" s="11">
        <v>99</v>
      </c>
      <c r="W73" s="11">
        <v>34</v>
      </c>
      <c r="X73" s="2">
        <f t="shared" si="38"/>
        <v>133</v>
      </c>
      <c r="Y73" s="18">
        <v>48</v>
      </c>
      <c r="Z73" s="18">
        <v>9</v>
      </c>
      <c r="AA73" s="17">
        <f t="shared" si="39"/>
        <v>6</v>
      </c>
      <c r="AB73" s="17">
        <f t="shared" si="40"/>
        <v>0</v>
      </c>
      <c r="AC73" s="18">
        <v>41</v>
      </c>
      <c r="AD73" s="18">
        <v>7</v>
      </c>
      <c r="AE73" s="17">
        <f t="shared" si="41"/>
        <v>7</v>
      </c>
      <c r="AF73" s="17">
        <f t="shared" si="42"/>
        <v>2</v>
      </c>
      <c r="AG73" s="18">
        <v>69</v>
      </c>
      <c r="AH73" s="18">
        <v>27</v>
      </c>
      <c r="AI73" s="17">
        <f t="shared" si="43"/>
        <v>96</v>
      </c>
      <c r="AJ73" s="16">
        <v>37</v>
      </c>
      <c r="AK73" s="16">
        <v>7</v>
      </c>
      <c r="AL73" s="52">
        <f t="shared" si="44"/>
        <v>4</v>
      </c>
      <c r="AM73" s="52">
        <f t="shared" si="45"/>
        <v>0</v>
      </c>
      <c r="AN73" s="16">
        <v>33</v>
      </c>
      <c r="AO73" s="16">
        <v>7</v>
      </c>
      <c r="AP73" s="52">
        <f t="shared" si="46"/>
        <v>4</v>
      </c>
      <c r="AQ73" s="52">
        <f t="shared" si="47"/>
        <v>0</v>
      </c>
      <c r="AR73" s="16">
        <v>103</v>
      </c>
      <c r="AS73" s="16">
        <v>30</v>
      </c>
      <c r="AT73" s="52">
        <f t="shared" si="48"/>
        <v>133</v>
      </c>
      <c r="AU73" s="12">
        <v>33</v>
      </c>
      <c r="AV73" s="12">
        <v>7</v>
      </c>
      <c r="AW73" s="4">
        <f t="shared" si="49"/>
        <v>0</v>
      </c>
      <c r="AX73" s="4">
        <f t="shared" si="50"/>
        <v>0</v>
      </c>
      <c r="AY73" s="13">
        <f t="shared" si="51"/>
        <v>31</v>
      </c>
      <c r="AZ73" s="13">
        <f t="shared" si="52"/>
        <v>2</v>
      </c>
      <c r="BA73" s="14">
        <f t="shared" si="53"/>
        <v>0.45205479452054792</v>
      </c>
      <c r="BB73" s="14">
        <f t="shared" si="54"/>
        <v>0.1606425702811245</v>
      </c>
      <c r="BC73" s="14">
        <f t="shared" si="55"/>
        <v>0.11956521739130435</v>
      </c>
      <c r="BD73" s="1" t="str">
        <f t="shared" si="56"/>
        <v>Graduado</v>
      </c>
    </row>
    <row r="74" spans="1:57" s="57" customFormat="1" hidden="1">
      <c r="A74" s="7" t="s">
        <v>70</v>
      </c>
      <c r="B74" s="1" t="s">
        <v>63</v>
      </c>
      <c r="C74" s="21">
        <v>104</v>
      </c>
      <c r="D74" s="1">
        <v>282</v>
      </c>
      <c r="E74" s="1">
        <v>200</v>
      </c>
      <c r="F74" s="1">
        <v>167</v>
      </c>
      <c r="G74" s="1">
        <f>36+9</f>
        <v>45</v>
      </c>
      <c r="H74" s="24">
        <f t="shared" si="57"/>
        <v>0.26946107784431139</v>
      </c>
      <c r="I74" s="9">
        <v>47</v>
      </c>
      <c r="J74" s="10">
        <v>46</v>
      </c>
      <c r="K74" s="10">
        <v>35</v>
      </c>
      <c r="L74" s="25">
        <f t="shared" si="34"/>
        <v>0.76086956521739135</v>
      </c>
      <c r="M74" s="10">
        <v>10</v>
      </c>
      <c r="N74" s="2">
        <v>18</v>
      </c>
      <c r="O74" s="11">
        <v>5</v>
      </c>
      <c r="P74" s="2">
        <f t="shared" si="35"/>
        <v>23</v>
      </c>
      <c r="Q74" s="11">
        <v>9</v>
      </c>
      <c r="R74" s="11">
        <v>19</v>
      </c>
      <c r="S74" s="11">
        <v>9</v>
      </c>
      <c r="T74" s="2">
        <f t="shared" si="36"/>
        <v>4</v>
      </c>
      <c r="U74" s="2">
        <f t="shared" si="37"/>
        <v>0</v>
      </c>
      <c r="V74" s="11">
        <v>53</v>
      </c>
      <c r="W74" s="11">
        <v>35</v>
      </c>
      <c r="X74" s="2">
        <f t="shared" si="38"/>
        <v>88</v>
      </c>
      <c r="Y74" s="18">
        <v>19</v>
      </c>
      <c r="Z74" s="18">
        <v>9</v>
      </c>
      <c r="AA74" s="17">
        <f t="shared" si="39"/>
        <v>0</v>
      </c>
      <c r="AB74" s="17">
        <f t="shared" si="40"/>
        <v>0</v>
      </c>
      <c r="AC74" s="18">
        <v>19</v>
      </c>
      <c r="AD74" s="18">
        <v>9</v>
      </c>
      <c r="AE74" s="17">
        <f t="shared" si="41"/>
        <v>0</v>
      </c>
      <c r="AF74" s="17">
        <f t="shared" si="42"/>
        <v>0</v>
      </c>
      <c r="AG74" s="18">
        <v>41</v>
      </c>
      <c r="AH74" s="18">
        <v>32</v>
      </c>
      <c r="AI74" s="17">
        <f t="shared" si="43"/>
        <v>73</v>
      </c>
      <c r="AJ74" s="16">
        <v>19</v>
      </c>
      <c r="AK74" s="16">
        <v>9</v>
      </c>
      <c r="AL74" s="52">
        <f t="shared" si="44"/>
        <v>0</v>
      </c>
      <c r="AM74" s="52">
        <f t="shared" si="45"/>
        <v>0</v>
      </c>
      <c r="AN74" s="16">
        <v>19</v>
      </c>
      <c r="AO74" s="16">
        <v>5</v>
      </c>
      <c r="AP74" s="52">
        <f t="shared" si="46"/>
        <v>0</v>
      </c>
      <c r="AQ74" s="52">
        <f t="shared" si="47"/>
        <v>4</v>
      </c>
      <c r="AR74" s="16">
        <v>39</v>
      </c>
      <c r="AS74" s="16">
        <v>26</v>
      </c>
      <c r="AT74" s="52">
        <f t="shared" si="48"/>
        <v>65</v>
      </c>
      <c r="AU74" s="12">
        <v>18</v>
      </c>
      <c r="AV74" s="12">
        <v>5</v>
      </c>
      <c r="AW74" s="4">
        <f t="shared" si="49"/>
        <v>1</v>
      </c>
      <c r="AX74" s="4">
        <f t="shared" si="50"/>
        <v>0</v>
      </c>
      <c r="AY74" s="13">
        <f t="shared" si="51"/>
        <v>5</v>
      </c>
      <c r="AZ74" s="13">
        <f t="shared" si="52"/>
        <v>4</v>
      </c>
      <c r="BA74" s="14">
        <f t="shared" si="53"/>
        <v>0.28125</v>
      </c>
      <c r="BB74" s="14">
        <f t="shared" si="54"/>
        <v>0.115</v>
      </c>
      <c r="BC74" s="14">
        <f t="shared" si="55"/>
        <v>6.3829787234042548E-2</v>
      </c>
      <c r="BD74" s="1" t="str">
        <f t="shared" si="56"/>
        <v>Graduado</v>
      </c>
      <c r="BE74" s="68"/>
    </row>
    <row r="75" spans="1:57" s="57" customFormat="1" hidden="1">
      <c r="A75" s="7" t="s">
        <v>65</v>
      </c>
      <c r="B75" s="1" t="s">
        <v>63</v>
      </c>
      <c r="C75" s="21">
        <v>105</v>
      </c>
      <c r="D75" s="1">
        <v>288</v>
      </c>
      <c r="E75" s="1">
        <v>249</v>
      </c>
      <c r="F75" s="1">
        <v>208</v>
      </c>
      <c r="G75" s="1">
        <f>74+15</f>
        <v>89</v>
      </c>
      <c r="H75" s="24">
        <f t="shared" si="57"/>
        <v>0.42788461538461536</v>
      </c>
      <c r="I75" s="9">
        <v>67</v>
      </c>
      <c r="J75" s="10">
        <v>65</v>
      </c>
      <c r="K75" s="10">
        <v>60</v>
      </c>
      <c r="L75" s="25">
        <f t="shared" si="34"/>
        <v>0.92307692307692313</v>
      </c>
      <c r="M75" s="10">
        <v>18</v>
      </c>
      <c r="N75" s="2">
        <v>51</v>
      </c>
      <c r="O75" s="11">
        <v>3</v>
      </c>
      <c r="P75" s="2">
        <f t="shared" si="35"/>
        <v>54</v>
      </c>
      <c r="Q75" s="11">
        <v>15</v>
      </c>
      <c r="R75" s="11">
        <v>51</v>
      </c>
      <c r="S75" s="11">
        <v>15</v>
      </c>
      <c r="T75" s="2">
        <f t="shared" si="36"/>
        <v>3</v>
      </c>
      <c r="U75" s="2">
        <f t="shared" si="37"/>
        <v>0</v>
      </c>
      <c r="V75" s="11">
        <v>84</v>
      </c>
      <c r="W75" s="11">
        <v>44</v>
      </c>
      <c r="X75" s="2">
        <f t="shared" si="38"/>
        <v>128</v>
      </c>
      <c r="Y75" s="18">
        <v>51</v>
      </c>
      <c r="Z75" s="18">
        <v>11</v>
      </c>
      <c r="AA75" s="17">
        <f t="shared" si="39"/>
        <v>0</v>
      </c>
      <c r="AB75" s="17">
        <f t="shared" si="40"/>
        <v>4</v>
      </c>
      <c r="AC75" s="18">
        <v>48</v>
      </c>
      <c r="AD75" s="18">
        <v>9</v>
      </c>
      <c r="AE75" s="17">
        <f t="shared" si="41"/>
        <v>3</v>
      </c>
      <c r="AF75" s="17">
        <f t="shared" si="42"/>
        <v>2</v>
      </c>
      <c r="AG75" s="18">
        <v>93</v>
      </c>
      <c r="AH75" s="18">
        <v>31</v>
      </c>
      <c r="AI75" s="17">
        <f t="shared" si="43"/>
        <v>124</v>
      </c>
      <c r="AJ75" s="16">
        <v>47</v>
      </c>
      <c r="AK75" s="16">
        <v>8</v>
      </c>
      <c r="AL75" s="52">
        <f t="shared" si="44"/>
        <v>1</v>
      </c>
      <c r="AM75" s="52">
        <f t="shared" si="45"/>
        <v>1</v>
      </c>
      <c r="AN75" s="16">
        <v>45</v>
      </c>
      <c r="AO75" s="16">
        <v>6</v>
      </c>
      <c r="AP75" s="52">
        <f t="shared" si="46"/>
        <v>2</v>
      </c>
      <c r="AQ75" s="52">
        <f t="shared" si="47"/>
        <v>2</v>
      </c>
      <c r="AR75" s="16">
        <v>123</v>
      </c>
      <c r="AS75" s="16">
        <v>26</v>
      </c>
      <c r="AT75" s="52">
        <f t="shared" si="48"/>
        <v>149</v>
      </c>
      <c r="AU75" s="12">
        <v>45</v>
      </c>
      <c r="AV75" s="12">
        <v>6</v>
      </c>
      <c r="AW75" s="4">
        <f t="shared" si="49"/>
        <v>0</v>
      </c>
      <c r="AX75" s="4">
        <f t="shared" si="50"/>
        <v>0</v>
      </c>
      <c r="AY75" s="13">
        <f t="shared" si="51"/>
        <v>9</v>
      </c>
      <c r="AZ75" s="13">
        <f t="shared" si="52"/>
        <v>9</v>
      </c>
      <c r="BA75" s="14">
        <f t="shared" si="53"/>
        <v>0.2608695652173913</v>
      </c>
      <c r="BB75" s="14">
        <f t="shared" si="54"/>
        <v>0.20481927710843373</v>
      </c>
      <c r="BC75" s="14">
        <f t="shared" si="55"/>
        <v>0.15625</v>
      </c>
      <c r="BD75" s="1" t="str">
        <f t="shared" si="56"/>
        <v>Graduado</v>
      </c>
      <c r="BE75" s="68"/>
    </row>
    <row r="76" spans="1:57" hidden="1">
      <c r="A76" s="7" t="s">
        <v>57</v>
      </c>
      <c r="B76" s="1" t="s">
        <v>63</v>
      </c>
      <c r="C76" s="21">
        <v>106</v>
      </c>
      <c r="D76" s="1">
        <v>310</v>
      </c>
      <c r="E76" s="1">
        <v>267</v>
      </c>
      <c r="F76" s="1">
        <v>228</v>
      </c>
      <c r="G76" s="1">
        <v>74</v>
      </c>
      <c r="H76" s="24">
        <f t="shared" si="57"/>
        <v>0.32456140350877194</v>
      </c>
      <c r="I76" s="9">
        <v>61</v>
      </c>
      <c r="J76" s="10">
        <v>59</v>
      </c>
      <c r="K76" s="10">
        <v>53</v>
      </c>
      <c r="L76" s="25">
        <f t="shared" si="34"/>
        <v>0.89830508474576276</v>
      </c>
      <c r="M76" s="10">
        <v>10</v>
      </c>
      <c r="N76" s="2">
        <v>46</v>
      </c>
      <c r="O76" s="11">
        <v>0</v>
      </c>
      <c r="P76" s="2">
        <f t="shared" si="35"/>
        <v>46</v>
      </c>
      <c r="Q76" s="11">
        <v>5</v>
      </c>
      <c r="R76" s="11">
        <v>44</v>
      </c>
      <c r="S76" s="11">
        <v>5</v>
      </c>
      <c r="T76" s="2">
        <f t="shared" si="36"/>
        <v>2</v>
      </c>
      <c r="U76" s="2">
        <f t="shared" si="37"/>
        <v>0</v>
      </c>
      <c r="V76" s="11">
        <v>58</v>
      </c>
      <c r="W76" s="11">
        <v>18</v>
      </c>
      <c r="X76" s="2">
        <f t="shared" si="38"/>
        <v>76</v>
      </c>
      <c r="Y76" s="18">
        <v>40</v>
      </c>
      <c r="Z76" s="18">
        <v>5</v>
      </c>
      <c r="AA76" s="17">
        <f t="shared" si="39"/>
        <v>4</v>
      </c>
      <c r="AB76" s="17">
        <f t="shared" si="40"/>
        <v>0</v>
      </c>
      <c r="AC76" s="18">
        <v>38</v>
      </c>
      <c r="AD76" s="18">
        <v>5</v>
      </c>
      <c r="AE76" s="17">
        <f t="shared" si="41"/>
        <v>2</v>
      </c>
      <c r="AF76" s="17">
        <f t="shared" si="42"/>
        <v>0</v>
      </c>
      <c r="AG76" s="18">
        <v>45</v>
      </c>
      <c r="AH76" s="18">
        <v>14</v>
      </c>
      <c r="AI76" s="17">
        <f t="shared" si="43"/>
        <v>59</v>
      </c>
      <c r="AJ76" s="16">
        <v>40</v>
      </c>
      <c r="AK76" s="16">
        <v>4</v>
      </c>
      <c r="AL76" s="52">
        <f t="shared" si="44"/>
        <v>-2</v>
      </c>
      <c r="AM76" s="52">
        <f t="shared" si="45"/>
        <v>1</v>
      </c>
      <c r="AN76" s="16">
        <v>33</v>
      </c>
      <c r="AO76" s="16">
        <v>3</v>
      </c>
      <c r="AP76" s="52">
        <f t="shared" si="46"/>
        <v>7</v>
      </c>
      <c r="AQ76" s="52">
        <f t="shared" si="47"/>
        <v>1</v>
      </c>
      <c r="AR76" s="16">
        <v>58</v>
      </c>
      <c r="AS76" s="16">
        <v>15</v>
      </c>
      <c r="AT76" s="52">
        <f t="shared" si="48"/>
        <v>73</v>
      </c>
      <c r="AU76" s="12">
        <v>33</v>
      </c>
      <c r="AV76" s="12">
        <v>3</v>
      </c>
      <c r="AW76" s="4">
        <f t="shared" si="49"/>
        <v>0</v>
      </c>
      <c r="AX76" s="4">
        <f t="shared" si="50"/>
        <v>0</v>
      </c>
      <c r="AY76" s="13">
        <f t="shared" si="51"/>
        <v>13</v>
      </c>
      <c r="AZ76" s="13">
        <f t="shared" si="52"/>
        <v>2</v>
      </c>
      <c r="BA76" s="14">
        <f t="shared" si="53"/>
        <v>0.29411764705882354</v>
      </c>
      <c r="BB76" s="14">
        <f t="shared" si="54"/>
        <v>0.1348314606741573</v>
      </c>
      <c r="BC76" s="14">
        <f t="shared" si="55"/>
        <v>0.1064516129032258</v>
      </c>
      <c r="BD76" s="1" t="str">
        <f t="shared" si="56"/>
        <v>Graduado</v>
      </c>
      <c r="BE76" s="68"/>
    </row>
    <row r="77" spans="1:57" hidden="1">
      <c r="A77" s="7" t="s">
        <v>71</v>
      </c>
      <c r="B77" s="1" t="s">
        <v>63</v>
      </c>
      <c r="C77" s="21">
        <v>107</v>
      </c>
      <c r="D77" s="1">
        <v>284</v>
      </c>
      <c r="E77" s="1">
        <v>208</v>
      </c>
      <c r="F77" s="1">
        <v>189</v>
      </c>
      <c r="G77" s="1">
        <v>54</v>
      </c>
      <c r="H77" s="24">
        <f t="shared" si="57"/>
        <v>0.2857142857142857</v>
      </c>
      <c r="I77" s="9">
        <v>67</v>
      </c>
      <c r="J77" s="10">
        <v>63</v>
      </c>
      <c r="K77" s="10">
        <v>57</v>
      </c>
      <c r="L77" s="25">
        <f t="shared" si="34"/>
        <v>0.90476190476190477</v>
      </c>
      <c r="M77" s="10">
        <v>12</v>
      </c>
      <c r="N77" s="2">
        <v>37</v>
      </c>
      <c r="O77" s="11">
        <v>15</v>
      </c>
      <c r="P77" s="2">
        <f t="shared" si="35"/>
        <v>52</v>
      </c>
      <c r="Q77" s="11">
        <v>12</v>
      </c>
      <c r="R77" s="11">
        <v>47</v>
      </c>
      <c r="S77" s="11">
        <v>11</v>
      </c>
      <c r="T77" s="2">
        <f t="shared" si="36"/>
        <v>5</v>
      </c>
      <c r="U77" s="2">
        <f t="shared" si="37"/>
        <v>1</v>
      </c>
      <c r="V77" s="11">
        <v>88</v>
      </c>
      <c r="W77" s="11">
        <v>22</v>
      </c>
      <c r="X77" s="2">
        <f t="shared" si="38"/>
        <v>110</v>
      </c>
      <c r="Y77" s="18">
        <v>43</v>
      </c>
      <c r="Z77" s="18">
        <v>8</v>
      </c>
      <c r="AA77" s="17">
        <f t="shared" si="39"/>
        <v>4</v>
      </c>
      <c r="AB77" s="17">
        <f t="shared" si="40"/>
        <v>3</v>
      </c>
      <c r="AC77" s="18">
        <v>39</v>
      </c>
      <c r="AD77" s="18">
        <v>6</v>
      </c>
      <c r="AE77" s="17">
        <f t="shared" si="41"/>
        <v>4</v>
      </c>
      <c r="AF77" s="17">
        <f t="shared" si="42"/>
        <v>2</v>
      </c>
      <c r="AG77" s="18">
        <v>66</v>
      </c>
      <c r="AH77" s="18">
        <v>22</v>
      </c>
      <c r="AI77" s="17">
        <f t="shared" si="43"/>
        <v>88</v>
      </c>
      <c r="AJ77" s="16">
        <v>33</v>
      </c>
      <c r="AK77" s="16">
        <v>4</v>
      </c>
      <c r="AL77" s="52">
        <f t="shared" si="44"/>
        <v>6</v>
      </c>
      <c r="AM77" s="52">
        <f t="shared" si="45"/>
        <v>2</v>
      </c>
      <c r="AN77" s="16">
        <v>33</v>
      </c>
      <c r="AO77" s="16">
        <v>4</v>
      </c>
      <c r="AP77" s="52">
        <f t="shared" si="46"/>
        <v>0</v>
      </c>
      <c r="AQ77" s="52">
        <f t="shared" si="47"/>
        <v>0</v>
      </c>
      <c r="AR77" s="16">
        <v>95</v>
      </c>
      <c r="AS77" s="16">
        <v>15</v>
      </c>
      <c r="AT77" s="52">
        <f t="shared" si="48"/>
        <v>110</v>
      </c>
      <c r="AU77" s="12">
        <v>33</v>
      </c>
      <c r="AV77" s="12">
        <v>4</v>
      </c>
      <c r="AW77" s="4">
        <f t="shared" si="49"/>
        <v>0</v>
      </c>
      <c r="AX77" s="4">
        <f t="shared" si="50"/>
        <v>0</v>
      </c>
      <c r="AY77" s="13">
        <f t="shared" si="51"/>
        <v>19</v>
      </c>
      <c r="AZ77" s="13">
        <f t="shared" si="52"/>
        <v>8</v>
      </c>
      <c r="BA77" s="14">
        <f t="shared" si="53"/>
        <v>0.421875</v>
      </c>
      <c r="BB77" s="14">
        <f t="shared" si="54"/>
        <v>0.17788461538461539</v>
      </c>
      <c r="BC77" s="14">
        <f t="shared" si="55"/>
        <v>0.11619718309859155</v>
      </c>
      <c r="BD77" s="1" t="str">
        <f t="shared" si="56"/>
        <v>Graduado</v>
      </c>
      <c r="BE77" s="68"/>
    </row>
    <row r="78" spans="1:57" hidden="1">
      <c r="A78" s="7" t="s">
        <v>70</v>
      </c>
      <c r="B78" s="1" t="s">
        <v>63</v>
      </c>
      <c r="C78" s="21">
        <v>108</v>
      </c>
      <c r="D78" s="1">
        <v>218</v>
      </c>
      <c r="E78" s="1">
        <v>223</v>
      </c>
      <c r="F78" s="1">
        <v>189</v>
      </c>
      <c r="G78" s="1">
        <v>58</v>
      </c>
      <c r="H78" s="24">
        <f t="shared" si="57"/>
        <v>0.30687830687830686</v>
      </c>
      <c r="I78" s="9">
        <v>70</v>
      </c>
      <c r="J78" s="10">
        <v>66</v>
      </c>
      <c r="K78" s="10">
        <v>62</v>
      </c>
      <c r="L78" s="25">
        <f t="shared" si="34"/>
        <v>0.93939393939393945</v>
      </c>
      <c r="M78" s="10">
        <v>9</v>
      </c>
      <c r="N78" s="2">
        <v>50</v>
      </c>
      <c r="O78" s="11">
        <v>9</v>
      </c>
      <c r="P78" s="2">
        <f t="shared" si="35"/>
        <v>59</v>
      </c>
      <c r="Q78" s="11">
        <v>6</v>
      </c>
      <c r="R78" s="11">
        <v>53</v>
      </c>
      <c r="S78" s="11">
        <v>6</v>
      </c>
      <c r="T78" s="2">
        <f t="shared" si="36"/>
        <v>6</v>
      </c>
      <c r="U78" s="2">
        <f t="shared" si="37"/>
        <v>0</v>
      </c>
      <c r="V78" s="11">
        <v>79</v>
      </c>
      <c r="W78" s="11">
        <v>10</v>
      </c>
      <c r="X78" s="2">
        <f t="shared" si="38"/>
        <v>89</v>
      </c>
      <c r="Y78" s="18">
        <v>46</v>
      </c>
      <c r="Z78" s="18">
        <v>4</v>
      </c>
      <c r="AA78" s="17">
        <f t="shared" si="39"/>
        <v>7</v>
      </c>
      <c r="AB78" s="17">
        <f t="shared" si="40"/>
        <v>2</v>
      </c>
      <c r="AC78" s="18">
        <v>42</v>
      </c>
      <c r="AD78" s="18">
        <v>3</v>
      </c>
      <c r="AE78" s="17">
        <f t="shared" si="41"/>
        <v>4</v>
      </c>
      <c r="AF78" s="17">
        <f t="shared" si="42"/>
        <v>1</v>
      </c>
      <c r="AG78" s="18">
        <v>87</v>
      </c>
      <c r="AH78" s="18">
        <v>11</v>
      </c>
      <c r="AI78" s="17">
        <f t="shared" si="43"/>
        <v>98</v>
      </c>
      <c r="AJ78" s="16">
        <v>38</v>
      </c>
      <c r="AK78" s="16">
        <v>3</v>
      </c>
      <c r="AL78" s="52">
        <f t="shared" si="44"/>
        <v>4</v>
      </c>
      <c r="AM78" s="52">
        <f t="shared" si="45"/>
        <v>0</v>
      </c>
      <c r="AN78" s="16">
        <v>38</v>
      </c>
      <c r="AO78" s="16">
        <v>3</v>
      </c>
      <c r="AP78" s="52">
        <f t="shared" si="46"/>
        <v>0</v>
      </c>
      <c r="AQ78" s="52">
        <f t="shared" si="47"/>
        <v>0</v>
      </c>
      <c r="AR78" s="16">
        <v>90</v>
      </c>
      <c r="AS78" s="16">
        <v>14</v>
      </c>
      <c r="AT78" s="52">
        <f t="shared" si="48"/>
        <v>104</v>
      </c>
      <c r="AU78" s="12">
        <v>38</v>
      </c>
      <c r="AV78" s="12">
        <v>3</v>
      </c>
      <c r="AW78" s="4">
        <f t="shared" si="49"/>
        <v>0</v>
      </c>
      <c r="AX78" s="4">
        <f t="shared" si="50"/>
        <v>0</v>
      </c>
      <c r="AY78" s="13">
        <f t="shared" si="51"/>
        <v>21</v>
      </c>
      <c r="AZ78" s="13">
        <f t="shared" si="52"/>
        <v>3</v>
      </c>
      <c r="BA78" s="14">
        <f t="shared" si="53"/>
        <v>0.36923076923076925</v>
      </c>
      <c r="BB78" s="14">
        <f t="shared" si="54"/>
        <v>0.18385650224215247</v>
      </c>
      <c r="BC78" s="14">
        <f t="shared" si="55"/>
        <v>0.1743119266055046</v>
      </c>
      <c r="BD78" s="1" t="str">
        <f t="shared" si="56"/>
        <v>Graduado</v>
      </c>
      <c r="BE78" s="68"/>
    </row>
    <row r="79" spans="1:57" hidden="1">
      <c r="A79" s="7" t="s">
        <v>65</v>
      </c>
      <c r="B79" s="1" t="s">
        <v>63</v>
      </c>
      <c r="C79" s="21">
        <v>109</v>
      </c>
      <c r="D79" s="1">
        <v>367</v>
      </c>
      <c r="E79" s="1">
        <v>226</v>
      </c>
      <c r="F79" s="1">
        <v>185</v>
      </c>
      <c r="G79" s="1">
        <v>47</v>
      </c>
      <c r="H79" s="24">
        <f t="shared" si="57"/>
        <v>0.25405405405405407</v>
      </c>
      <c r="I79" s="9">
        <v>39</v>
      </c>
      <c r="J79" s="10">
        <v>37</v>
      </c>
      <c r="K79" s="10">
        <v>36</v>
      </c>
      <c r="L79" s="25">
        <f t="shared" si="34"/>
        <v>0.97297297297297303</v>
      </c>
      <c r="M79" s="10">
        <v>8</v>
      </c>
      <c r="N79" s="2">
        <v>29</v>
      </c>
      <c r="O79" s="11">
        <v>4</v>
      </c>
      <c r="P79" s="2">
        <f t="shared" si="35"/>
        <v>33</v>
      </c>
      <c r="Q79" s="11">
        <v>8</v>
      </c>
      <c r="R79" s="11">
        <v>33</v>
      </c>
      <c r="S79" s="11">
        <v>6</v>
      </c>
      <c r="T79" s="2">
        <f t="shared" si="36"/>
        <v>0</v>
      </c>
      <c r="U79" s="2">
        <f t="shared" si="37"/>
        <v>2</v>
      </c>
      <c r="V79" s="11">
        <v>85</v>
      </c>
      <c r="W79" s="11">
        <v>13</v>
      </c>
      <c r="X79" s="2">
        <f t="shared" si="38"/>
        <v>98</v>
      </c>
      <c r="Y79" s="18">
        <v>30</v>
      </c>
      <c r="Z79" s="18">
        <v>5</v>
      </c>
      <c r="AA79" s="17">
        <f t="shared" si="39"/>
        <v>3</v>
      </c>
      <c r="AB79" s="17">
        <f t="shared" si="40"/>
        <v>1</v>
      </c>
      <c r="AC79" s="18">
        <v>25</v>
      </c>
      <c r="AD79" s="18">
        <v>4</v>
      </c>
      <c r="AE79" s="17">
        <f t="shared" si="41"/>
        <v>5</v>
      </c>
      <c r="AF79" s="17">
        <f t="shared" si="42"/>
        <v>1</v>
      </c>
      <c r="AG79" s="18">
        <v>53</v>
      </c>
      <c r="AH79" s="18">
        <v>14</v>
      </c>
      <c r="AI79" s="17">
        <f t="shared" si="43"/>
        <v>67</v>
      </c>
      <c r="AJ79" s="16">
        <v>23</v>
      </c>
      <c r="AK79" s="16">
        <v>3</v>
      </c>
      <c r="AL79" s="52">
        <f t="shared" si="44"/>
        <v>2</v>
      </c>
      <c r="AM79" s="52">
        <f t="shared" si="45"/>
        <v>1</v>
      </c>
      <c r="AN79" s="16">
        <v>23</v>
      </c>
      <c r="AO79" s="16">
        <v>3</v>
      </c>
      <c r="AP79" s="52">
        <f t="shared" si="46"/>
        <v>0</v>
      </c>
      <c r="AQ79" s="52">
        <f t="shared" si="47"/>
        <v>0</v>
      </c>
      <c r="AR79" s="16">
        <v>37</v>
      </c>
      <c r="AS79" s="16">
        <v>12</v>
      </c>
      <c r="AT79" s="52">
        <f t="shared" si="48"/>
        <v>49</v>
      </c>
      <c r="AU79" s="12">
        <v>23</v>
      </c>
      <c r="AV79" s="12">
        <v>3</v>
      </c>
      <c r="AW79" s="4">
        <f t="shared" si="49"/>
        <v>0</v>
      </c>
      <c r="AX79" s="4">
        <f t="shared" si="50"/>
        <v>0</v>
      </c>
      <c r="AY79" s="13">
        <f t="shared" si="51"/>
        <v>10</v>
      </c>
      <c r="AZ79" s="13">
        <f t="shared" si="52"/>
        <v>5</v>
      </c>
      <c r="BA79" s="14">
        <f t="shared" si="53"/>
        <v>0.36585365853658536</v>
      </c>
      <c r="BB79" s="14">
        <f t="shared" si="54"/>
        <v>0.11504424778761062</v>
      </c>
      <c r="BC79" s="14">
        <f t="shared" si="55"/>
        <v>6.2670299727520432E-2</v>
      </c>
      <c r="BD79" s="1" t="str">
        <f t="shared" si="56"/>
        <v>Graduado</v>
      </c>
      <c r="BE79" s="68"/>
    </row>
    <row r="80" spans="1:57" hidden="1">
      <c r="A80" s="7" t="s">
        <v>57</v>
      </c>
      <c r="B80" s="1" t="s">
        <v>63</v>
      </c>
      <c r="C80" s="21">
        <v>110</v>
      </c>
      <c r="D80" s="1">
        <v>208</v>
      </c>
      <c r="E80" s="1">
        <v>202</v>
      </c>
      <c r="F80" s="1">
        <v>171</v>
      </c>
      <c r="G80" s="1">
        <v>63</v>
      </c>
      <c r="H80" s="24">
        <f t="shared" si="57"/>
        <v>0.36842105263157893</v>
      </c>
      <c r="I80" s="9">
        <v>45</v>
      </c>
      <c r="J80" s="10">
        <v>43</v>
      </c>
      <c r="K80" s="10">
        <v>40</v>
      </c>
      <c r="L80" s="25">
        <f t="shared" si="34"/>
        <v>0.93023255813953487</v>
      </c>
      <c r="M80" s="10">
        <v>6</v>
      </c>
      <c r="N80" s="2">
        <v>33</v>
      </c>
      <c r="O80" s="11">
        <v>4</v>
      </c>
      <c r="P80" s="2">
        <f t="shared" si="35"/>
        <v>37</v>
      </c>
      <c r="Q80" s="11">
        <v>4</v>
      </c>
      <c r="R80" s="11">
        <v>36</v>
      </c>
      <c r="S80" s="11">
        <v>4</v>
      </c>
      <c r="T80" s="2">
        <f t="shared" si="36"/>
        <v>1</v>
      </c>
      <c r="U80" s="2">
        <f t="shared" si="37"/>
        <v>0</v>
      </c>
      <c r="V80" s="11">
        <v>61</v>
      </c>
      <c r="W80" s="11">
        <v>16</v>
      </c>
      <c r="X80" s="2">
        <f t="shared" si="38"/>
        <v>77</v>
      </c>
      <c r="Y80" s="18">
        <v>30</v>
      </c>
      <c r="Z80" s="18">
        <v>4</v>
      </c>
      <c r="AA80" s="17">
        <f t="shared" si="39"/>
        <v>6</v>
      </c>
      <c r="AB80" s="17">
        <f t="shared" si="40"/>
        <v>0</v>
      </c>
      <c r="AC80" s="18">
        <v>25</v>
      </c>
      <c r="AD80" s="18">
        <v>3</v>
      </c>
      <c r="AE80" s="17">
        <f t="shared" si="41"/>
        <v>5</v>
      </c>
      <c r="AF80" s="17">
        <f t="shared" si="42"/>
        <v>1</v>
      </c>
      <c r="AG80" s="18">
        <v>54</v>
      </c>
      <c r="AH80" s="18">
        <v>16</v>
      </c>
      <c r="AI80" s="17">
        <f t="shared" si="43"/>
        <v>70</v>
      </c>
      <c r="AJ80" s="16">
        <v>24</v>
      </c>
      <c r="AK80" s="16">
        <v>2</v>
      </c>
      <c r="AL80" s="52">
        <f t="shared" si="44"/>
        <v>1</v>
      </c>
      <c r="AM80" s="52">
        <f t="shared" si="45"/>
        <v>1</v>
      </c>
      <c r="AN80" s="16">
        <v>24</v>
      </c>
      <c r="AO80" s="16">
        <v>2</v>
      </c>
      <c r="AP80" s="52">
        <f t="shared" si="46"/>
        <v>0</v>
      </c>
      <c r="AQ80" s="52">
        <f t="shared" si="47"/>
        <v>0</v>
      </c>
      <c r="AR80" s="16">
        <v>70</v>
      </c>
      <c r="AS80" s="16">
        <v>10</v>
      </c>
      <c r="AT80" s="52">
        <f t="shared" si="48"/>
        <v>80</v>
      </c>
      <c r="AU80" s="12">
        <v>24</v>
      </c>
      <c r="AV80" s="12">
        <v>2</v>
      </c>
      <c r="AW80" s="4">
        <f t="shared" si="49"/>
        <v>0</v>
      </c>
      <c r="AX80" s="4">
        <f t="shared" si="50"/>
        <v>0</v>
      </c>
      <c r="AY80" s="13">
        <f t="shared" si="51"/>
        <v>13</v>
      </c>
      <c r="AZ80" s="13">
        <f t="shared" si="52"/>
        <v>2</v>
      </c>
      <c r="BA80" s="14">
        <f t="shared" si="53"/>
        <v>0.36585365853658536</v>
      </c>
      <c r="BB80" s="14">
        <f t="shared" si="54"/>
        <v>0.12871287128712872</v>
      </c>
      <c r="BC80" s="14">
        <f t="shared" si="55"/>
        <v>0.11538461538461539</v>
      </c>
      <c r="BD80" s="1" t="str">
        <f t="shared" si="56"/>
        <v>Graduado</v>
      </c>
      <c r="BE80" s="68"/>
    </row>
    <row r="81" spans="1:57" hidden="1">
      <c r="A81" s="7" t="s">
        <v>71</v>
      </c>
      <c r="B81" s="1" t="s">
        <v>63</v>
      </c>
      <c r="C81" s="21">
        <v>111</v>
      </c>
      <c r="D81" s="1">
        <v>335</v>
      </c>
      <c r="E81" s="1">
        <v>254</v>
      </c>
      <c r="F81" s="1">
        <v>220</v>
      </c>
      <c r="G81" s="1">
        <v>63</v>
      </c>
      <c r="H81" s="24">
        <f t="shared" si="57"/>
        <v>0.28636363636363638</v>
      </c>
      <c r="I81" s="9">
        <v>69</v>
      </c>
      <c r="J81" s="10">
        <v>68</v>
      </c>
      <c r="K81" s="10">
        <v>61</v>
      </c>
      <c r="L81" s="25">
        <f t="shared" si="34"/>
        <v>0.8970588235294118</v>
      </c>
      <c r="M81" s="10">
        <v>7</v>
      </c>
      <c r="N81" s="2">
        <v>42</v>
      </c>
      <c r="O81" s="11">
        <v>1</v>
      </c>
      <c r="P81" s="2">
        <f t="shared" si="35"/>
        <v>43</v>
      </c>
      <c r="Q81" s="11">
        <v>7</v>
      </c>
      <c r="R81" s="11">
        <v>40</v>
      </c>
      <c r="S81" s="11">
        <v>6</v>
      </c>
      <c r="T81" s="2">
        <f t="shared" si="36"/>
        <v>3</v>
      </c>
      <c r="U81" s="2">
        <f t="shared" si="37"/>
        <v>1</v>
      </c>
      <c r="V81" s="11">
        <v>57</v>
      </c>
      <c r="W81" s="11">
        <v>22</v>
      </c>
      <c r="X81" s="2">
        <f t="shared" si="38"/>
        <v>79</v>
      </c>
      <c r="Y81" s="18">
        <v>32</v>
      </c>
      <c r="Z81" s="18">
        <v>6</v>
      </c>
      <c r="AA81" s="17">
        <f t="shared" si="39"/>
        <v>8</v>
      </c>
      <c r="AB81" s="17">
        <f t="shared" si="40"/>
        <v>0</v>
      </c>
      <c r="AC81" s="18">
        <v>28</v>
      </c>
      <c r="AD81" s="18">
        <v>5</v>
      </c>
      <c r="AE81" s="17">
        <f t="shared" si="41"/>
        <v>4</v>
      </c>
      <c r="AF81" s="17">
        <f t="shared" si="42"/>
        <v>1</v>
      </c>
      <c r="AG81" s="18">
        <v>39</v>
      </c>
      <c r="AH81" s="18">
        <v>18</v>
      </c>
      <c r="AI81" s="17">
        <f t="shared" si="43"/>
        <v>57</v>
      </c>
      <c r="AJ81" s="16">
        <v>25</v>
      </c>
      <c r="AK81" s="16">
        <v>5</v>
      </c>
      <c r="AL81" s="52">
        <f t="shared" si="44"/>
        <v>3</v>
      </c>
      <c r="AM81" s="52">
        <f t="shared" si="45"/>
        <v>0</v>
      </c>
      <c r="AN81" s="16">
        <v>25</v>
      </c>
      <c r="AO81" s="16">
        <v>5</v>
      </c>
      <c r="AP81" s="52">
        <f t="shared" si="46"/>
        <v>0</v>
      </c>
      <c r="AQ81" s="52">
        <f t="shared" si="47"/>
        <v>0</v>
      </c>
      <c r="AR81" s="16">
        <v>79</v>
      </c>
      <c r="AS81" s="16">
        <v>24</v>
      </c>
      <c r="AT81" s="52">
        <f t="shared" si="48"/>
        <v>103</v>
      </c>
      <c r="AU81" s="12">
        <v>25</v>
      </c>
      <c r="AV81" s="12">
        <v>5</v>
      </c>
      <c r="AW81" s="4">
        <f t="shared" si="49"/>
        <v>0</v>
      </c>
      <c r="AX81" s="4">
        <f t="shared" si="50"/>
        <v>0</v>
      </c>
      <c r="AY81" s="13">
        <f t="shared" si="51"/>
        <v>18</v>
      </c>
      <c r="AZ81" s="13">
        <f t="shared" si="52"/>
        <v>2</v>
      </c>
      <c r="BA81" s="14">
        <f t="shared" si="53"/>
        <v>0.4</v>
      </c>
      <c r="BB81" s="14">
        <f t="shared" si="54"/>
        <v>0.11811023622047244</v>
      </c>
      <c r="BC81" s="14">
        <f t="shared" si="55"/>
        <v>7.4626865671641784E-2</v>
      </c>
      <c r="BD81" s="1" t="str">
        <f t="shared" si="56"/>
        <v>Graduado</v>
      </c>
      <c r="BE81" s="68"/>
    </row>
    <row r="82" spans="1:57" hidden="1">
      <c r="A82" s="7" t="s">
        <v>70</v>
      </c>
      <c r="B82" s="1" t="s">
        <v>63</v>
      </c>
      <c r="C82" s="21">
        <v>112</v>
      </c>
      <c r="D82" s="1">
        <v>249</v>
      </c>
      <c r="E82" s="1">
        <v>240</v>
      </c>
      <c r="F82" s="1">
        <v>182</v>
      </c>
      <c r="G82" s="1">
        <v>54</v>
      </c>
      <c r="H82" s="24">
        <f t="shared" si="57"/>
        <v>0.2967032967032967</v>
      </c>
      <c r="I82" s="9">
        <v>33</v>
      </c>
      <c r="J82" s="10">
        <v>31</v>
      </c>
      <c r="K82" s="10">
        <v>28</v>
      </c>
      <c r="L82" s="25">
        <f t="shared" si="34"/>
        <v>0.90322580645161288</v>
      </c>
      <c r="M82" s="10">
        <v>3</v>
      </c>
      <c r="N82" s="2">
        <v>22</v>
      </c>
      <c r="O82" s="11">
        <v>13</v>
      </c>
      <c r="P82" s="2">
        <f t="shared" si="35"/>
        <v>35</v>
      </c>
      <c r="Q82" s="11">
        <v>4</v>
      </c>
      <c r="R82" s="11">
        <v>31</v>
      </c>
      <c r="S82" s="11">
        <v>4</v>
      </c>
      <c r="T82" s="2">
        <f t="shared" si="36"/>
        <v>4</v>
      </c>
      <c r="U82" s="2">
        <f t="shared" si="37"/>
        <v>0</v>
      </c>
      <c r="V82" s="11">
        <v>45</v>
      </c>
      <c r="W82" s="11">
        <v>15</v>
      </c>
      <c r="X82" s="2">
        <f t="shared" si="38"/>
        <v>60</v>
      </c>
      <c r="Y82" s="18">
        <v>28</v>
      </c>
      <c r="Z82" s="18">
        <v>4</v>
      </c>
      <c r="AA82" s="17">
        <f t="shared" si="39"/>
        <v>3</v>
      </c>
      <c r="AB82" s="17">
        <f t="shared" si="40"/>
        <v>0</v>
      </c>
      <c r="AC82" s="18">
        <v>25</v>
      </c>
      <c r="AD82" s="18">
        <v>4</v>
      </c>
      <c r="AE82" s="17">
        <f t="shared" si="41"/>
        <v>3</v>
      </c>
      <c r="AF82" s="17">
        <f t="shared" si="42"/>
        <v>0</v>
      </c>
      <c r="AG82" s="18">
        <v>35</v>
      </c>
      <c r="AH82" s="18">
        <v>18</v>
      </c>
      <c r="AI82" s="17">
        <f t="shared" si="43"/>
        <v>53</v>
      </c>
      <c r="AJ82" s="16">
        <v>21</v>
      </c>
      <c r="AK82" s="16">
        <v>3</v>
      </c>
      <c r="AL82" s="52">
        <f t="shared" si="44"/>
        <v>4</v>
      </c>
      <c r="AM82" s="52">
        <f t="shared" si="45"/>
        <v>1</v>
      </c>
      <c r="AN82" s="16">
        <v>20</v>
      </c>
      <c r="AO82" s="16">
        <v>3</v>
      </c>
      <c r="AP82" s="52">
        <f t="shared" si="46"/>
        <v>1</v>
      </c>
      <c r="AQ82" s="52">
        <f t="shared" si="47"/>
        <v>0</v>
      </c>
      <c r="AR82" s="16">
        <v>53</v>
      </c>
      <c r="AS82" s="16">
        <v>15</v>
      </c>
      <c r="AT82" s="52">
        <f t="shared" si="48"/>
        <v>68</v>
      </c>
      <c r="AU82" s="12">
        <v>20</v>
      </c>
      <c r="AV82" s="12">
        <v>3</v>
      </c>
      <c r="AW82" s="4">
        <f t="shared" si="49"/>
        <v>0</v>
      </c>
      <c r="AX82" s="4">
        <f t="shared" si="50"/>
        <v>0</v>
      </c>
      <c r="AY82" s="13">
        <f t="shared" si="51"/>
        <v>15</v>
      </c>
      <c r="AZ82" s="13">
        <f t="shared" si="52"/>
        <v>1</v>
      </c>
      <c r="BA82" s="14">
        <f t="shared" si="53"/>
        <v>0.41025641025641024</v>
      </c>
      <c r="BB82" s="14">
        <f t="shared" si="54"/>
        <v>9.583333333333334E-2</v>
      </c>
      <c r="BC82" s="14">
        <f t="shared" si="55"/>
        <v>8.0321285140562249E-2</v>
      </c>
      <c r="BD82" s="1" t="str">
        <f t="shared" si="56"/>
        <v>Graduado</v>
      </c>
      <c r="BE82" s="68"/>
    </row>
    <row r="83" spans="1:57" hidden="1">
      <c r="A83" s="7" t="s">
        <v>65</v>
      </c>
      <c r="B83" s="1" t="s">
        <v>63</v>
      </c>
      <c r="C83" s="21">
        <v>113</v>
      </c>
      <c r="D83" s="1">
        <v>256</v>
      </c>
      <c r="E83" s="1">
        <v>218</v>
      </c>
      <c r="F83" s="1">
        <v>182</v>
      </c>
      <c r="G83" s="1">
        <v>78</v>
      </c>
      <c r="H83" s="24">
        <f t="shared" si="57"/>
        <v>0.42857142857142855</v>
      </c>
      <c r="I83" s="9">
        <v>80</v>
      </c>
      <c r="J83" s="10">
        <v>75</v>
      </c>
      <c r="K83" s="10">
        <v>72</v>
      </c>
      <c r="L83" s="25">
        <f t="shared" si="34"/>
        <v>0.96</v>
      </c>
      <c r="M83" s="10">
        <v>11</v>
      </c>
      <c r="N83" s="2">
        <v>58</v>
      </c>
      <c r="O83" s="11">
        <v>7</v>
      </c>
      <c r="P83" s="2">
        <f t="shared" si="35"/>
        <v>65</v>
      </c>
      <c r="Q83" s="11">
        <v>9</v>
      </c>
      <c r="R83" s="11">
        <v>61</v>
      </c>
      <c r="S83" s="11">
        <v>9</v>
      </c>
      <c r="T83" s="2">
        <f t="shared" si="36"/>
        <v>4</v>
      </c>
      <c r="U83" s="2">
        <f t="shared" si="37"/>
        <v>0</v>
      </c>
      <c r="V83" s="11">
        <v>86</v>
      </c>
      <c r="W83" s="11">
        <v>24</v>
      </c>
      <c r="X83" s="2">
        <f t="shared" si="38"/>
        <v>110</v>
      </c>
      <c r="Y83" s="18">
        <v>54</v>
      </c>
      <c r="Z83" s="18">
        <v>8</v>
      </c>
      <c r="AA83" s="17">
        <f t="shared" si="39"/>
        <v>7</v>
      </c>
      <c r="AB83" s="17">
        <f t="shared" si="40"/>
        <v>1</v>
      </c>
      <c r="AC83" s="18">
        <v>48</v>
      </c>
      <c r="AD83" s="18">
        <v>7</v>
      </c>
      <c r="AE83" s="17">
        <f t="shared" si="41"/>
        <v>6</v>
      </c>
      <c r="AF83" s="17">
        <f t="shared" si="42"/>
        <v>1</v>
      </c>
      <c r="AG83" s="18">
        <v>83</v>
      </c>
      <c r="AH83" s="18">
        <v>32</v>
      </c>
      <c r="AI83" s="17">
        <f t="shared" si="43"/>
        <v>115</v>
      </c>
      <c r="AJ83" s="16">
        <v>44</v>
      </c>
      <c r="AK83" s="16">
        <v>7</v>
      </c>
      <c r="AL83" s="52">
        <f t="shared" si="44"/>
        <v>4</v>
      </c>
      <c r="AM83" s="52">
        <f t="shared" si="45"/>
        <v>0</v>
      </c>
      <c r="AN83" s="16">
        <v>43</v>
      </c>
      <c r="AO83" s="16">
        <v>7</v>
      </c>
      <c r="AP83" s="52">
        <f t="shared" si="46"/>
        <v>1</v>
      </c>
      <c r="AQ83" s="52">
        <f t="shared" si="47"/>
        <v>0</v>
      </c>
      <c r="AR83" s="16">
        <v>126</v>
      </c>
      <c r="AS83" s="16">
        <v>32</v>
      </c>
      <c r="AT83" s="52">
        <f t="shared" si="48"/>
        <v>158</v>
      </c>
      <c r="AU83" s="12">
        <v>43</v>
      </c>
      <c r="AV83" s="12">
        <v>7</v>
      </c>
      <c r="AW83" s="4">
        <f t="shared" si="49"/>
        <v>0</v>
      </c>
      <c r="AX83" s="4">
        <f t="shared" si="50"/>
        <v>0</v>
      </c>
      <c r="AY83" s="13">
        <f t="shared" si="51"/>
        <v>22</v>
      </c>
      <c r="AZ83" s="13">
        <f t="shared" si="52"/>
        <v>2</v>
      </c>
      <c r="BA83" s="14">
        <f t="shared" si="53"/>
        <v>0.32432432432432434</v>
      </c>
      <c r="BB83" s="14">
        <f t="shared" si="54"/>
        <v>0.22935779816513763</v>
      </c>
      <c r="BC83" s="14">
        <f t="shared" si="55"/>
        <v>0.16796875</v>
      </c>
      <c r="BD83" s="1" t="str">
        <f t="shared" si="56"/>
        <v>Graduado</v>
      </c>
      <c r="BE83" s="68"/>
    </row>
    <row r="84" spans="1:57" hidden="1">
      <c r="A84" s="7" t="s">
        <v>57</v>
      </c>
      <c r="B84" s="1" t="s">
        <v>63</v>
      </c>
      <c r="C84" s="21">
        <v>114</v>
      </c>
      <c r="D84" s="1">
        <v>235</v>
      </c>
      <c r="E84" s="1">
        <v>205</v>
      </c>
      <c r="F84" s="1">
        <v>184</v>
      </c>
      <c r="G84" s="1">
        <v>76</v>
      </c>
      <c r="H84" s="24">
        <f t="shared" si="57"/>
        <v>0.41304347826086957</v>
      </c>
      <c r="I84" s="9">
        <v>74</v>
      </c>
      <c r="J84" s="10">
        <v>68</v>
      </c>
      <c r="K84" s="10">
        <v>49</v>
      </c>
      <c r="L84" s="25">
        <f t="shared" si="34"/>
        <v>0.72058823529411764</v>
      </c>
      <c r="M84" s="10">
        <v>9</v>
      </c>
      <c r="N84" s="2">
        <v>31</v>
      </c>
      <c r="O84" s="11">
        <v>5</v>
      </c>
      <c r="P84" s="2">
        <f t="shared" si="35"/>
        <v>36</v>
      </c>
      <c r="Q84" s="11">
        <v>6</v>
      </c>
      <c r="R84" s="11">
        <v>34</v>
      </c>
      <c r="S84" s="11">
        <v>5</v>
      </c>
      <c r="T84" s="2">
        <f t="shared" si="36"/>
        <v>2</v>
      </c>
      <c r="U84" s="2">
        <f t="shared" si="37"/>
        <v>1</v>
      </c>
      <c r="V84" s="11">
        <v>31</v>
      </c>
      <c r="W84" s="11">
        <v>20</v>
      </c>
      <c r="X84" s="2">
        <f t="shared" si="38"/>
        <v>51</v>
      </c>
      <c r="Y84" s="18">
        <v>31</v>
      </c>
      <c r="Z84" s="18">
        <v>4</v>
      </c>
      <c r="AA84" s="17">
        <f t="shared" si="39"/>
        <v>3</v>
      </c>
      <c r="AB84" s="17">
        <f t="shared" si="40"/>
        <v>1</v>
      </c>
      <c r="AC84" s="18">
        <v>31</v>
      </c>
      <c r="AD84" s="18">
        <v>3</v>
      </c>
      <c r="AE84" s="17">
        <f t="shared" si="41"/>
        <v>0</v>
      </c>
      <c r="AF84" s="17">
        <f t="shared" si="42"/>
        <v>1</v>
      </c>
      <c r="AG84" s="18">
        <v>52</v>
      </c>
      <c r="AH84" s="18">
        <v>10</v>
      </c>
      <c r="AI84" s="17">
        <f t="shared" si="43"/>
        <v>62</v>
      </c>
      <c r="AJ84" s="16"/>
      <c r="AK84" s="16"/>
      <c r="AL84" s="52">
        <f t="shared" si="44"/>
        <v>31</v>
      </c>
      <c r="AM84" s="52">
        <f t="shared" si="45"/>
        <v>3</v>
      </c>
      <c r="AN84" s="16"/>
      <c r="AO84" s="16"/>
      <c r="AP84" s="52">
        <f t="shared" si="46"/>
        <v>0</v>
      </c>
      <c r="AQ84" s="52">
        <f t="shared" si="47"/>
        <v>0</v>
      </c>
      <c r="AR84" s="16"/>
      <c r="AS84" s="16"/>
      <c r="AT84" s="52">
        <f t="shared" si="48"/>
        <v>0</v>
      </c>
      <c r="AU84" s="12"/>
      <c r="AV84" s="12"/>
      <c r="AW84" s="4">
        <f t="shared" si="49"/>
        <v>0</v>
      </c>
      <c r="AX84" s="4">
        <f t="shared" si="50"/>
        <v>0</v>
      </c>
      <c r="AY84" s="13">
        <f t="shared" si="51"/>
        <v>36</v>
      </c>
      <c r="AZ84" s="13">
        <f t="shared" si="52"/>
        <v>6</v>
      </c>
      <c r="BA84" s="14">
        <f t="shared" si="53"/>
        <v>1</v>
      </c>
      <c r="BB84" s="14">
        <f t="shared" si="54"/>
        <v>0</v>
      </c>
      <c r="BC84" s="14">
        <f t="shared" si="55"/>
        <v>0</v>
      </c>
      <c r="BD84" s="1" t="str">
        <f t="shared" si="56"/>
        <v>En Proceso</v>
      </c>
      <c r="BE84" s="68"/>
    </row>
    <row r="85" spans="1:57" hidden="1">
      <c r="A85" s="7" t="s">
        <v>71</v>
      </c>
      <c r="B85" s="1" t="s">
        <v>63</v>
      </c>
      <c r="C85" s="21">
        <v>115</v>
      </c>
      <c r="D85" s="1">
        <v>216</v>
      </c>
      <c r="E85" s="1">
        <v>188</v>
      </c>
      <c r="F85" s="1">
        <v>160</v>
      </c>
      <c r="G85" s="1">
        <v>56</v>
      </c>
      <c r="H85" s="24">
        <f t="shared" si="57"/>
        <v>0.35</v>
      </c>
      <c r="I85" s="9">
        <v>50</v>
      </c>
      <c r="J85" s="10">
        <v>47</v>
      </c>
      <c r="K85" s="10">
        <v>47</v>
      </c>
      <c r="L85" s="25">
        <f t="shared" si="34"/>
        <v>1</v>
      </c>
      <c r="M85" s="10">
        <v>9</v>
      </c>
      <c r="N85" s="2">
        <v>41</v>
      </c>
      <c r="O85" s="11">
        <v>10</v>
      </c>
      <c r="P85" s="2">
        <f t="shared" si="35"/>
        <v>51</v>
      </c>
      <c r="Q85" s="11">
        <v>9</v>
      </c>
      <c r="R85" s="11">
        <v>49</v>
      </c>
      <c r="S85" s="11">
        <v>8</v>
      </c>
      <c r="T85" s="2">
        <f t="shared" si="36"/>
        <v>2</v>
      </c>
      <c r="U85" s="2">
        <f t="shared" si="37"/>
        <v>1</v>
      </c>
      <c r="V85" s="11">
        <v>80</v>
      </c>
      <c r="W85" s="11">
        <v>24</v>
      </c>
      <c r="X85" s="2">
        <f t="shared" si="38"/>
        <v>104</v>
      </c>
      <c r="Y85" s="18">
        <v>41</v>
      </c>
      <c r="Z85" s="18">
        <v>7</v>
      </c>
      <c r="AA85" s="17">
        <f t="shared" si="39"/>
        <v>8</v>
      </c>
      <c r="AB85" s="17">
        <f t="shared" si="40"/>
        <v>1</v>
      </c>
      <c r="AC85" s="18">
        <v>41</v>
      </c>
      <c r="AD85" s="18">
        <v>5</v>
      </c>
      <c r="AE85" s="17">
        <f t="shared" si="41"/>
        <v>0</v>
      </c>
      <c r="AF85" s="17">
        <f t="shared" si="42"/>
        <v>2</v>
      </c>
      <c r="AG85" s="18">
        <v>82</v>
      </c>
      <c r="AH85" s="18">
        <v>15</v>
      </c>
      <c r="AI85" s="17">
        <f t="shared" si="43"/>
        <v>97</v>
      </c>
      <c r="AJ85" s="16"/>
      <c r="AK85" s="16"/>
      <c r="AL85" s="52">
        <f t="shared" si="44"/>
        <v>41</v>
      </c>
      <c r="AM85" s="52">
        <f t="shared" si="45"/>
        <v>5</v>
      </c>
      <c r="AN85" s="16"/>
      <c r="AO85" s="16"/>
      <c r="AP85" s="52">
        <f t="shared" si="46"/>
        <v>0</v>
      </c>
      <c r="AQ85" s="52">
        <f t="shared" si="47"/>
        <v>0</v>
      </c>
      <c r="AR85" s="16"/>
      <c r="AS85" s="16"/>
      <c r="AT85" s="52">
        <f t="shared" si="48"/>
        <v>0</v>
      </c>
      <c r="AU85" s="12"/>
      <c r="AV85" s="12"/>
      <c r="AW85" s="4">
        <f t="shared" si="49"/>
        <v>0</v>
      </c>
      <c r="AX85" s="4">
        <f t="shared" si="50"/>
        <v>0</v>
      </c>
      <c r="AY85" s="13">
        <f t="shared" si="51"/>
        <v>51</v>
      </c>
      <c r="AZ85" s="13">
        <f t="shared" si="52"/>
        <v>9</v>
      </c>
      <c r="BA85" s="14">
        <f t="shared" si="53"/>
        <v>1</v>
      </c>
      <c r="BB85" s="14">
        <f t="shared" si="54"/>
        <v>0</v>
      </c>
      <c r="BC85" s="14">
        <f t="shared" si="55"/>
        <v>0</v>
      </c>
      <c r="BD85" s="1" t="str">
        <f t="shared" si="56"/>
        <v>En Proceso</v>
      </c>
      <c r="BE85" s="68"/>
    </row>
    <row r="86" spans="1:57" hidden="1">
      <c r="A86" s="7" t="s">
        <v>70</v>
      </c>
      <c r="B86" s="1" t="s">
        <v>63</v>
      </c>
      <c r="C86" s="21">
        <v>116</v>
      </c>
      <c r="D86" s="1">
        <v>184</v>
      </c>
      <c r="E86" s="1">
        <v>167</v>
      </c>
      <c r="F86" s="1">
        <v>141</v>
      </c>
      <c r="G86" s="1">
        <v>45</v>
      </c>
      <c r="H86" s="24">
        <f t="shared" si="57"/>
        <v>0.31914893617021278</v>
      </c>
      <c r="I86" s="9">
        <v>41</v>
      </c>
      <c r="J86" s="10">
        <v>40</v>
      </c>
      <c r="K86" s="10">
        <v>34</v>
      </c>
      <c r="L86" s="25">
        <f t="shared" si="34"/>
        <v>0.85</v>
      </c>
      <c r="M86" s="10">
        <v>5</v>
      </c>
      <c r="N86" s="2">
        <v>28</v>
      </c>
      <c r="O86" s="11">
        <v>5</v>
      </c>
      <c r="P86" s="2">
        <f t="shared" si="35"/>
        <v>33</v>
      </c>
      <c r="Q86" s="11">
        <v>3</v>
      </c>
      <c r="R86" s="11">
        <v>30</v>
      </c>
      <c r="S86" s="11">
        <v>2</v>
      </c>
      <c r="T86" s="2">
        <f t="shared" si="36"/>
        <v>3</v>
      </c>
      <c r="U86" s="2">
        <f t="shared" si="37"/>
        <v>1</v>
      </c>
      <c r="V86" s="11">
        <v>38</v>
      </c>
      <c r="W86" s="11">
        <v>11</v>
      </c>
      <c r="X86" s="2">
        <f t="shared" si="38"/>
        <v>49</v>
      </c>
      <c r="Y86" s="18"/>
      <c r="Z86" s="18"/>
      <c r="AA86" s="17">
        <f t="shared" si="39"/>
        <v>30</v>
      </c>
      <c r="AB86" s="17">
        <f t="shared" si="40"/>
        <v>2</v>
      </c>
      <c r="AC86" s="18"/>
      <c r="AD86" s="18"/>
      <c r="AE86" s="17">
        <f t="shared" si="41"/>
        <v>0</v>
      </c>
      <c r="AF86" s="17">
        <f t="shared" si="42"/>
        <v>0</v>
      </c>
      <c r="AG86" s="18"/>
      <c r="AH86" s="18"/>
      <c r="AI86" s="17">
        <f t="shared" si="43"/>
        <v>0</v>
      </c>
      <c r="AJ86" s="16"/>
      <c r="AK86" s="16"/>
      <c r="AL86" s="52">
        <f t="shared" si="44"/>
        <v>0</v>
      </c>
      <c r="AM86" s="52">
        <f t="shared" si="45"/>
        <v>0</v>
      </c>
      <c r="AN86" s="16"/>
      <c r="AO86" s="16"/>
      <c r="AP86" s="52">
        <f t="shared" si="46"/>
        <v>0</v>
      </c>
      <c r="AQ86" s="52">
        <f t="shared" si="47"/>
        <v>0</v>
      </c>
      <c r="AR86" s="16"/>
      <c r="AS86" s="16"/>
      <c r="AT86" s="52">
        <f t="shared" si="48"/>
        <v>0</v>
      </c>
      <c r="AU86" s="12"/>
      <c r="AV86" s="12"/>
      <c r="AW86" s="4">
        <f t="shared" si="49"/>
        <v>0</v>
      </c>
      <c r="AX86" s="4">
        <f t="shared" si="50"/>
        <v>0</v>
      </c>
      <c r="AY86" s="13">
        <f t="shared" si="51"/>
        <v>33</v>
      </c>
      <c r="AZ86" s="13">
        <f t="shared" si="52"/>
        <v>3</v>
      </c>
      <c r="BA86" s="14">
        <f t="shared" si="53"/>
        <v>1</v>
      </c>
      <c r="BB86" s="14">
        <f t="shared" si="54"/>
        <v>0</v>
      </c>
      <c r="BC86" s="14">
        <f t="shared" si="55"/>
        <v>0</v>
      </c>
      <c r="BD86" s="1" t="str">
        <f t="shared" si="56"/>
        <v>En Proceso</v>
      </c>
      <c r="BE86" s="68"/>
    </row>
    <row r="87" spans="1:57" hidden="1">
      <c r="A87" s="7" t="s">
        <v>65</v>
      </c>
      <c r="B87" s="1" t="s">
        <v>63</v>
      </c>
      <c r="C87" s="21">
        <v>117</v>
      </c>
      <c r="D87" s="1">
        <v>322</v>
      </c>
      <c r="E87" s="1">
        <v>222</v>
      </c>
      <c r="F87" s="1">
        <v>208</v>
      </c>
      <c r="G87" s="1">
        <v>94</v>
      </c>
      <c r="H87" s="24">
        <f t="shared" si="57"/>
        <v>0.45192307692307693</v>
      </c>
      <c r="I87" s="9">
        <v>98</v>
      </c>
      <c r="J87" s="10">
        <v>96</v>
      </c>
      <c r="K87" s="10">
        <v>90</v>
      </c>
      <c r="L87" s="25">
        <f t="shared" si="34"/>
        <v>0.9375</v>
      </c>
      <c r="M87" s="10">
        <v>9</v>
      </c>
      <c r="N87" s="2">
        <v>80</v>
      </c>
      <c r="O87" s="11">
        <v>7</v>
      </c>
      <c r="P87" s="2">
        <f t="shared" si="35"/>
        <v>87</v>
      </c>
      <c r="Q87" s="11">
        <v>9</v>
      </c>
      <c r="R87" s="11">
        <v>84</v>
      </c>
      <c r="S87" s="11">
        <v>9</v>
      </c>
      <c r="T87" s="2">
        <f t="shared" si="36"/>
        <v>3</v>
      </c>
      <c r="U87" s="2">
        <f t="shared" si="37"/>
        <v>0</v>
      </c>
      <c r="V87" s="11">
        <v>114</v>
      </c>
      <c r="W87" s="11">
        <v>37</v>
      </c>
      <c r="X87" s="2">
        <f t="shared" si="38"/>
        <v>151</v>
      </c>
      <c r="Y87" s="18"/>
      <c r="Z87" s="18"/>
      <c r="AA87" s="17">
        <f t="shared" si="39"/>
        <v>84</v>
      </c>
      <c r="AB87" s="17">
        <f t="shared" si="40"/>
        <v>9</v>
      </c>
      <c r="AC87" s="18"/>
      <c r="AD87" s="18"/>
      <c r="AE87" s="17">
        <f t="shared" si="41"/>
        <v>0</v>
      </c>
      <c r="AF87" s="17">
        <f t="shared" si="42"/>
        <v>0</v>
      </c>
      <c r="AG87" s="18"/>
      <c r="AH87" s="18"/>
      <c r="AI87" s="17">
        <f t="shared" si="43"/>
        <v>0</v>
      </c>
      <c r="AJ87" s="16"/>
      <c r="AK87" s="16"/>
      <c r="AL87" s="52">
        <f t="shared" si="44"/>
        <v>0</v>
      </c>
      <c r="AM87" s="52">
        <f t="shared" si="45"/>
        <v>0</v>
      </c>
      <c r="AN87" s="16"/>
      <c r="AO87" s="16"/>
      <c r="AP87" s="52">
        <f t="shared" si="46"/>
        <v>0</v>
      </c>
      <c r="AQ87" s="52">
        <f t="shared" si="47"/>
        <v>0</v>
      </c>
      <c r="AR87" s="16"/>
      <c r="AS87" s="16"/>
      <c r="AT87" s="52">
        <f t="shared" si="48"/>
        <v>0</v>
      </c>
      <c r="AU87" s="12"/>
      <c r="AV87" s="12"/>
      <c r="AW87" s="4">
        <f t="shared" si="49"/>
        <v>0</v>
      </c>
      <c r="AX87" s="4">
        <f t="shared" si="50"/>
        <v>0</v>
      </c>
      <c r="AY87" s="13">
        <f t="shared" si="51"/>
        <v>87</v>
      </c>
      <c r="AZ87" s="13">
        <f t="shared" si="52"/>
        <v>9</v>
      </c>
      <c r="BA87" s="14">
        <f t="shared" si="53"/>
        <v>1</v>
      </c>
      <c r="BB87" s="14">
        <f t="shared" si="54"/>
        <v>0</v>
      </c>
      <c r="BC87" s="14">
        <f t="shared" si="55"/>
        <v>0</v>
      </c>
      <c r="BD87" s="1" t="str">
        <f t="shared" si="56"/>
        <v>En Proceso</v>
      </c>
      <c r="BE87" s="68"/>
    </row>
    <row r="88" spans="1:57" ht="15" hidden="1">
      <c r="A88" s="7" t="s">
        <v>57</v>
      </c>
      <c r="B88" s="1" t="s">
        <v>63</v>
      </c>
      <c r="C88" s="21">
        <v>118</v>
      </c>
      <c r="D88" s="1">
        <v>179</v>
      </c>
      <c r="E88" s="1">
        <v>240</v>
      </c>
      <c r="F88" s="1">
        <v>198</v>
      </c>
      <c r="G88" s="1">
        <v>77</v>
      </c>
      <c r="H88" s="24">
        <f t="shared" ref="H88:H89" si="58">+G88/F88</f>
        <v>0.3888888888888889</v>
      </c>
      <c r="I88" s="9"/>
      <c r="J88" s="10"/>
      <c r="K88" s="10"/>
      <c r="L88" s="25" t="e">
        <f t="shared" ref="L88:L89" si="59">+K88/J88</f>
        <v>#DIV/0!</v>
      </c>
      <c r="M88" s="10"/>
      <c r="N88" s="2"/>
      <c r="O88" s="11"/>
      <c r="P88" s="2"/>
      <c r="Q88" s="11"/>
      <c r="R88" s="11"/>
      <c r="S88" s="11"/>
      <c r="T88" s="2">
        <f t="shared" ref="T88:T89" si="60">+P88-R88</f>
        <v>0</v>
      </c>
      <c r="U88" s="2">
        <f t="shared" ref="U88:U89" si="61">+Q88-S88</f>
        <v>0</v>
      </c>
      <c r="V88" s="11"/>
      <c r="W88" s="11"/>
      <c r="X88" s="2"/>
      <c r="Y88" s="18"/>
      <c r="Z88" s="18"/>
      <c r="AA88" s="17">
        <f t="shared" ref="AA88:AA89" si="62">+R88-Y88</f>
        <v>0</v>
      </c>
      <c r="AB88" s="17">
        <f t="shared" ref="AB88:AB89" si="63">+S88-Z88</f>
        <v>0</v>
      </c>
      <c r="AC88" s="18"/>
      <c r="AD88" s="18"/>
      <c r="AE88" s="17">
        <f t="shared" ref="AE88:AE89" si="64">+Y88-AC88</f>
        <v>0</v>
      </c>
      <c r="AF88" s="17">
        <f t="shared" ref="AF88:AF89" si="65">+Z88-AD88</f>
        <v>0</v>
      </c>
      <c r="AG88" s="18"/>
      <c r="AH88" s="18"/>
      <c r="AI88" s="17">
        <f t="shared" ref="AI88:AI89" si="66">+AH88+AG88</f>
        <v>0</v>
      </c>
      <c r="AJ88" s="16"/>
      <c r="AK88" s="16"/>
      <c r="AL88" s="52">
        <f t="shared" ref="AL88:AL89" si="67">+AC88-AJ88</f>
        <v>0</v>
      </c>
      <c r="AM88" s="52">
        <f t="shared" ref="AM88:AM89" si="68">+AD88-AK88</f>
        <v>0</v>
      </c>
      <c r="AN88" s="16"/>
      <c r="AO88" s="16"/>
      <c r="AP88" s="52">
        <f t="shared" ref="AP88:AP89" si="69">+AJ88-AN88</f>
        <v>0</v>
      </c>
      <c r="AQ88" s="52">
        <f t="shared" ref="AQ88:AQ89" si="70">+AK88-AO88</f>
        <v>0</v>
      </c>
      <c r="AR88" s="16"/>
      <c r="AS88" s="16"/>
      <c r="AT88" s="52">
        <f t="shared" ref="AT88:AT89" si="71">+AS88+AR88</f>
        <v>0</v>
      </c>
      <c r="AU88" s="12"/>
      <c r="AV88" s="12"/>
      <c r="AW88" s="4">
        <f t="shared" ref="AW88:AW89" si="72">+AN88-AU88</f>
        <v>0</v>
      </c>
      <c r="AX88" s="4">
        <f t="shared" ref="AX88:AX89" si="73">+AO88-AV88</f>
        <v>0</v>
      </c>
      <c r="AY88" s="13">
        <f t="shared" ref="AY88:AY89" si="74">+P88-AU88</f>
        <v>0</v>
      </c>
      <c r="AZ88" s="13">
        <f t="shared" ref="AZ88:AZ89" si="75">+Q88-AV88</f>
        <v>0</v>
      </c>
      <c r="BA88" s="14" t="e">
        <f t="shared" ref="BA88:BA89" si="76">+(AY88+AZ88)/(P88+Q88)</f>
        <v>#DIV/0!</v>
      </c>
      <c r="BB88" s="14">
        <f t="shared" ref="BB88:BB89" si="77">+(AU88+AV88)/E88</f>
        <v>0</v>
      </c>
      <c r="BC88" s="14">
        <f t="shared" ref="BC88:BC89" si="78">+AU88/D88</f>
        <v>0</v>
      </c>
      <c r="BD88" s="1" t="str">
        <f t="shared" ref="BD88:BD89" si="79">IF(AU88&gt;0,"Graduado","En Proceso")</f>
        <v>En Proceso</v>
      </c>
      <c r="BE88" s="68"/>
    </row>
    <row r="89" spans="1:57" ht="15" hidden="1">
      <c r="A89" s="7" t="s">
        <v>71</v>
      </c>
      <c r="B89" s="1" t="s">
        <v>63</v>
      </c>
      <c r="C89" s="21">
        <v>119</v>
      </c>
      <c r="D89" s="1">
        <v>402</v>
      </c>
      <c r="E89" s="1">
        <v>250</v>
      </c>
      <c r="F89" s="1">
        <v>196</v>
      </c>
      <c r="G89" s="1">
        <v>57</v>
      </c>
      <c r="H89" s="24">
        <f t="shared" si="58"/>
        <v>0.29081632653061223</v>
      </c>
      <c r="I89" s="9"/>
      <c r="J89" s="10"/>
      <c r="K89" s="10"/>
      <c r="L89" s="25" t="e">
        <f t="shared" si="59"/>
        <v>#DIV/0!</v>
      </c>
      <c r="M89" s="10"/>
      <c r="N89" s="2"/>
      <c r="O89" s="11"/>
      <c r="P89" s="2"/>
      <c r="Q89" s="11"/>
      <c r="R89" s="11"/>
      <c r="S89" s="11"/>
      <c r="T89" s="2">
        <f t="shared" si="60"/>
        <v>0</v>
      </c>
      <c r="U89" s="2">
        <f t="shared" si="61"/>
        <v>0</v>
      </c>
      <c r="V89" s="11"/>
      <c r="W89" s="11"/>
      <c r="X89" s="2"/>
      <c r="Y89" s="18"/>
      <c r="Z89" s="18"/>
      <c r="AA89" s="17">
        <f t="shared" si="62"/>
        <v>0</v>
      </c>
      <c r="AB89" s="17">
        <f t="shared" si="63"/>
        <v>0</v>
      </c>
      <c r="AC89" s="18"/>
      <c r="AD89" s="18"/>
      <c r="AE89" s="17">
        <f t="shared" si="64"/>
        <v>0</v>
      </c>
      <c r="AF89" s="17">
        <f t="shared" si="65"/>
        <v>0</v>
      </c>
      <c r="AG89" s="18"/>
      <c r="AH89" s="18"/>
      <c r="AI89" s="17">
        <f t="shared" si="66"/>
        <v>0</v>
      </c>
      <c r="AJ89" s="16"/>
      <c r="AK89" s="16"/>
      <c r="AL89" s="52">
        <f t="shared" si="67"/>
        <v>0</v>
      </c>
      <c r="AM89" s="52">
        <f t="shared" si="68"/>
        <v>0</v>
      </c>
      <c r="AN89" s="16"/>
      <c r="AO89" s="16"/>
      <c r="AP89" s="52">
        <f t="shared" si="69"/>
        <v>0</v>
      </c>
      <c r="AQ89" s="52">
        <f t="shared" si="70"/>
        <v>0</v>
      </c>
      <c r="AR89" s="16"/>
      <c r="AS89" s="16"/>
      <c r="AT89" s="52">
        <f t="shared" si="71"/>
        <v>0</v>
      </c>
      <c r="AU89" s="12"/>
      <c r="AV89" s="12"/>
      <c r="AW89" s="4">
        <f t="shared" si="72"/>
        <v>0</v>
      </c>
      <c r="AX89" s="4">
        <f t="shared" si="73"/>
        <v>0</v>
      </c>
      <c r="AY89" s="13">
        <f t="shared" si="74"/>
        <v>0</v>
      </c>
      <c r="AZ89" s="13">
        <f t="shared" si="75"/>
        <v>0</v>
      </c>
      <c r="BA89" s="14" t="e">
        <f t="shared" si="76"/>
        <v>#DIV/0!</v>
      </c>
      <c r="BB89" s="14">
        <f t="shared" si="77"/>
        <v>0</v>
      </c>
      <c r="BC89" s="14">
        <f t="shared" si="78"/>
        <v>0</v>
      </c>
      <c r="BD89" s="1" t="str">
        <f t="shared" si="79"/>
        <v>En Proceso</v>
      </c>
      <c r="BE89" s="68"/>
    </row>
    <row r="90" spans="1:57">
      <c r="I90" s="22"/>
      <c r="J90" s="6"/>
      <c r="K90" s="6"/>
      <c r="L90" s="6"/>
      <c r="M90" s="6"/>
      <c r="N90" s="5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37"/>
      <c r="BB90" s="37"/>
      <c r="BC90" s="37"/>
    </row>
    <row r="91" spans="1:57">
      <c r="I91" s="22"/>
      <c r="J91" s="6"/>
      <c r="K91" s="6"/>
      <c r="L91" s="6"/>
      <c r="M91" s="6"/>
      <c r="N91" s="5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37"/>
      <c r="BB91" s="37"/>
      <c r="BC91" s="37"/>
    </row>
    <row r="92" spans="1:57">
      <c r="I92" s="22"/>
      <c r="J92" s="6"/>
      <c r="K92" s="6"/>
      <c r="L92" s="6"/>
      <c r="M92" s="6"/>
      <c r="N92" s="5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37"/>
      <c r="BB92" s="37"/>
      <c r="BC92" s="37"/>
    </row>
    <row r="93" spans="1:57">
      <c r="I93" s="22"/>
      <c r="J93" s="6"/>
      <c r="K93" s="6"/>
      <c r="L93" s="6"/>
      <c r="M93" s="6"/>
      <c r="N93" s="5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37"/>
      <c r="BB93" s="37"/>
      <c r="BC93" s="37"/>
    </row>
    <row r="94" spans="1:57">
      <c r="I94" s="22"/>
      <c r="J94" s="6"/>
      <c r="K94" s="6"/>
      <c r="L94" s="6"/>
      <c r="M94" s="6"/>
      <c r="N94" s="5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37"/>
      <c r="BB94" s="37"/>
      <c r="BC94" s="37"/>
    </row>
    <row r="95" spans="1:57">
      <c r="I95" s="22"/>
      <c r="J95" s="6"/>
      <c r="K95" s="6"/>
      <c r="L95" s="6"/>
      <c r="M95" s="6"/>
      <c r="N95" s="5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37"/>
      <c r="BB95" s="37"/>
      <c r="BC95" s="37"/>
    </row>
    <row r="96" spans="1:57">
      <c r="I96" s="22"/>
      <c r="J96" s="6"/>
      <c r="K96" s="6"/>
      <c r="L96" s="6"/>
      <c r="M96" s="6"/>
      <c r="N96" s="5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37"/>
      <c r="BB96" s="37"/>
      <c r="BC96" s="37"/>
    </row>
    <row r="97" spans="9:55">
      <c r="I97" s="22"/>
      <c r="J97" s="6"/>
      <c r="K97" s="6"/>
      <c r="L97" s="6"/>
      <c r="M97" s="6"/>
      <c r="N97" s="5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37"/>
      <c r="BB97" s="37"/>
      <c r="BC97" s="37"/>
    </row>
    <row r="98" spans="9:55">
      <c r="I98" s="22"/>
      <c r="J98" s="6"/>
      <c r="K98" s="6"/>
      <c r="L98" s="6"/>
      <c r="M98" s="6"/>
      <c r="N98" s="5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37"/>
      <c r="BB98" s="37"/>
      <c r="BC98" s="37"/>
    </row>
    <row r="99" spans="9:55">
      <c r="I99" s="22"/>
      <c r="J99" s="6"/>
      <c r="K99" s="6"/>
      <c r="L99" s="6"/>
      <c r="M99" s="6"/>
      <c r="N99" s="5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37"/>
      <c r="BB99" s="37"/>
      <c r="BC99" s="37"/>
    </row>
    <row r="100" spans="9:55">
      <c r="I100" s="22"/>
      <c r="J100" s="6"/>
      <c r="K100" s="6"/>
      <c r="L100" s="6"/>
      <c r="M100" s="6"/>
      <c r="N100" s="5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37"/>
      <c r="BB100" s="37"/>
      <c r="BC100" s="37"/>
    </row>
    <row r="101" spans="9:55">
      <c r="I101" s="22"/>
      <c r="J101" s="6"/>
      <c r="K101" s="6"/>
      <c r="L101" s="6"/>
      <c r="M101" s="6"/>
      <c r="N101" s="5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37"/>
      <c r="BB101" s="37"/>
      <c r="BC101" s="37"/>
    </row>
    <row r="102" spans="9:55">
      <c r="I102" s="22"/>
      <c r="J102" s="6"/>
      <c r="K102" s="6"/>
      <c r="L102" s="6"/>
      <c r="M102" s="6"/>
      <c r="N102" s="5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37"/>
      <c r="BB102" s="37"/>
      <c r="BC102" s="37"/>
    </row>
    <row r="103" spans="9:55">
      <c r="I103" s="22"/>
      <c r="J103" s="6"/>
      <c r="K103" s="6"/>
      <c r="L103" s="6"/>
      <c r="M103" s="6"/>
      <c r="N103" s="5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37"/>
      <c r="BB103" s="37"/>
      <c r="BC103" s="37"/>
    </row>
    <row r="104" spans="9:55">
      <c r="I104" s="22"/>
      <c r="J104" s="6"/>
      <c r="K104" s="6"/>
      <c r="L104" s="6"/>
      <c r="M104" s="6"/>
      <c r="N104" s="5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37"/>
      <c r="BB104" s="37"/>
      <c r="BC104" s="37"/>
    </row>
    <row r="105" spans="9:55">
      <c r="I105" s="22"/>
      <c r="J105" s="6"/>
      <c r="K105" s="6"/>
      <c r="L105" s="6"/>
      <c r="M105" s="6"/>
      <c r="N105" s="5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37"/>
      <c r="BB105" s="37"/>
      <c r="BC105" s="37"/>
    </row>
    <row r="106" spans="9:55">
      <c r="I106" s="22"/>
      <c r="J106" s="6"/>
      <c r="K106" s="6"/>
      <c r="L106" s="6"/>
      <c r="M106" s="6"/>
      <c r="N106" s="5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37"/>
      <c r="BB106" s="37"/>
      <c r="BC106" s="37"/>
    </row>
    <row r="107" spans="9:55">
      <c r="I107" s="22"/>
      <c r="J107" s="6"/>
      <c r="K107" s="6"/>
      <c r="L107" s="6"/>
      <c r="M107" s="6"/>
      <c r="N107" s="5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37"/>
      <c r="BB107" s="37"/>
      <c r="BC107" s="37"/>
    </row>
    <row r="108" spans="9:55">
      <c r="I108" s="22"/>
      <c r="J108" s="6"/>
      <c r="K108" s="6"/>
      <c r="L108" s="6"/>
      <c r="M108" s="6"/>
      <c r="N108" s="5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37"/>
      <c r="BB108" s="37"/>
      <c r="BC108" s="37"/>
    </row>
    <row r="109" spans="9:55">
      <c r="I109" s="22"/>
      <c r="J109" s="6"/>
      <c r="K109" s="6"/>
      <c r="L109" s="6"/>
      <c r="M109" s="6"/>
      <c r="N109" s="5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37"/>
      <c r="BB109" s="37"/>
      <c r="BC109" s="37"/>
    </row>
    <row r="110" spans="9:55">
      <c r="I110" s="22"/>
      <c r="J110" s="6"/>
      <c r="K110" s="6"/>
      <c r="L110" s="6"/>
      <c r="M110" s="6"/>
      <c r="N110" s="5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37"/>
      <c r="BB110" s="37"/>
      <c r="BC110" s="37"/>
    </row>
    <row r="111" spans="9:55">
      <c r="I111" s="22"/>
      <c r="J111" s="6"/>
      <c r="K111" s="6"/>
      <c r="L111" s="6"/>
      <c r="M111" s="6"/>
      <c r="N111" s="5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37"/>
      <c r="BB111" s="37"/>
      <c r="BC111" s="37"/>
    </row>
    <row r="112" spans="9:55">
      <c r="I112" s="22"/>
      <c r="J112" s="6"/>
      <c r="K112" s="6"/>
      <c r="L112" s="6"/>
      <c r="M112" s="6"/>
      <c r="N112" s="5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37"/>
      <c r="BB112" s="37"/>
      <c r="BC112" s="37"/>
    </row>
    <row r="113" spans="9:55">
      <c r="I113" s="22"/>
      <c r="J113" s="6"/>
      <c r="K113" s="6"/>
      <c r="L113" s="6"/>
      <c r="M113" s="6"/>
      <c r="N113" s="5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37"/>
      <c r="BB113" s="37"/>
      <c r="BC113" s="37"/>
    </row>
    <row r="114" spans="9:55">
      <c r="I114" s="22"/>
      <c r="J114" s="6"/>
      <c r="K114" s="6"/>
      <c r="L114" s="6"/>
      <c r="M114" s="6"/>
      <c r="N114" s="5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37"/>
      <c r="BB114" s="37"/>
      <c r="BC114" s="37"/>
    </row>
    <row r="115" spans="9:55">
      <c r="I115" s="22"/>
      <c r="J115" s="6"/>
      <c r="K115" s="6"/>
      <c r="L115" s="6"/>
      <c r="M115" s="6"/>
      <c r="N115" s="5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37"/>
      <c r="BB115" s="37"/>
      <c r="BC115" s="37"/>
    </row>
    <row r="116" spans="9:55">
      <c r="I116" s="22"/>
      <c r="J116" s="6"/>
      <c r="K116" s="6"/>
      <c r="L116" s="6"/>
      <c r="M116" s="6"/>
      <c r="N116" s="5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37"/>
      <c r="BB116" s="37"/>
      <c r="BC116" s="37"/>
    </row>
    <row r="117" spans="9:55">
      <c r="I117" s="22"/>
      <c r="J117" s="6"/>
      <c r="K117" s="6"/>
      <c r="L117" s="6"/>
      <c r="M117" s="6"/>
      <c r="N117" s="5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37"/>
      <c r="BB117" s="37"/>
      <c r="BC117" s="37"/>
    </row>
    <row r="118" spans="9:55">
      <c r="I118" s="22"/>
      <c r="J118" s="6"/>
      <c r="K118" s="6"/>
      <c r="L118" s="6"/>
      <c r="M118" s="6"/>
      <c r="N118" s="5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37"/>
      <c r="BB118" s="37"/>
      <c r="BC118" s="37"/>
    </row>
    <row r="119" spans="9:55">
      <c r="I119" s="22"/>
      <c r="J119" s="6"/>
      <c r="K119" s="6"/>
      <c r="L119" s="6"/>
      <c r="M119" s="6"/>
      <c r="N119" s="5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37"/>
      <c r="BB119" s="37"/>
      <c r="BC119" s="37"/>
    </row>
    <row r="120" spans="9:55">
      <c r="I120" s="22"/>
      <c r="J120" s="6"/>
      <c r="K120" s="6"/>
      <c r="L120" s="6"/>
      <c r="M120" s="6"/>
      <c r="N120" s="5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37"/>
      <c r="BB120" s="37"/>
      <c r="BC120" s="37"/>
    </row>
    <row r="121" spans="9:55">
      <c r="I121" s="22"/>
      <c r="J121" s="6"/>
      <c r="K121" s="6"/>
      <c r="L121" s="6"/>
      <c r="M121" s="6"/>
      <c r="N121" s="5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37"/>
      <c r="BB121" s="37"/>
      <c r="BC121" s="37"/>
    </row>
    <row r="122" spans="9:55">
      <c r="I122" s="22"/>
      <c r="J122" s="6"/>
      <c r="K122" s="6"/>
      <c r="L122" s="6"/>
      <c r="M122" s="6"/>
      <c r="N122" s="5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37"/>
      <c r="BB122" s="37"/>
      <c r="BC122" s="37"/>
    </row>
    <row r="123" spans="9:55">
      <c r="I123" s="22"/>
      <c r="J123" s="6"/>
      <c r="K123" s="6"/>
      <c r="L123" s="6"/>
      <c r="M123" s="6"/>
      <c r="N123" s="5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37"/>
      <c r="BB123" s="37"/>
      <c r="BC123" s="37"/>
    </row>
    <row r="124" spans="9:55">
      <c r="I124" s="22"/>
      <c r="J124" s="6"/>
      <c r="K124" s="6"/>
      <c r="L124" s="6"/>
      <c r="M124" s="6"/>
      <c r="N124" s="5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37"/>
      <c r="BB124" s="37"/>
      <c r="BC124" s="37"/>
    </row>
    <row r="125" spans="9:55">
      <c r="I125" s="22"/>
      <c r="J125" s="6"/>
      <c r="K125" s="6"/>
      <c r="L125" s="6"/>
      <c r="M125" s="6"/>
      <c r="N125" s="5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37"/>
      <c r="BB125" s="37"/>
      <c r="BC125" s="37"/>
    </row>
    <row r="126" spans="9:55">
      <c r="I126" s="22"/>
      <c r="J126" s="6"/>
      <c r="K126" s="6"/>
      <c r="L126" s="6"/>
      <c r="M126" s="6"/>
      <c r="N126" s="5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37"/>
      <c r="BB126" s="37"/>
      <c r="BC126" s="37"/>
    </row>
    <row r="127" spans="9:55">
      <c r="I127" s="22"/>
      <c r="J127" s="6"/>
      <c r="K127" s="6"/>
      <c r="L127" s="6"/>
      <c r="M127" s="6"/>
      <c r="N127" s="5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37"/>
      <c r="BB127" s="37"/>
      <c r="BC127" s="37"/>
    </row>
    <row r="128" spans="9:55">
      <c r="I128" s="22"/>
      <c r="J128" s="6"/>
      <c r="K128" s="6"/>
      <c r="L128" s="6"/>
      <c r="M128" s="6"/>
      <c r="N128" s="5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37"/>
      <c r="BB128" s="37"/>
      <c r="BC128" s="37"/>
    </row>
    <row r="129" spans="9:55">
      <c r="I129" s="22"/>
      <c r="J129" s="6"/>
      <c r="K129" s="6"/>
      <c r="L129" s="6"/>
      <c r="M129" s="6"/>
      <c r="N129" s="5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37"/>
      <c r="BB129" s="37"/>
      <c r="BC129" s="37"/>
    </row>
    <row r="130" spans="9:55">
      <c r="I130" s="22"/>
      <c r="J130" s="6"/>
      <c r="K130" s="6"/>
      <c r="L130" s="6"/>
      <c r="M130" s="6"/>
      <c r="N130" s="5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37"/>
      <c r="BB130" s="37"/>
      <c r="BC130" s="37"/>
    </row>
    <row r="131" spans="9:55">
      <c r="I131" s="22"/>
      <c r="J131" s="6"/>
      <c r="K131" s="6"/>
      <c r="L131" s="6"/>
      <c r="M131" s="6"/>
      <c r="N131" s="5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37"/>
      <c r="BB131" s="37"/>
      <c r="BC131" s="37"/>
    </row>
    <row r="132" spans="9:55">
      <c r="I132" s="22"/>
      <c r="J132" s="6"/>
      <c r="K132" s="6"/>
      <c r="L132" s="6"/>
      <c r="M132" s="6"/>
      <c r="N132" s="5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37"/>
      <c r="BB132" s="37"/>
      <c r="BC132" s="37"/>
    </row>
    <row r="133" spans="9:55">
      <c r="I133" s="22"/>
      <c r="J133" s="6"/>
      <c r="K133" s="6"/>
      <c r="L133" s="6"/>
      <c r="M133" s="6"/>
      <c r="N133" s="5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37"/>
      <c r="BB133" s="37"/>
      <c r="BC133" s="37"/>
    </row>
    <row r="134" spans="9:55">
      <c r="I134" s="22"/>
      <c r="J134" s="6"/>
      <c r="K134" s="6"/>
      <c r="L134" s="6"/>
      <c r="M134" s="6"/>
      <c r="N134" s="5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37"/>
      <c r="BB134" s="37"/>
      <c r="BC134" s="37"/>
    </row>
    <row r="135" spans="9:55">
      <c r="I135" s="22"/>
      <c r="J135" s="6"/>
      <c r="K135" s="6"/>
      <c r="L135" s="6"/>
      <c r="M135" s="6"/>
      <c r="N135" s="5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37"/>
      <c r="BB135" s="37"/>
      <c r="BC135" s="37"/>
    </row>
    <row r="136" spans="9:55">
      <c r="I136" s="22"/>
      <c r="J136" s="6"/>
      <c r="K136" s="6"/>
      <c r="L136" s="6"/>
      <c r="M136" s="6"/>
      <c r="N136" s="5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37"/>
      <c r="BB136" s="37"/>
      <c r="BC136" s="37"/>
    </row>
    <row r="137" spans="9:55">
      <c r="I137" s="22"/>
      <c r="J137" s="6"/>
      <c r="K137" s="6"/>
      <c r="L137" s="6"/>
      <c r="M137" s="6"/>
      <c r="N137" s="5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37"/>
      <c r="BB137" s="37"/>
      <c r="BC137" s="37"/>
    </row>
    <row r="138" spans="9:55">
      <c r="I138" s="22"/>
      <c r="J138" s="6"/>
      <c r="K138" s="6"/>
      <c r="L138" s="6"/>
      <c r="M138" s="6"/>
      <c r="N138" s="5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37"/>
      <c r="BB138" s="37"/>
      <c r="BC138" s="37"/>
    </row>
    <row r="139" spans="9:55">
      <c r="I139" s="22"/>
      <c r="J139" s="6"/>
      <c r="K139" s="6"/>
      <c r="L139" s="6"/>
      <c r="M139" s="6"/>
      <c r="N139" s="5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37"/>
      <c r="BB139" s="37"/>
      <c r="BC139" s="37"/>
    </row>
    <row r="140" spans="9:55">
      <c r="I140" s="22"/>
      <c r="J140" s="6"/>
      <c r="K140" s="6"/>
      <c r="L140" s="6"/>
      <c r="M140" s="6"/>
      <c r="N140" s="5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37"/>
      <c r="BB140" s="37"/>
      <c r="BC140" s="37"/>
    </row>
    <row r="141" spans="9:55">
      <c r="I141" s="22"/>
      <c r="J141" s="6"/>
      <c r="K141" s="6"/>
      <c r="L141" s="6"/>
      <c r="M141" s="6"/>
      <c r="N141" s="5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37"/>
      <c r="BB141" s="37"/>
      <c r="BC141" s="37"/>
    </row>
    <row r="142" spans="9:55">
      <c r="I142" s="22"/>
      <c r="J142" s="6"/>
      <c r="K142" s="6"/>
      <c r="L142" s="6"/>
      <c r="M142" s="6"/>
      <c r="N142" s="5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37"/>
      <c r="BB142" s="37"/>
      <c r="BC142" s="37"/>
    </row>
    <row r="143" spans="9:55">
      <c r="I143" s="22"/>
      <c r="J143" s="6"/>
      <c r="K143" s="6"/>
      <c r="L143" s="6"/>
      <c r="M143" s="6"/>
      <c r="N143" s="5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37"/>
      <c r="BB143" s="37"/>
      <c r="BC143" s="37"/>
    </row>
    <row r="144" spans="9:55">
      <c r="I144" s="22"/>
      <c r="J144" s="6"/>
      <c r="K144" s="6"/>
      <c r="L144" s="6"/>
      <c r="M144" s="6"/>
      <c r="N144" s="5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37"/>
      <c r="BB144" s="37"/>
      <c r="BC144" s="37"/>
    </row>
    <row r="145" spans="9:55">
      <c r="I145" s="22"/>
      <c r="J145" s="6"/>
      <c r="K145" s="6"/>
      <c r="L145" s="6"/>
      <c r="M145" s="6"/>
      <c r="N145" s="5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37"/>
      <c r="BB145" s="37"/>
      <c r="BC145" s="37"/>
    </row>
    <row r="146" spans="9:55">
      <c r="I146" s="22"/>
      <c r="J146" s="6"/>
      <c r="K146" s="6"/>
      <c r="L146" s="6"/>
      <c r="M146" s="6"/>
      <c r="N146" s="5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37"/>
      <c r="BB146" s="37"/>
      <c r="BC146" s="37"/>
    </row>
    <row r="147" spans="9:55">
      <c r="I147" s="22"/>
      <c r="J147" s="6"/>
      <c r="K147" s="6"/>
      <c r="L147" s="6"/>
      <c r="M147" s="6"/>
      <c r="N147" s="5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37"/>
      <c r="BB147" s="37"/>
      <c r="BC147" s="37"/>
    </row>
    <row r="148" spans="9:55">
      <c r="I148" s="22"/>
      <c r="J148" s="6"/>
      <c r="K148" s="6"/>
      <c r="L148" s="6"/>
      <c r="M148" s="6"/>
      <c r="N148" s="5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37"/>
      <c r="BB148" s="37"/>
      <c r="BC148" s="37"/>
    </row>
    <row r="149" spans="9:55">
      <c r="I149" s="22"/>
      <c r="J149" s="6"/>
      <c r="K149" s="6"/>
      <c r="L149" s="6"/>
      <c r="M149" s="6"/>
      <c r="N149" s="5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37"/>
      <c r="BB149" s="37"/>
      <c r="BC149" s="37"/>
    </row>
    <row r="150" spans="9:55">
      <c r="I150" s="22"/>
      <c r="J150" s="6"/>
      <c r="K150" s="6"/>
      <c r="L150" s="6"/>
      <c r="M150" s="6"/>
      <c r="N150" s="5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37"/>
      <c r="BB150" s="37"/>
      <c r="BC150" s="37"/>
    </row>
    <row r="151" spans="9:55">
      <c r="I151" s="22"/>
      <c r="J151" s="6"/>
      <c r="K151" s="6"/>
      <c r="L151" s="6"/>
      <c r="M151" s="6"/>
      <c r="N151" s="5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37"/>
      <c r="BB151" s="37"/>
      <c r="BC151" s="37"/>
    </row>
    <row r="152" spans="9:55">
      <c r="I152" s="22"/>
      <c r="J152" s="6"/>
      <c r="K152" s="6"/>
      <c r="L152" s="6"/>
      <c r="M152" s="6"/>
      <c r="N152" s="5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37"/>
      <c r="BB152" s="37"/>
      <c r="BC152" s="37"/>
    </row>
    <row r="153" spans="9:55">
      <c r="I153" s="22"/>
      <c r="J153" s="6"/>
      <c r="K153" s="6"/>
      <c r="L153" s="6"/>
      <c r="M153" s="6"/>
      <c r="N153" s="5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37"/>
      <c r="BB153" s="37"/>
      <c r="BC153" s="37"/>
    </row>
    <row r="154" spans="9:55">
      <c r="I154" s="22"/>
      <c r="J154" s="6"/>
      <c r="K154" s="6"/>
      <c r="L154" s="6"/>
      <c r="M154" s="6"/>
      <c r="N154" s="5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37"/>
      <c r="BB154" s="37"/>
      <c r="BC154" s="37"/>
    </row>
    <row r="155" spans="9:55">
      <c r="I155" s="22"/>
      <c r="J155" s="6"/>
      <c r="K155" s="6"/>
      <c r="L155" s="6"/>
      <c r="M155" s="6"/>
      <c r="N155" s="5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37"/>
      <c r="BB155" s="37"/>
      <c r="BC155" s="37"/>
    </row>
    <row r="156" spans="9:55">
      <c r="I156" s="22"/>
      <c r="J156" s="6"/>
      <c r="K156" s="6"/>
      <c r="L156" s="6"/>
      <c r="M156" s="6"/>
      <c r="N156" s="5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37"/>
      <c r="BB156" s="37"/>
      <c r="BC156" s="37"/>
    </row>
    <row r="157" spans="9:55">
      <c r="I157" s="22"/>
      <c r="J157" s="6"/>
      <c r="K157" s="6"/>
      <c r="L157" s="6"/>
      <c r="M157" s="6"/>
      <c r="N157" s="5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37"/>
      <c r="BB157" s="37"/>
      <c r="BC157" s="37"/>
    </row>
    <row r="158" spans="9:55">
      <c r="I158" s="22"/>
      <c r="J158" s="6"/>
      <c r="K158" s="6"/>
      <c r="L158" s="6"/>
      <c r="M158" s="6"/>
      <c r="N158" s="5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37"/>
      <c r="BB158" s="37"/>
      <c r="BC158" s="37"/>
    </row>
    <row r="159" spans="9:55">
      <c r="I159" s="22"/>
      <c r="J159" s="6"/>
      <c r="K159" s="6"/>
      <c r="L159" s="6"/>
      <c r="M159" s="6"/>
      <c r="N159" s="5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37"/>
      <c r="BB159" s="37"/>
      <c r="BC159" s="37"/>
    </row>
    <row r="160" spans="9:55">
      <c r="I160" s="22"/>
      <c r="J160" s="6"/>
      <c r="K160" s="6"/>
      <c r="L160" s="6"/>
      <c r="M160" s="6"/>
      <c r="N160" s="5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37"/>
      <c r="BB160" s="37"/>
      <c r="BC160" s="37"/>
    </row>
    <row r="161" spans="9:55">
      <c r="I161" s="22"/>
      <c r="J161" s="6"/>
      <c r="K161" s="6"/>
      <c r="L161" s="6"/>
      <c r="M161" s="6"/>
      <c r="N161" s="5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37"/>
      <c r="BB161" s="37"/>
      <c r="BC161" s="37"/>
    </row>
    <row r="162" spans="9:55">
      <c r="I162" s="22"/>
      <c r="J162" s="6"/>
      <c r="K162" s="6"/>
      <c r="L162" s="6"/>
      <c r="M162" s="6"/>
      <c r="N162" s="5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37"/>
      <c r="BB162" s="37"/>
      <c r="BC162" s="37"/>
    </row>
    <row r="163" spans="9:55">
      <c r="I163" s="22"/>
      <c r="J163" s="6"/>
      <c r="K163" s="6"/>
      <c r="L163" s="6"/>
      <c r="M163" s="6"/>
      <c r="N163" s="5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37"/>
      <c r="BB163" s="37"/>
      <c r="BC163" s="37"/>
    </row>
    <row r="164" spans="9:55">
      <c r="I164" s="22"/>
      <c r="J164" s="6"/>
      <c r="K164" s="6"/>
      <c r="L164" s="6"/>
      <c r="M164" s="6"/>
      <c r="N164" s="5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37"/>
      <c r="BB164" s="37"/>
      <c r="BC164" s="37"/>
    </row>
    <row r="165" spans="9:55">
      <c r="I165" s="22"/>
      <c r="J165" s="6"/>
      <c r="K165" s="6"/>
      <c r="L165" s="6"/>
      <c r="M165" s="6"/>
      <c r="N165" s="5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37"/>
      <c r="BB165" s="37"/>
      <c r="BC165" s="37"/>
    </row>
    <row r="166" spans="9:55">
      <c r="I166" s="22"/>
      <c r="J166" s="6"/>
      <c r="K166" s="6"/>
      <c r="L166" s="6"/>
      <c r="M166" s="6"/>
      <c r="N166" s="5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37"/>
      <c r="BB166" s="37"/>
      <c r="BC166" s="37"/>
    </row>
    <row r="167" spans="9:55">
      <c r="I167" s="22"/>
      <c r="J167" s="6"/>
      <c r="K167" s="6"/>
      <c r="L167" s="6"/>
      <c r="M167" s="6"/>
      <c r="N167" s="5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37"/>
      <c r="BB167" s="37"/>
      <c r="BC167" s="37"/>
    </row>
    <row r="168" spans="9:55">
      <c r="I168" s="22"/>
      <c r="J168" s="6"/>
      <c r="K168" s="6"/>
      <c r="L168" s="6"/>
      <c r="M168" s="6"/>
      <c r="N168" s="5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37"/>
      <c r="BB168" s="37"/>
      <c r="BC168" s="37"/>
    </row>
    <row r="169" spans="9:55">
      <c r="I169" s="22"/>
      <c r="J169" s="6"/>
      <c r="K169" s="6"/>
      <c r="L169" s="6"/>
      <c r="M169" s="6"/>
      <c r="N169" s="5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37"/>
      <c r="BB169" s="37"/>
      <c r="BC169" s="37"/>
    </row>
    <row r="170" spans="9:55">
      <c r="I170" s="22"/>
      <c r="J170" s="6"/>
      <c r="K170" s="6"/>
      <c r="L170" s="6"/>
      <c r="M170" s="6"/>
      <c r="N170" s="5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37"/>
      <c r="BB170" s="37"/>
      <c r="BC170" s="37"/>
    </row>
    <row r="171" spans="9:55">
      <c r="I171" s="22"/>
      <c r="J171" s="6"/>
      <c r="K171" s="6"/>
      <c r="L171" s="6"/>
      <c r="M171" s="6"/>
      <c r="N171" s="5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37"/>
      <c r="BB171" s="37"/>
      <c r="BC171" s="37"/>
    </row>
    <row r="172" spans="9:55">
      <c r="I172" s="22"/>
      <c r="J172" s="6"/>
      <c r="K172" s="6"/>
      <c r="L172" s="6"/>
      <c r="M172" s="6"/>
      <c r="N172" s="5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37"/>
      <c r="BB172" s="37"/>
      <c r="BC172" s="37"/>
    </row>
    <row r="173" spans="9:55">
      <c r="I173" s="22"/>
      <c r="J173" s="6"/>
      <c r="K173" s="6"/>
      <c r="L173" s="6"/>
      <c r="M173" s="6"/>
      <c r="N173" s="5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37"/>
      <c r="BB173" s="37"/>
      <c r="BC173" s="37"/>
    </row>
    <row r="174" spans="9:55">
      <c r="I174" s="22"/>
      <c r="J174" s="6"/>
      <c r="K174" s="6"/>
      <c r="L174" s="6"/>
      <c r="M174" s="6"/>
      <c r="N174" s="5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37"/>
      <c r="BB174" s="37"/>
      <c r="BC174" s="37"/>
    </row>
    <row r="175" spans="9:55">
      <c r="I175" s="22"/>
      <c r="J175" s="6"/>
      <c r="K175" s="6"/>
      <c r="L175" s="6"/>
      <c r="M175" s="6"/>
      <c r="N175" s="5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37"/>
      <c r="BB175" s="37"/>
      <c r="BC175" s="37"/>
    </row>
    <row r="176" spans="9:55">
      <c r="I176" s="22"/>
      <c r="J176" s="6"/>
      <c r="K176" s="6"/>
      <c r="L176" s="6"/>
      <c r="M176" s="6"/>
      <c r="N176" s="5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37"/>
      <c r="BB176" s="37"/>
      <c r="BC176" s="37"/>
    </row>
    <row r="177" spans="9:55">
      <c r="I177" s="22"/>
      <c r="J177" s="6"/>
      <c r="K177" s="6"/>
      <c r="L177" s="6"/>
      <c r="M177" s="6"/>
      <c r="N177" s="5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37"/>
      <c r="BB177" s="37"/>
      <c r="BC177" s="37"/>
    </row>
    <row r="178" spans="9:55">
      <c r="I178" s="22"/>
      <c r="J178" s="6"/>
      <c r="K178" s="6"/>
      <c r="L178" s="6"/>
      <c r="M178" s="6"/>
      <c r="N178" s="5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37"/>
      <c r="BB178" s="37"/>
      <c r="BC178" s="37"/>
    </row>
    <row r="179" spans="9:55">
      <c r="I179" s="22"/>
      <c r="J179" s="6"/>
      <c r="K179" s="6"/>
      <c r="L179" s="6"/>
      <c r="M179" s="6"/>
      <c r="N179" s="5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37"/>
      <c r="BB179" s="37"/>
      <c r="BC179" s="37"/>
    </row>
    <row r="180" spans="9:55">
      <c r="I180" s="22"/>
      <c r="J180" s="6"/>
      <c r="K180" s="6"/>
      <c r="L180" s="6"/>
      <c r="M180" s="6"/>
      <c r="N180" s="5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37"/>
      <c r="BB180" s="37"/>
      <c r="BC180" s="37"/>
    </row>
    <row r="181" spans="9:55">
      <c r="I181" s="22"/>
      <c r="J181" s="6"/>
      <c r="K181" s="6"/>
      <c r="L181" s="6"/>
      <c r="M181" s="6"/>
      <c r="N181" s="5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37"/>
      <c r="BB181" s="37"/>
      <c r="BC181" s="37"/>
    </row>
    <row r="182" spans="9:55">
      <c r="I182" s="22"/>
      <c r="J182" s="6"/>
      <c r="K182" s="6"/>
      <c r="L182" s="6"/>
      <c r="M182" s="6"/>
      <c r="N182" s="5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37"/>
      <c r="BB182" s="37"/>
      <c r="BC182" s="37"/>
    </row>
    <row r="183" spans="9:55">
      <c r="I183" s="22"/>
      <c r="J183" s="6"/>
      <c r="K183" s="6"/>
      <c r="L183" s="6"/>
      <c r="M183" s="6"/>
      <c r="N183" s="5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37"/>
      <c r="BB183" s="37"/>
      <c r="BC183" s="37"/>
    </row>
    <row r="184" spans="9:55">
      <c r="I184" s="22"/>
      <c r="J184" s="6"/>
      <c r="K184" s="6"/>
      <c r="L184" s="6"/>
      <c r="M184" s="6"/>
      <c r="N184" s="5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37"/>
      <c r="BB184" s="37"/>
      <c r="BC184" s="37"/>
    </row>
    <row r="185" spans="9:55">
      <c r="I185" s="22"/>
      <c r="J185" s="6"/>
      <c r="K185" s="6"/>
      <c r="L185" s="6"/>
      <c r="M185" s="6"/>
      <c r="N185" s="5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37"/>
      <c r="BB185" s="37"/>
      <c r="BC185" s="37"/>
    </row>
    <row r="186" spans="9:55">
      <c r="I186" s="22"/>
      <c r="J186" s="6"/>
      <c r="K186" s="6"/>
      <c r="L186" s="6"/>
      <c r="M186" s="6"/>
      <c r="N186" s="5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37"/>
      <c r="BB186" s="37"/>
      <c r="BC186" s="37"/>
    </row>
    <row r="187" spans="9:55">
      <c r="I187" s="22"/>
      <c r="J187" s="6"/>
      <c r="K187" s="6"/>
      <c r="L187" s="6"/>
      <c r="M187" s="6"/>
      <c r="N187" s="5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37"/>
      <c r="BB187" s="37"/>
      <c r="BC187" s="37"/>
    </row>
    <row r="188" spans="9:55">
      <c r="I188" s="22"/>
      <c r="J188" s="6"/>
      <c r="K188" s="6"/>
      <c r="L188" s="6"/>
      <c r="M188" s="6"/>
      <c r="N188" s="5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37"/>
      <c r="BB188" s="37"/>
      <c r="BC188" s="37"/>
    </row>
    <row r="189" spans="9:55">
      <c r="I189" s="22"/>
      <c r="J189" s="6"/>
      <c r="K189" s="6"/>
      <c r="L189" s="6"/>
      <c r="M189" s="6"/>
      <c r="N189" s="5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37"/>
      <c r="BB189" s="37"/>
      <c r="BC189" s="37"/>
    </row>
    <row r="190" spans="9:55">
      <c r="I190" s="22"/>
      <c r="J190" s="6"/>
      <c r="K190" s="6"/>
      <c r="L190" s="6"/>
      <c r="M190" s="6"/>
      <c r="N190" s="5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37"/>
      <c r="BB190" s="37"/>
      <c r="BC190" s="37"/>
    </row>
    <row r="191" spans="9:55">
      <c r="I191" s="22"/>
      <c r="J191" s="6"/>
      <c r="K191" s="6"/>
      <c r="L191" s="6"/>
      <c r="M191" s="6"/>
      <c r="N191" s="5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37"/>
      <c r="BB191" s="37"/>
      <c r="BC191" s="37"/>
    </row>
    <row r="192" spans="9:55">
      <c r="I192" s="22"/>
      <c r="J192" s="6"/>
      <c r="K192" s="6"/>
      <c r="L192" s="6"/>
      <c r="M192" s="6"/>
      <c r="N192" s="5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37"/>
      <c r="BB192" s="37"/>
      <c r="BC192" s="37"/>
    </row>
    <row r="193" spans="9:55">
      <c r="I193" s="22"/>
      <c r="J193" s="6"/>
      <c r="K193" s="6"/>
      <c r="L193" s="6"/>
      <c r="M193" s="6"/>
      <c r="N193" s="5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37"/>
      <c r="BB193" s="37"/>
      <c r="BC193" s="37"/>
    </row>
    <row r="194" spans="9:55">
      <c r="I194" s="22"/>
      <c r="J194" s="6"/>
      <c r="K194" s="6"/>
      <c r="L194" s="6"/>
      <c r="M194" s="6"/>
      <c r="N194" s="5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37"/>
      <c r="BB194" s="37"/>
      <c r="BC194" s="37"/>
    </row>
    <row r="195" spans="9:55">
      <c r="I195" s="22"/>
      <c r="J195" s="6"/>
      <c r="K195" s="6"/>
      <c r="L195" s="6"/>
      <c r="M195" s="6"/>
      <c r="N195" s="5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37"/>
      <c r="BB195" s="37"/>
      <c r="BC195" s="37"/>
    </row>
    <row r="196" spans="9:55">
      <c r="I196" s="22"/>
      <c r="J196" s="6"/>
      <c r="K196" s="6"/>
      <c r="L196" s="6"/>
      <c r="M196" s="6"/>
      <c r="N196" s="5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37"/>
      <c r="BB196" s="37"/>
      <c r="BC196" s="37"/>
    </row>
    <row r="197" spans="9:55">
      <c r="I197" s="22"/>
      <c r="J197" s="6"/>
      <c r="K197" s="6"/>
      <c r="L197" s="6"/>
      <c r="M197" s="6"/>
      <c r="N197" s="5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37"/>
      <c r="BB197" s="37"/>
      <c r="BC197" s="37"/>
    </row>
    <row r="198" spans="9:55">
      <c r="I198" s="22"/>
      <c r="J198" s="6"/>
      <c r="K198" s="6"/>
      <c r="L198" s="6"/>
      <c r="M198" s="6"/>
      <c r="N198" s="5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37"/>
      <c r="BB198" s="37"/>
      <c r="BC198" s="37"/>
    </row>
    <row r="199" spans="9:55">
      <c r="I199" s="22"/>
      <c r="J199" s="6"/>
      <c r="K199" s="6"/>
      <c r="L199" s="6"/>
      <c r="M199" s="6"/>
      <c r="N199" s="5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37"/>
      <c r="BB199" s="37"/>
      <c r="BC199" s="37"/>
    </row>
    <row r="200" spans="9:55">
      <c r="I200" s="22"/>
      <c r="J200" s="6"/>
      <c r="K200" s="6"/>
      <c r="L200" s="6"/>
      <c r="M200" s="6"/>
      <c r="N200" s="5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37"/>
      <c r="BB200" s="37"/>
      <c r="BC200" s="37"/>
    </row>
    <row r="201" spans="9:55">
      <c r="I201" s="22"/>
      <c r="J201" s="6"/>
      <c r="K201" s="6"/>
      <c r="L201" s="6"/>
      <c r="M201" s="6"/>
      <c r="N201" s="5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37"/>
      <c r="BB201" s="37"/>
      <c r="BC201" s="37"/>
    </row>
    <row r="202" spans="9:55">
      <c r="I202" s="22"/>
      <c r="J202" s="6"/>
      <c r="K202" s="6"/>
      <c r="L202" s="6"/>
      <c r="M202" s="6"/>
      <c r="N202" s="5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37"/>
      <c r="BB202" s="37"/>
      <c r="BC202" s="37"/>
    </row>
    <row r="203" spans="9:55">
      <c r="I203" s="22"/>
      <c r="J203" s="6"/>
      <c r="K203" s="6"/>
      <c r="L203" s="6"/>
      <c r="M203" s="6"/>
      <c r="N203" s="5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37"/>
      <c r="BB203" s="37"/>
      <c r="BC203" s="37"/>
    </row>
    <row r="204" spans="9:55">
      <c r="I204" s="22"/>
      <c r="J204" s="6"/>
      <c r="K204" s="6"/>
      <c r="L204" s="6"/>
      <c r="M204" s="6"/>
      <c r="N204" s="5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37"/>
      <c r="BB204" s="37"/>
      <c r="BC204" s="37"/>
    </row>
    <row r="205" spans="9:55">
      <c r="I205" s="22"/>
      <c r="J205" s="6"/>
      <c r="K205" s="6"/>
      <c r="L205" s="6"/>
      <c r="M205" s="6"/>
      <c r="N205" s="5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37"/>
      <c r="BB205" s="37"/>
      <c r="BC205" s="37"/>
    </row>
    <row r="206" spans="9:55">
      <c r="I206" s="22"/>
      <c r="J206" s="6"/>
      <c r="K206" s="6"/>
      <c r="L206" s="6"/>
      <c r="M206" s="6"/>
      <c r="N206" s="5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37"/>
      <c r="BB206" s="37"/>
      <c r="BC206" s="37"/>
    </row>
    <row r="207" spans="9:55">
      <c r="I207" s="22"/>
      <c r="J207" s="6"/>
      <c r="K207" s="6"/>
      <c r="L207" s="6"/>
      <c r="M207" s="6"/>
      <c r="N207" s="5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37"/>
      <c r="BB207" s="37"/>
      <c r="BC207" s="37"/>
    </row>
    <row r="208" spans="9:55">
      <c r="I208" s="22"/>
      <c r="J208" s="6"/>
      <c r="K208" s="6"/>
      <c r="L208" s="6"/>
      <c r="M208" s="6"/>
      <c r="N208" s="5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37"/>
      <c r="BB208" s="37"/>
      <c r="BC208" s="37"/>
    </row>
    <row r="209" spans="9:55">
      <c r="I209" s="22"/>
      <c r="J209" s="6"/>
      <c r="K209" s="6"/>
      <c r="L209" s="6"/>
      <c r="M209" s="6"/>
      <c r="N209" s="5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37"/>
      <c r="BB209" s="37"/>
      <c r="BC209" s="37"/>
    </row>
    <row r="210" spans="9:55">
      <c r="I210" s="22"/>
      <c r="J210" s="6"/>
      <c r="K210" s="6"/>
      <c r="L210" s="6"/>
      <c r="M210" s="6"/>
      <c r="N210" s="5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37"/>
      <c r="BB210" s="37"/>
      <c r="BC210" s="37"/>
    </row>
    <row r="211" spans="9:55">
      <c r="I211" s="22"/>
      <c r="J211" s="6"/>
      <c r="K211" s="6"/>
      <c r="L211" s="6"/>
      <c r="M211" s="6"/>
      <c r="N211" s="5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37"/>
      <c r="BB211" s="37"/>
      <c r="BC211" s="37"/>
    </row>
    <row r="212" spans="9:55">
      <c r="I212" s="22"/>
      <c r="J212" s="6"/>
      <c r="K212" s="6"/>
      <c r="L212" s="6"/>
      <c r="M212" s="6"/>
      <c r="N212" s="5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37"/>
      <c r="BB212" s="37"/>
      <c r="BC212" s="37"/>
    </row>
    <row r="213" spans="9:55">
      <c r="I213" s="22"/>
      <c r="J213" s="6"/>
      <c r="K213" s="6"/>
      <c r="L213" s="6"/>
      <c r="M213" s="6"/>
      <c r="N213" s="5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37"/>
      <c r="BB213" s="37"/>
      <c r="BC213" s="37"/>
    </row>
    <row r="214" spans="9:55">
      <c r="I214" s="22"/>
      <c r="J214" s="6"/>
      <c r="K214" s="6"/>
      <c r="L214" s="6"/>
      <c r="M214" s="6"/>
      <c r="N214" s="5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37"/>
      <c r="BB214" s="37"/>
      <c r="BC214" s="37"/>
    </row>
    <row r="215" spans="9:55">
      <c r="I215" s="22"/>
      <c r="J215" s="6"/>
      <c r="K215" s="6"/>
      <c r="L215" s="6"/>
      <c r="M215" s="6"/>
      <c r="N215" s="5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37"/>
      <c r="BB215" s="37"/>
      <c r="BC215" s="37"/>
    </row>
    <row r="216" spans="9:55">
      <c r="I216" s="22"/>
      <c r="J216" s="6"/>
      <c r="K216" s="6"/>
      <c r="L216" s="6"/>
      <c r="M216" s="6"/>
      <c r="N216" s="5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37"/>
      <c r="BB216" s="37"/>
      <c r="BC216" s="37"/>
    </row>
    <row r="217" spans="9:55">
      <c r="I217" s="22"/>
      <c r="J217" s="6"/>
      <c r="K217" s="6"/>
      <c r="L217" s="6"/>
      <c r="M217" s="6"/>
      <c r="N217" s="5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37"/>
      <c r="BB217" s="37"/>
      <c r="BC217" s="37"/>
    </row>
    <row r="218" spans="9:55">
      <c r="I218" s="22"/>
      <c r="J218" s="6"/>
      <c r="K218" s="6"/>
      <c r="L218" s="6"/>
      <c r="M218" s="6"/>
      <c r="N218" s="5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37"/>
      <c r="BB218" s="37"/>
      <c r="BC218" s="37"/>
    </row>
    <row r="219" spans="9:55">
      <c r="I219" s="22"/>
      <c r="J219" s="6"/>
      <c r="K219" s="6"/>
      <c r="L219" s="6"/>
      <c r="M219" s="6"/>
      <c r="N219" s="5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37"/>
      <c r="BB219" s="37"/>
      <c r="BC219" s="37"/>
    </row>
    <row r="220" spans="9:55">
      <c r="I220" s="22"/>
      <c r="J220" s="6"/>
      <c r="K220" s="6"/>
      <c r="L220" s="6"/>
      <c r="M220" s="6"/>
      <c r="N220" s="5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37"/>
      <c r="BB220" s="37"/>
      <c r="BC220" s="37"/>
    </row>
    <row r="221" spans="9:55">
      <c r="I221" s="22"/>
      <c r="J221" s="6"/>
      <c r="K221" s="6"/>
      <c r="L221" s="6"/>
      <c r="M221" s="6"/>
      <c r="N221" s="5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37"/>
      <c r="BB221" s="37"/>
      <c r="BC221" s="37"/>
    </row>
    <row r="222" spans="9:55">
      <c r="I222" s="22"/>
      <c r="J222" s="6"/>
      <c r="K222" s="6"/>
      <c r="L222" s="6"/>
      <c r="M222" s="6"/>
      <c r="N222" s="5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37"/>
      <c r="BB222" s="37"/>
      <c r="BC222" s="37"/>
    </row>
    <row r="223" spans="9:55">
      <c r="I223" s="22"/>
      <c r="J223" s="6"/>
      <c r="K223" s="6"/>
      <c r="L223" s="6"/>
      <c r="M223" s="6"/>
      <c r="N223" s="5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37"/>
      <c r="BB223" s="37"/>
      <c r="BC223" s="37"/>
    </row>
    <row r="224" spans="9:55">
      <c r="I224" s="22"/>
      <c r="J224" s="6"/>
      <c r="K224" s="6"/>
      <c r="L224" s="6"/>
      <c r="M224" s="6"/>
      <c r="N224" s="5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37"/>
      <c r="BB224" s="37"/>
      <c r="BC224" s="37"/>
    </row>
    <row r="225" spans="9:55">
      <c r="I225" s="22"/>
      <c r="J225" s="6"/>
      <c r="K225" s="6"/>
      <c r="L225" s="6"/>
      <c r="M225" s="6"/>
      <c r="N225" s="5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37"/>
      <c r="BB225" s="37"/>
      <c r="BC225" s="37"/>
    </row>
    <row r="226" spans="9:55">
      <c r="I226" s="22"/>
      <c r="J226" s="6"/>
      <c r="K226" s="6"/>
      <c r="L226" s="6"/>
      <c r="M226" s="6"/>
      <c r="N226" s="5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37"/>
      <c r="BB226" s="37"/>
      <c r="BC226" s="37"/>
    </row>
    <row r="227" spans="9:55">
      <c r="I227" s="22"/>
      <c r="J227" s="6"/>
      <c r="K227" s="6"/>
      <c r="L227" s="6"/>
      <c r="M227" s="6"/>
      <c r="N227" s="5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37"/>
      <c r="BB227" s="37"/>
      <c r="BC227" s="37"/>
    </row>
    <row r="228" spans="9:55">
      <c r="I228" s="22"/>
      <c r="J228" s="6"/>
      <c r="K228" s="6"/>
      <c r="L228" s="6"/>
      <c r="M228" s="6"/>
      <c r="N228" s="5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37"/>
      <c r="BB228" s="37"/>
      <c r="BC228" s="37"/>
    </row>
    <row r="229" spans="9:55">
      <c r="I229" s="22"/>
      <c r="J229" s="6"/>
      <c r="K229" s="6"/>
      <c r="L229" s="6"/>
      <c r="M229" s="6"/>
      <c r="N229" s="5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37"/>
      <c r="BB229" s="37"/>
      <c r="BC229" s="37"/>
    </row>
    <row r="230" spans="9:55">
      <c r="I230" s="22"/>
      <c r="J230" s="6"/>
      <c r="K230" s="6"/>
      <c r="L230" s="6"/>
      <c r="M230" s="6"/>
      <c r="N230" s="5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37"/>
      <c r="BB230" s="37"/>
      <c r="BC230" s="37"/>
    </row>
    <row r="231" spans="9:55">
      <c r="I231" s="22"/>
      <c r="J231" s="6"/>
      <c r="K231" s="6"/>
      <c r="L231" s="6"/>
      <c r="M231" s="6"/>
      <c r="N231" s="5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37"/>
      <c r="BB231" s="37"/>
      <c r="BC231" s="37"/>
    </row>
    <row r="232" spans="9:55">
      <c r="I232" s="22"/>
      <c r="J232" s="6"/>
      <c r="K232" s="6"/>
      <c r="L232" s="6"/>
      <c r="M232" s="6"/>
      <c r="N232" s="5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37"/>
      <c r="BB232" s="37"/>
      <c r="BC232" s="37"/>
    </row>
    <row r="233" spans="9:55">
      <c r="I233" s="22"/>
      <c r="J233" s="6"/>
      <c r="K233" s="6"/>
      <c r="L233" s="6"/>
      <c r="M233" s="6"/>
      <c r="N233" s="5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37"/>
      <c r="BB233" s="37"/>
      <c r="BC233" s="37"/>
    </row>
    <row r="234" spans="9:55">
      <c r="I234" s="22"/>
      <c r="J234" s="6"/>
      <c r="K234" s="6"/>
      <c r="L234" s="6"/>
      <c r="M234" s="6"/>
      <c r="N234" s="5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37"/>
      <c r="BB234" s="37"/>
      <c r="BC234" s="37"/>
    </row>
    <row r="235" spans="9:55">
      <c r="I235" s="22"/>
      <c r="J235" s="6"/>
      <c r="K235" s="6"/>
      <c r="L235" s="6"/>
      <c r="M235" s="6"/>
      <c r="N235" s="5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37"/>
      <c r="BB235" s="37"/>
      <c r="BC235" s="37"/>
    </row>
    <row r="236" spans="9:55">
      <c r="I236" s="22"/>
      <c r="J236" s="6"/>
      <c r="K236" s="6"/>
      <c r="L236" s="6"/>
      <c r="M236" s="6"/>
      <c r="N236" s="5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37"/>
      <c r="BB236" s="37"/>
      <c r="BC236" s="37"/>
    </row>
    <row r="237" spans="9:55">
      <c r="I237" s="22"/>
      <c r="J237" s="6"/>
      <c r="K237" s="6"/>
      <c r="L237" s="6"/>
      <c r="M237" s="6"/>
      <c r="N237" s="5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37"/>
      <c r="BB237" s="37"/>
      <c r="BC237" s="37"/>
    </row>
    <row r="238" spans="9:55">
      <c r="I238" s="22"/>
      <c r="J238" s="6"/>
      <c r="K238" s="6"/>
      <c r="L238" s="6"/>
      <c r="M238" s="6"/>
      <c r="N238" s="5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37"/>
      <c r="BB238" s="37"/>
      <c r="BC238" s="37"/>
    </row>
    <row r="239" spans="9:55">
      <c r="I239" s="22"/>
      <c r="J239" s="6"/>
      <c r="K239" s="6"/>
      <c r="L239" s="6"/>
      <c r="M239" s="6"/>
      <c r="N239" s="5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37"/>
      <c r="BB239" s="37"/>
      <c r="BC239" s="37"/>
    </row>
    <row r="240" spans="9:55">
      <c r="I240" s="22"/>
      <c r="J240" s="6"/>
      <c r="K240" s="6"/>
      <c r="L240" s="6"/>
      <c r="M240" s="6"/>
      <c r="N240" s="5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37"/>
      <c r="BB240" s="37"/>
      <c r="BC240" s="37"/>
    </row>
    <row r="241" spans="9:55">
      <c r="I241" s="22"/>
      <c r="J241" s="6"/>
      <c r="K241" s="6"/>
      <c r="L241" s="6"/>
      <c r="M241" s="6"/>
      <c r="N241" s="5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37"/>
      <c r="BB241" s="37"/>
      <c r="BC241" s="37"/>
    </row>
    <row r="242" spans="9:55">
      <c r="I242" s="22"/>
      <c r="J242" s="6"/>
      <c r="K242" s="6"/>
      <c r="L242" s="6"/>
      <c r="M242" s="6"/>
      <c r="N242" s="5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37"/>
      <c r="BB242" s="37"/>
      <c r="BC242" s="37"/>
    </row>
    <row r="243" spans="9:55">
      <c r="I243" s="22"/>
      <c r="J243" s="6"/>
      <c r="K243" s="6"/>
      <c r="L243" s="6"/>
      <c r="M243" s="6"/>
      <c r="N243" s="5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37"/>
      <c r="BB243" s="37"/>
      <c r="BC243" s="37"/>
    </row>
    <row r="244" spans="9:55">
      <c r="I244" s="22"/>
      <c r="J244" s="6"/>
      <c r="K244" s="6"/>
      <c r="L244" s="6"/>
      <c r="M244" s="6"/>
      <c r="N244" s="5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37"/>
      <c r="BB244" s="37"/>
      <c r="BC244" s="37"/>
    </row>
    <row r="245" spans="9:55">
      <c r="I245" s="22"/>
      <c r="J245" s="6"/>
      <c r="K245" s="6"/>
      <c r="L245" s="6"/>
      <c r="M245" s="6"/>
      <c r="N245" s="5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37"/>
      <c r="BB245" s="37"/>
      <c r="BC245" s="37"/>
    </row>
    <row r="246" spans="9:55">
      <c r="I246" s="22"/>
      <c r="J246" s="6"/>
      <c r="K246" s="6"/>
      <c r="L246" s="6"/>
      <c r="M246" s="6"/>
      <c r="N246" s="5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37"/>
      <c r="BB246" s="37"/>
      <c r="BC246" s="37"/>
    </row>
    <row r="247" spans="9:55">
      <c r="I247" s="22"/>
      <c r="J247" s="6"/>
      <c r="K247" s="6"/>
      <c r="L247" s="6"/>
      <c r="M247" s="6"/>
      <c r="N247" s="5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37"/>
      <c r="BB247" s="37"/>
      <c r="BC247" s="37"/>
    </row>
    <row r="248" spans="9:55">
      <c r="I248" s="22"/>
      <c r="J248" s="6"/>
      <c r="K248" s="6"/>
      <c r="L248" s="6"/>
      <c r="M248" s="6"/>
      <c r="N248" s="5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37"/>
      <c r="BB248" s="37"/>
      <c r="BC248" s="37"/>
    </row>
    <row r="249" spans="9:55">
      <c r="I249" s="22"/>
      <c r="J249" s="6"/>
      <c r="K249" s="6"/>
      <c r="L249" s="6"/>
      <c r="M249" s="6"/>
      <c r="N249" s="5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37"/>
      <c r="BB249" s="37"/>
      <c r="BC249" s="37"/>
    </row>
    <row r="250" spans="9:55">
      <c r="I250" s="22"/>
      <c r="J250" s="6"/>
      <c r="K250" s="6"/>
      <c r="L250" s="6"/>
      <c r="M250" s="6"/>
      <c r="N250" s="5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37"/>
      <c r="BB250" s="37"/>
      <c r="BC250" s="37"/>
    </row>
    <row r="251" spans="9:55">
      <c r="I251" s="22"/>
      <c r="J251" s="6"/>
      <c r="K251" s="6"/>
      <c r="L251" s="6"/>
      <c r="M251" s="6"/>
      <c r="N251" s="5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37"/>
      <c r="BB251" s="37"/>
      <c r="BC251" s="37"/>
    </row>
    <row r="252" spans="9:55">
      <c r="I252" s="22"/>
      <c r="J252" s="6"/>
      <c r="K252" s="6"/>
      <c r="L252" s="6"/>
      <c r="M252" s="6"/>
      <c r="N252" s="5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37"/>
      <c r="BB252" s="37"/>
      <c r="BC252" s="37"/>
    </row>
    <row r="253" spans="9:55">
      <c r="I253" s="22"/>
      <c r="J253" s="6"/>
      <c r="K253" s="6"/>
      <c r="L253" s="6"/>
      <c r="M253" s="6"/>
      <c r="N253" s="5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37"/>
      <c r="BB253" s="37"/>
      <c r="BC253" s="37"/>
    </row>
    <row r="254" spans="9:55">
      <c r="I254" s="22"/>
      <c r="J254" s="6"/>
      <c r="K254" s="6"/>
      <c r="L254" s="6"/>
      <c r="M254" s="6"/>
      <c r="N254" s="5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37"/>
      <c r="BB254" s="37"/>
      <c r="BC254" s="37"/>
    </row>
    <row r="255" spans="9:55">
      <c r="I255" s="22"/>
      <c r="J255" s="6"/>
      <c r="K255" s="6"/>
      <c r="L255" s="6"/>
      <c r="M255" s="6"/>
      <c r="N255" s="5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37"/>
      <c r="BB255" s="37"/>
      <c r="BC255" s="37"/>
    </row>
    <row r="256" spans="9:55">
      <c r="I256" s="22"/>
      <c r="J256" s="6"/>
      <c r="K256" s="6"/>
      <c r="L256" s="6"/>
      <c r="M256" s="6"/>
      <c r="N256" s="5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37"/>
      <c r="BB256" s="37"/>
      <c r="BC256" s="37"/>
    </row>
    <row r="257" spans="9:55">
      <c r="I257" s="22"/>
      <c r="J257" s="6"/>
      <c r="K257" s="6"/>
      <c r="L257" s="6"/>
      <c r="M257" s="6"/>
      <c r="N257" s="5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37"/>
      <c r="BB257" s="37"/>
      <c r="BC257" s="37"/>
    </row>
    <row r="258" spans="9:55">
      <c r="I258" s="22"/>
      <c r="J258" s="6"/>
      <c r="K258" s="6"/>
      <c r="L258" s="6"/>
      <c r="M258" s="6"/>
      <c r="N258" s="5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37"/>
      <c r="BB258" s="37"/>
      <c r="BC258" s="37"/>
    </row>
    <row r="259" spans="9:55">
      <c r="I259" s="22"/>
      <c r="J259" s="6"/>
      <c r="K259" s="6"/>
      <c r="L259" s="6"/>
      <c r="M259" s="6"/>
      <c r="N259" s="5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37"/>
      <c r="BB259" s="37"/>
      <c r="BC259" s="37"/>
    </row>
    <row r="260" spans="9:55">
      <c r="I260" s="22"/>
      <c r="J260" s="6"/>
      <c r="K260" s="6"/>
      <c r="L260" s="6"/>
      <c r="M260" s="6"/>
      <c r="N260" s="5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37"/>
      <c r="BB260" s="37"/>
      <c r="BC260" s="37"/>
    </row>
    <row r="261" spans="9:55">
      <c r="I261" s="22"/>
      <c r="J261" s="6"/>
      <c r="K261" s="6"/>
      <c r="L261" s="6"/>
      <c r="M261" s="6"/>
      <c r="N261" s="5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37"/>
      <c r="BB261" s="37"/>
      <c r="BC261" s="37"/>
    </row>
    <row r="262" spans="9:55">
      <c r="I262" s="22"/>
      <c r="J262" s="6"/>
      <c r="K262" s="6"/>
      <c r="L262" s="6"/>
      <c r="M262" s="6"/>
      <c r="N262" s="5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37"/>
      <c r="BB262" s="37"/>
      <c r="BC262" s="37"/>
    </row>
    <row r="263" spans="9:55">
      <c r="I263" s="22"/>
      <c r="J263" s="6"/>
      <c r="K263" s="6"/>
      <c r="L263" s="6"/>
      <c r="M263" s="6"/>
      <c r="N263" s="5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37"/>
      <c r="BB263" s="37"/>
      <c r="BC263" s="37"/>
    </row>
    <row r="264" spans="9:55">
      <c r="I264" s="22"/>
      <c r="J264" s="6"/>
      <c r="K264" s="6"/>
      <c r="L264" s="6"/>
      <c r="M264" s="6"/>
      <c r="N264" s="5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37"/>
      <c r="BB264" s="37"/>
      <c r="BC264" s="37"/>
    </row>
    <row r="265" spans="9:55">
      <c r="I265" s="22"/>
      <c r="J265" s="6"/>
      <c r="K265" s="6"/>
      <c r="L265" s="6"/>
      <c r="M265" s="6"/>
      <c r="N265" s="5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37"/>
      <c r="BB265" s="37"/>
      <c r="BC265" s="37"/>
    </row>
    <row r="266" spans="9:55">
      <c r="I266" s="22"/>
      <c r="J266" s="6"/>
      <c r="K266" s="6"/>
      <c r="L266" s="6"/>
      <c r="M266" s="6"/>
      <c r="N266" s="5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37"/>
      <c r="BB266" s="37"/>
      <c r="BC266" s="37"/>
    </row>
    <row r="267" spans="9:55">
      <c r="I267" s="22"/>
      <c r="J267" s="6"/>
      <c r="K267" s="6"/>
      <c r="L267" s="6"/>
      <c r="M267" s="6"/>
      <c r="N267" s="5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37"/>
      <c r="BB267" s="37"/>
      <c r="BC267" s="37"/>
    </row>
    <row r="268" spans="9:55">
      <c r="I268" s="22"/>
      <c r="J268" s="6"/>
      <c r="K268" s="6"/>
      <c r="L268" s="6"/>
      <c r="M268" s="6"/>
      <c r="N268" s="5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37"/>
      <c r="BB268" s="37"/>
      <c r="BC268" s="37"/>
    </row>
    <row r="269" spans="9:55">
      <c r="I269" s="22"/>
      <c r="J269" s="6"/>
      <c r="K269" s="6"/>
      <c r="L269" s="6"/>
      <c r="M269" s="6"/>
      <c r="N269" s="5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37"/>
      <c r="BB269" s="37"/>
      <c r="BC269" s="37"/>
    </row>
    <row r="270" spans="9:55">
      <c r="I270" s="22"/>
      <c r="J270" s="6"/>
      <c r="K270" s="6"/>
      <c r="L270" s="6"/>
      <c r="M270" s="6"/>
      <c r="N270" s="5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37"/>
      <c r="BB270" s="37"/>
      <c r="BC270" s="37"/>
    </row>
    <row r="271" spans="9:55">
      <c r="I271" s="22"/>
      <c r="J271" s="6"/>
      <c r="K271" s="6"/>
      <c r="L271" s="6"/>
      <c r="M271" s="6"/>
      <c r="N271" s="5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37"/>
      <c r="BB271" s="37"/>
      <c r="BC271" s="37"/>
    </row>
    <row r="272" spans="9:55">
      <c r="I272" s="22"/>
      <c r="J272" s="6"/>
      <c r="K272" s="6"/>
      <c r="L272" s="6"/>
      <c r="M272" s="6"/>
      <c r="N272" s="5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37"/>
      <c r="BB272" s="37"/>
      <c r="BC272" s="37"/>
    </row>
    <row r="273" spans="9:55">
      <c r="I273" s="22"/>
      <c r="J273" s="6"/>
      <c r="K273" s="6"/>
      <c r="L273" s="6"/>
      <c r="M273" s="6"/>
      <c r="N273" s="5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37"/>
      <c r="BB273" s="37"/>
      <c r="BC273" s="37"/>
    </row>
    <row r="274" spans="9:55">
      <c r="I274" s="22"/>
      <c r="J274" s="6"/>
      <c r="K274" s="6"/>
      <c r="L274" s="6"/>
      <c r="M274" s="6"/>
      <c r="N274" s="5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37"/>
      <c r="BB274" s="37"/>
      <c r="BC274" s="37"/>
    </row>
    <row r="275" spans="9:55">
      <c r="I275" s="22"/>
      <c r="J275" s="6"/>
      <c r="K275" s="6"/>
      <c r="L275" s="6"/>
      <c r="M275" s="6"/>
      <c r="N275" s="5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37"/>
      <c r="BB275" s="37"/>
      <c r="BC275" s="37"/>
    </row>
    <row r="276" spans="9:55">
      <c r="I276" s="22"/>
      <c r="J276" s="6"/>
      <c r="K276" s="6"/>
      <c r="L276" s="6"/>
      <c r="M276" s="6"/>
      <c r="N276" s="5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37"/>
      <c r="BB276" s="37"/>
      <c r="BC276" s="37"/>
    </row>
    <row r="277" spans="9:55">
      <c r="I277" s="22"/>
      <c r="J277" s="6"/>
      <c r="K277" s="6"/>
      <c r="L277" s="6"/>
      <c r="M277" s="6"/>
      <c r="N277" s="5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37"/>
      <c r="BB277" s="37"/>
      <c r="BC277" s="37"/>
    </row>
    <row r="278" spans="9:55">
      <c r="I278" s="22"/>
      <c r="J278" s="6"/>
      <c r="K278" s="6"/>
      <c r="L278" s="6"/>
      <c r="M278" s="6"/>
      <c r="N278" s="5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37"/>
      <c r="BB278" s="37"/>
      <c r="BC278" s="37"/>
    </row>
    <row r="279" spans="9:55">
      <c r="I279" s="22"/>
      <c r="J279" s="6"/>
      <c r="K279" s="6"/>
      <c r="L279" s="6"/>
      <c r="M279" s="6"/>
      <c r="N279" s="5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37"/>
      <c r="BB279" s="37"/>
      <c r="BC279" s="37"/>
    </row>
    <row r="280" spans="9:55">
      <c r="I280" s="22"/>
      <c r="J280" s="6"/>
      <c r="K280" s="6"/>
      <c r="L280" s="6"/>
      <c r="M280" s="6"/>
      <c r="N280" s="5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37"/>
      <c r="BB280" s="37"/>
      <c r="BC280" s="37"/>
    </row>
    <row r="281" spans="9:55">
      <c r="I281" s="22"/>
      <c r="J281" s="6"/>
      <c r="K281" s="6"/>
      <c r="L281" s="6"/>
      <c r="M281" s="6"/>
      <c r="N281" s="5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37"/>
      <c r="BB281" s="37"/>
      <c r="BC281" s="37"/>
    </row>
    <row r="282" spans="9:55">
      <c r="I282" s="22"/>
      <c r="J282" s="6"/>
      <c r="K282" s="6"/>
      <c r="L282" s="6"/>
      <c r="M282" s="6"/>
      <c r="N282" s="5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37"/>
      <c r="BB282" s="37"/>
      <c r="BC282" s="37"/>
    </row>
    <row r="283" spans="9:55">
      <c r="I283" s="22"/>
      <c r="J283" s="6"/>
      <c r="K283" s="6"/>
      <c r="L283" s="6"/>
      <c r="M283" s="6"/>
      <c r="N283" s="5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37"/>
      <c r="BB283" s="37"/>
      <c r="BC283" s="37"/>
    </row>
    <row r="284" spans="9:55">
      <c r="I284" s="22"/>
      <c r="J284" s="6"/>
      <c r="K284" s="6"/>
      <c r="L284" s="6"/>
      <c r="M284" s="6"/>
      <c r="N284" s="5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37"/>
      <c r="BB284" s="37"/>
      <c r="BC284" s="37"/>
    </row>
    <row r="285" spans="9:55">
      <c r="I285" s="22"/>
      <c r="J285" s="6"/>
      <c r="K285" s="6"/>
      <c r="L285" s="6"/>
      <c r="M285" s="6"/>
      <c r="N285" s="5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37"/>
      <c r="BB285" s="37"/>
      <c r="BC285" s="37"/>
    </row>
    <row r="286" spans="9:55">
      <c r="I286" s="22"/>
      <c r="J286" s="6"/>
      <c r="K286" s="6"/>
      <c r="L286" s="6"/>
      <c r="M286" s="6"/>
      <c r="N286" s="5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37"/>
      <c r="BB286" s="37"/>
      <c r="BC286" s="37"/>
    </row>
    <row r="287" spans="9:55">
      <c r="I287" s="22"/>
      <c r="J287" s="6"/>
      <c r="K287" s="6"/>
      <c r="L287" s="6"/>
      <c r="M287" s="6"/>
      <c r="N287" s="5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37"/>
      <c r="BB287" s="37"/>
      <c r="BC287" s="37"/>
    </row>
    <row r="288" spans="9:55">
      <c r="I288" s="22"/>
      <c r="J288" s="6"/>
      <c r="K288" s="6"/>
      <c r="L288" s="6"/>
      <c r="M288" s="6"/>
      <c r="N288" s="5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37"/>
      <c r="BB288" s="37"/>
      <c r="BC288" s="37"/>
    </row>
    <row r="289" spans="9:55">
      <c r="I289" s="22"/>
      <c r="J289" s="6"/>
      <c r="K289" s="6"/>
      <c r="L289" s="6"/>
      <c r="M289" s="6"/>
      <c r="N289" s="5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37"/>
      <c r="BB289" s="37"/>
      <c r="BC289" s="37"/>
    </row>
    <row r="290" spans="9:55">
      <c r="I290" s="22"/>
      <c r="J290" s="6"/>
      <c r="K290" s="6"/>
      <c r="L290" s="6"/>
      <c r="M290" s="6"/>
      <c r="N290" s="5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37"/>
      <c r="BB290" s="37"/>
      <c r="BC290" s="37"/>
    </row>
    <row r="291" spans="9:55">
      <c r="I291" s="22"/>
      <c r="J291" s="6"/>
      <c r="K291" s="6"/>
      <c r="L291" s="6"/>
      <c r="M291" s="6"/>
      <c r="N291" s="5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37"/>
      <c r="BB291" s="37"/>
      <c r="BC291" s="37"/>
    </row>
    <row r="292" spans="9:55">
      <c r="I292" s="22"/>
      <c r="J292" s="6"/>
      <c r="K292" s="6"/>
      <c r="L292" s="6"/>
      <c r="M292" s="6"/>
      <c r="N292" s="5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37"/>
      <c r="BB292" s="37"/>
      <c r="BC292" s="37"/>
    </row>
    <row r="293" spans="9:55">
      <c r="I293" s="22"/>
      <c r="J293" s="6"/>
      <c r="K293" s="6"/>
      <c r="L293" s="6"/>
      <c r="M293" s="6"/>
      <c r="N293" s="5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37"/>
      <c r="BB293" s="37"/>
      <c r="BC293" s="37"/>
    </row>
    <row r="294" spans="9:55">
      <c r="I294" s="22"/>
      <c r="J294" s="6"/>
      <c r="K294" s="6"/>
      <c r="L294" s="6"/>
      <c r="M294" s="6"/>
      <c r="N294" s="5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37"/>
      <c r="BB294" s="37"/>
      <c r="BC294" s="37"/>
    </row>
    <row r="295" spans="9:55">
      <c r="I295" s="22"/>
      <c r="J295" s="6"/>
      <c r="K295" s="6"/>
      <c r="L295" s="6"/>
      <c r="M295" s="6"/>
      <c r="N295" s="5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37"/>
      <c r="BB295" s="37"/>
      <c r="BC295" s="37"/>
    </row>
    <row r="296" spans="9:55">
      <c r="I296" s="22"/>
      <c r="J296" s="6"/>
      <c r="K296" s="6"/>
      <c r="L296" s="6"/>
      <c r="M296" s="6"/>
      <c r="N296" s="5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37"/>
      <c r="BB296" s="37"/>
      <c r="BC296" s="37"/>
    </row>
    <row r="297" spans="9:55">
      <c r="I297" s="22"/>
      <c r="J297" s="6"/>
      <c r="K297" s="6"/>
      <c r="L297" s="6"/>
      <c r="M297" s="6"/>
      <c r="N297" s="5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37"/>
      <c r="BB297" s="37"/>
      <c r="BC297" s="37"/>
    </row>
    <row r="298" spans="9:55">
      <c r="I298" s="22"/>
      <c r="J298" s="6"/>
      <c r="K298" s="6"/>
      <c r="L298" s="6"/>
      <c r="M298" s="6"/>
      <c r="N298" s="5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37"/>
      <c r="BB298" s="37"/>
      <c r="BC298" s="37"/>
    </row>
    <row r="299" spans="9:55">
      <c r="I299" s="22"/>
      <c r="J299" s="6"/>
      <c r="K299" s="6"/>
      <c r="L299" s="6"/>
      <c r="M299" s="6"/>
      <c r="N299" s="5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37"/>
      <c r="BB299" s="37"/>
      <c r="BC299" s="37"/>
    </row>
    <row r="300" spans="9:55">
      <c r="I300" s="22"/>
      <c r="J300" s="6"/>
      <c r="K300" s="6"/>
      <c r="L300" s="6"/>
      <c r="M300" s="6"/>
      <c r="N300" s="5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37"/>
      <c r="BB300" s="37"/>
      <c r="BC300" s="37"/>
    </row>
    <row r="301" spans="9:55">
      <c r="I301" s="22"/>
      <c r="J301" s="6"/>
      <c r="K301" s="6"/>
      <c r="L301" s="6"/>
      <c r="M301" s="6"/>
      <c r="N301" s="5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37"/>
      <c r="BB301" s="37"/>
      <c r="BC301" s="37"/>
    </row>
    <row r="302" spans="9:55">
      <c r="I302" s="22"/>
      <c r="J302" s="6"/>
      <c r="K302" s="6"/>
      <c r="L302" s="6"/>
      <c r="M302" s="6"/>
      <c r="N302" s="5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37"/>
      <c r="BB302" s="37"/>
      <c r="BC302" s="37"/>
    </row>
    <row r="303" spans="9:55">
      <c r="I303" s="22"/>
      <c r="J303" s="6"/>
      <c r="K303" s="6"/>
      <c r="L303" s="6"/>
      <c r="M303" s="6"/>
      <c r="N303" s="5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37"/>
      <c r="BB303" s="37"/>
      <c r="BC303" s="37"/>
    </row>
    <row r="304" spans="9:55">
      <c r="I304" s="22"/>
      <c r="J304" s="6"/>
      <c r="K304" s="6"/>
      <c r="L304" s="6"/>
      <c r="M304" s="6"/>
      <c r="N304" s="5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37"/>
      <c r="BB304" s="37"/>
      <c r="BC304" s="37"/>
    </row>
    <row r="305" spans="9:55">
      <c r="I305" s="22"/>
      <c r="J305" s="6"/>
      <c r="K305" s="6"/>
      <c r="L305" s="6"/>
      <c r="M305" s="6"/>
      <c r="N305" s="5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37"/>
      <c r="BB305" s="37"/>
      <c r="BC305" s="37"/>
    </row>
    <row r="306" spans="9:55">
      <c r="I306" s="22"/>
      <c r="J306" s="6"/>
      <c r="K306" s="6"/>
      <c r="L306" s="6"/>
      <c r="M306" s="6"/>
      <c r="N306" s="5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37"/>
      <c r="BB306" s="37"/>
      <c r="BC306" s="37"/>
    </row>
    <row r="307" spans="9:55">
      <c r="I307" s="22"/>
      <c r="J307" s="6"/>
      <c r="K307" s="6"/>
      <c r="L307" s="6"/>
      <c r="M307" s="6"/>
      <c r="N307" s="5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37"/>
      <c r="BB307" s="37"/>
      <c r="BC307" s="37"/>
    </row>
    <row r="308" spans="9:55">
      <c r="I308" s="22"/>
      <c r="J308" s="6"/>
      <c r="K308" s="6"/>
      <c r="L308" s="6"/>
      <c r="M308" s="6"/>
      <c r="N308" s="5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37"/>
      <c r="BB308" s="37"/>
      <c r="BC308" s="37"/>
    </row>
    <row r="309" spans="9:55">
      <c r="I309" s="22"/>
      <c r="J309" s="6"/>
      <c r="K309" s="6"/>
      <c r="L309" s="6"/>
      <c r="M309" s="6"/>
      <c r="N309" s="5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37"/>
      <c r="BB309" s="37"/>
      <c r="BC309" s="37"/>
    </row>
    <row r="310" spans="9:55">
      <c r="I310" s="22"/>
      <c r="J310" s="6"/>
      <c r="K310" s="6"/>
      <c r="L310" s="6"/>
      <c r="M310" s="6"/>
      <c r="N310" s="5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37"/>
      <c r="BB310" s="37"/>
      <c r="BC310" s="37"/>
    </row>
    <row r="311" spans="9:55">
      <c r="I311" s="22"/>
      <c r="J311" s="6"/>
      <c r="K311" s="6"/>
      <c r="L311" s="6"/>
      <c r="M311" s="6"/>
      <c r="N311" s="5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37"/>
      <c r="BB311" s="37"/>
      <c r="BC311" s="37"/>
    </row>
    <row r="312" spans="9:55">
      <c r="I312" s="22"/>
      <c r="J312" s="6"/>
      <c r="K312" s="6"/>
      <c r="L312" s="6"/>
      <c r="M312" s="6"/>
      <c r="N312" s="5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37"/>
      <c r="BB312" s="37"/>
      <c r="BC312" s="37"/>
    </row>
    <row r="313" spans="9:55">
      <c r="I313" s="22"/>
      <c r="J313" s="6"/>
      <c r="K313" s="6"/>
      <c r="L313" s="6"/>
      <c r="M313" s="6"/>
      <c r="N313" s="5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37"/>
      <c r="BB313" s="37"/>
      <c r="BC313" s="37"/>
    </row>
    <row r="314" spans="9:55">
      <c r="I314" s="22"/>
      <c r="J314" s="6"/>
      <c r="K314" s="6"/>
      <c r="L314" s="6"/>
      <c r="M314" s="6"/>
      <c r="N314" s="5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37"/>
      <c r="BB314" s="37"/>
      <c r="BC314" s="37"/>
    </row>
    <row r="315" spans="9:55">
      <c r="I315" s="22"/>
      <c r="J315" s="6"/>
      <c r="K315" s="6"/>
      <c r="L315" s="6"/>
      <c r="M315" s="6"/>
      <c r="N315" s="5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37"/>
      <c r="BB315" s="37"/>
      <c r="BC315" s="37"/>
    </row>
    <row r="316" spans="9:55">
      <c r="I316" s="22"/>
      <c r="J316" s="6"/>
      <c r="K316" s="6"/>
      <c r="L316" s="6"/>
      <c r="M316" s="6"/>
      <c r="N316" s="5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37"/>
      <c r="BB316" s="37"/>
      <c r="BC316" s="37"/>
    </row>
    <row r="317" spans="9:55">
      <c r="I317" s="22"/>
      <c r="J317" s="6"/>
      <c r="K317" s="6"/>
      <c r="L317" s="6"/>
      <c r="M317" s="6"/>
      <c r="N317" s="5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37"/>
      <c r="BB317" s="37"/>
      <c r="BC317" s="37"/>
    </row>
    <row r="318" spans="9:55">
      <c r="I318" s="22"/>
      <c r="J318" s="6"/>
      <c r="K318" s="6"/>
      <c r="L318" s="6"/>
      <c r="M318" s="6"/>
      <c r="N318" s="5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37"/>
      <c r="BB318" s="37"/>
      <c r="BC318" s="37"/>
    </row>
    <row r="319" spans="9:55">
      <c r="I319" s="22"/>
      <c r="J319" s="6"/>
      <c r="K319" s="6"/>
      <c r="L319" s="6"/>
      <c r="M319" s="6"/>
      <c r="N319" s="5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37"/>
      <c r="BB319" s="37"/>
      <c r="BC319" s="37"/>
    </row>
    <row r="320" spans="9:55">
      <c r="I320" s="22"/>
      <c r="J320" s="6"/>
      <c r="K320" s="6"/>
      <c r="L320" s="6"/>
      <c r="M320" s="6"/>
      <c r="N320" s="5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37"/>
      <c r="BB320" s="37"/>
      <c r="BC320" s="37"/>
    </row>
    <row r="321" spans="9:55">
      <c r="I321" s="22"/>
      <c r="J321" s="6"/>
      <c r="K321" s="6"/>
      <c r="L321" s="6"/>
      <c r="M321" s="6"/>
      <c r="N321" s="5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37"/>
      <c r="BB321" s="37"/>
      <c r="BC321" s="37"/>
    </row>
    <row r="322" spans="9:55">
      <c r="I322" s="22"/>
      <c r="J322" s="6"/>
      <c r="K322" s="6"/>
      <c r="L322" s="6"/>
      <c r="M322" s="6"/>
      <c r="N322" s="5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37"/>
      <c r="BB322" s="37"/>
      <c r="BC322" s="37"/>
    </row>
    <row r="323" spans="9:55">
      <c r="I323" s="22"/>
      <c r="J323" s="6"/>
      <c r="K323" s="6"/>
      <c r="L323" s="6"/>
      <c r="M323" s="6"/>
      <c r="N323" s="5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37"/>
      <c r="BB323" s="37"/>
      <c r="BC323" s="37"/>
    </row>
    <row r="324" spans="9:55">
      <c r="I324" s="22"/>
      <c r="J324" s="6"/>
      <c r="K324" s="6"/>
      <c r="L324" s="6"/>
      <c r="M324" s="6"/>
      <c r="N324" s="5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37"/>
      <c r="BB324" s="37"/>
      <c r="BC324" s="37"/>
    </row>
    <row r="325" spans="9:55">
      <c r="I325" s="22"/>
      <c r="J325" s="6"/>
      <c r="K325" s="6"/>
      <c r="L325" s="6"/>
      <c r="M325" s="6"/>
      <c r="N325" s="5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37"/>
      <c r="BB325" s="37"/>
      <c r="BC325" s="37"/>
    </row>
    <row r="326" spans="9:55">
      <c r="I326" s="22"/>
      <c r="J326" s="6"/>
      <c r="K326" s="6"/>
      <c r="L326" s="6"/>
      <c r="M326" s="6"/>
      <c r="N326" s="5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37"/>
      <c r="BB326" s="37"/>
      <c r="BC326" s="37"/>
    </row>
    <row r="327" spans="9:55">
      <c r="I327" s="22"/>
      <c r="J327" s="6"/>
      <c r="K327" s="6"/>
      <c r="L327" s="6"/>
      <c r="M327" s="6"/>
      <c r="N327" s="5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37"/>
      <c r="BB327" s="37"/>
      <c r="BC327" s="37"/>
    </row>
    <row r="328" spans="9:55">
      <c r="I328" s="22"/>
      <c r="J328" s="6"/>
      <c r="K328" s="6"/>
      <c r="L328" s="6"/>
      <c r="M328" s="6"/>
      <c r="N328" s="5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37"/>
      <c r="BB328" s="37"/>
      <c r="BC328" s="37"/>
    </row>
    <row r="329" spans="9:55">
      <c r="I329" s="22"/>
      <c r="J329" s="6"/>
      <c r="K329" s="6"/>
      <c r="L329" s="6"/>
      <c r="M329" s="6"/>
      <c r="N329" s="5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37"/>
      <c r="BB329" s="37"/>
      <c r="BC329" s="37"/>
    </row>
    <row r="330" spans="9:55">
      <c r="I330" s="22"/>
      <c r="J330" s="6"/>
      <c r="K330" s="6"/>
      <c r="L330" s="6"/>
      <c r="M330" s="6"/>
      <c r="N330" s="5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37"/>
      <c r="BB330" s="37"/>
      <c r="BC330" s="37"/>
    </row>
    <row r="331" spans="9:55">
      <c r="I331" s="22"/>
      <c r="J331" s="6"/>
      <c r="K331" s="6"/>
      <c r="L331" s="6"/>
      <c r="M331" s="6"/>
      <c r="N331" s="5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37"/>
      <c r="BB331" s="37"/>
      <c r="BC331" s="37"/>
    </row>
    <row r="332" spans="9:55">
      <c r="I332" s="22"/>
      <c r="J332" s="6"/>
      <c r="K332" s="6"/>
      <c r="L332" s="6"/>
      <c r="M332" s="6"/>
      <c r="N332" s="5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37"/>
      <c r="BB332" s="37"/>
      <c r="BC332" s="37"/>
    </row>
    <row r="333" spans="9:55">
      <c r="I333" s="22"/>
      <c r="J333" s="6"/>
      <c r="K333" s="6"/>
      <c r="L333" s="6"/>
      <c r="M333" s="6"/>
      <c r="N333" s="5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37"/>
      <c r="BB333" s="37"/>
      <c r="BC333" s="37"/>
    </row>
    <row r="334" spans="9:55">
      <c r="I334" s="22"/>
      <c r="J334" s="6"/>
      <c r="K334" s="6"/>
      <c r="L334" s="6"/>
      <c r="M334" s="6"/>
      <c r="N334" s="5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37"/>
      <c r="BB334" s="37"/>
      <c r="BC334" s="37"/>
    </row>
  </sheetData>
  <autoFilter ref="A3:BD89" xr:uid="{11C76AE0-E066-4C18-8187-18289F4A178A}">
    <filterColumn colId="1">
      <filters>
        <filter val="LIMA"/>
      </filters>
    </filterColumn>
    <sortState xmlns:xlrd2="http://schemas.microsoft.com/office/spreadsheetml/2017/richdata2" ref="A15:BD48">
      <sortCondition ref="C3:C87"/>
    </sortState>
  </autoFilter>
  <mergeCells count="14">
    <mergeCell ref="A1:A2"/>
    <mergeCell ref="Y2:AI2"/>
    <mergeCell ref="Y1:AI1"/>
    <mergeCell ref="J1:X1"/>
    <mergeCell ref="P2:X2"/>
    <mergeCell ref="B1:D2"/>
    <mergeCell ref="E1:H2"/>
    <mergeCell ref="I2:M2"/>
    <mergeCell ref="AJ1:AT1"/>
    <mergeCell ref="AJ2:AT2"/>
    <mergeCell ref="AU1:AX1"/>
    <mergeCell ref="AU2:AX2"/>
    <mergeCell ref="BD1:BD2"/>
    <mergeCell ref="AY1:BA2"/>
  </mergeCells>
  <conditionalFormatting sqref="B57:C57 I57">
    <cfRule type="iconSet" priority="3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58:C58 I58">
    <cfRule type="iconSet" priority="3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60:C60 I60">
    <cfRule type="iconSet" priority="3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61:C61 I61 C62:C70">
    <cfRule type="iconSet" priority="2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4:I4 C4:C73 E5:I5 D5:D73 E6:G66 I4:I56 B5:C54 C74:D89 H6:H89">
    <cfRule type="iconSet" priority="45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67:G73">
    <cfRule type="iconSet" priority="2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74:G74">
    <cfRule type="iconSet" priority="2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75:G75">
    <cfRule type="iconSet" priority="2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76:G76">
    <cfRule type="iconSet" priority="2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77:G77">
    <cfRule type="iconSet" priority="19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78:G78">
    <cfRule type="iconSet" priority="1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79:G79">
    <cfRule type="iconSet" priority="16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80:G80">
    <cfRule type="iconSet" priority="1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81:G81">
    <cfRule type="iconSet" priority="13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82:G82">
    <cfRule type="iconSet" priority="1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83:G83">
    <cfRule type="iconSet" priority="10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84:G84">
    <cfRule type="iconSet" priority="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85:G85">
    <cfRule type="iconSet" priority="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86:G86">
    <cfRule type="iconSet" priority="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E87:G87">
    <cfRule type="iconSet" priority="4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T1:T1048576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:U104857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:AB1048576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:AE1048576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:AF1048576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1:AM1048576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P1:AP10485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Q1:AQ1048576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1:AX1048576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4:AZ81">
    <cfRule type="colorScale" priority="6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Y82:AZ83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Y84:AZ85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Y86:AZ87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A1:BC1048576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1:BD1048576">
    <cfRule type="cellIs" dxfId="0" priority="41" operator="equal">
      <formula>"Graduado"</formula>
    </cfRule>
  </conditionalFormatting>
  <conditionalFormatting sqref="E88:G88 E89"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F89:G89">
    <cfRule type="iconSet" priority="1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AY88:AZ8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728A-2B87-48C2-9589-3CC6896A8061}">
  <sheetPr filterMode="1"/>
  <dimension ref="A1:N12"/>
  <sheetViews>
    <sheetView workbookViewId="0"/>
  </sheetViews>
  <sheetFormatPr defaultColWidth="11.42578125" defaultRowHeight="14.45"/>
  <cols>
    <col min="3" max="3" width="14.140625" bestFit="1" customWidth="1"/>
    <col min="4" max="4" width="14.7109375" bestFit="1" customWidth="1"/>
    <col min="5" max="5" width="14.140625" bestFit="1" customWidth="1"/>
    <col min="6" max="6" width="14.7109375" bestFit="1" customWidth="1"/>
    <col min="8" max="8" width="14.7109375" bestFit="1" customWidth="1"/>
    <col min="10" max="10" width="14.7109375" bestFit="1" customWidth="1"/>
    <col min="12" max="12" width="14.7109375" bestFit="1" customWidth="1"/>
    <col min="13" max="13" width="14.140625" bestFit="1" customWidth="1"/>
    <col min="14" max="14" width="14.7109375" bestFit="1" customWidth="1"/>
  </cols>
  <sheetData>
    <row r="1" spans="1:14">
      <c r="C1" s="130" t="s">
        <v>72</v>
      </c>
      <c r="D1" s="130"/>
      <c r="E1" s="130" t="s">
        <v>73</v>
      </c>
      <c r="F1" s="130"/>
      <c r="G1" s="130" t="s">
        <v>74</v>
      </c>
      <c r="H1" s="130"/>
      <c r="I1" s="130" t="s">
        <v>75</v>
      </c>
      <c r="J1" s="130"/>
      <c r="K1" s="130" t="s">
        <v>12</v>
      </c>
      <c r="L1" s="130"/>
      <c r="M1" s="130" t="s">
        <v>76</v>
      </c>
      <c r="N1" s="130"/>
    </row>
    <row r="2" spans="1:14">
      <c r="A2" t="s">
        <v>15</v>
      </c>
      <c r="B2" t="s">
        <v>16</v>
      </c>
      <c r="C2" t="s">
        <v>32</v>
      </c>
      <c r="D2" t="s">
        <v>33</v>
      </c>
      <c r="E2" t="s">
        <v>32</v>
      </c>
      <c r="F2" t="s">
        <v>33</v>
      </c>
      <c r="G2" t="s">
        <v>32</v>
      </c>
      <c r="H2" t="s">
        <v>33</v>
      </c>
      <c r="I2" t="s">
        <v>32</v>
      </c>
      <c r="J2" t="s">
        <v>33</v>
      </c>
      <c r="K2" t="s">
        <v>32</v>
      </c>
      <c r="L2" t="s">
        <v>33</v>
      </c>
      <c r="M2" t="s">
        <v>32</v>
      </c>
      <c r="N2" t="s">
        <v>33</v>
      </c>
    </row>
    <row r="3" spans="1:14">
      <c r="A3" t="str">
        <f>+Hoja1!B12</f>
        <v>CUENCA</v>
      </c>
      <c r="B3">
        <f>+Hoja1!C12</f>
        <v>5</v>
      </c>
      <c r="C3">
        <f>+Hoja1!T12</f>
        <v>1</v>
      </c>
      <c r="D3">
        <f>+Hoja1!U12</f>
        <v>0</v>
      </c>
      <c r="E3">
        <f>+Hoja1!AA12</f>
        <v>4</v>
      </c>
      <c r="F3">
        <f>+Hoja1!AB12</f>
        <v>0</v>
      </c>
      <c r="G3">
        <f>+Hoja1!AE12</f>
        <v>2</v>
      </c>
      <c r="H3">
        <f>+Hoja1!AF12</f>
        <v>0</v>
      </c>
      <c r="I3">
        <f>+Hoja1!AL12</f>
        <v>2</v>
      </c>
      <c r="J3">
        <f>+Hoja1!AM12</f>
        <v>0</v>
      </c>
      <c r="K3">
        <f>+Hoja1!AP12</f>
        <v>0</v>
      </c>
      <c r="L3">
        <f>+Hoja1!AQ12</f>
        <v>0</v>
      </c>
      <c r="M3">
        <f>+Hoja1!AW12</f>
        <v>1</v>
      </c>
      <c r="N3">
        <f>+Hoja1!AX12</f>
        <v>0</v>
      </c>
    </row>
    <row r="4" spans="1:14">
      <c r="A4" t="str">
        <f>+Hoja1!B13</f>
        <v>MEDELLIN</v>
      </c>
      <c r="B4">
        <f>+Hoja1!C13</f>
        <v>5</v>
      </c>
      <c r="C4">
        <f>+Hoja1!T13</f>
        <v>0</v>
      </c>
      <c r="D4">
        <f>+Hoja1!U13</f>
        <v>0</v>
      </c>
      <c r="E4">
        <f>+Hoja1!AA13</f>
        <v>0</v>
      </c>
      <c r="F4">
        <f>+Hoja1!AB13</f>
        <v>0</v>
      </c>
      <c r="G4">
        <f>+Hoja1!AE13</f>
        <v>0</v>
      </c>
      <c r="H4">
        <f>+Hoja1!AF13</f>
        <v>0</v>
      </c>
      <c r="I4">
        <f>+Hoja1!AL13</f>
        <v>0</v>
      </c>
      <c r="J4">
        <f>+Hoja1!AM13</f>
        <v>0</v>
      </c>
      <c r="K4">
        <f>+Hoja1!AP13</f>
        <v>0</v>
      </c>
      <c r="L4">
        <f>+Hoja1!AQ13</f>
        <v>0</v>
      </c>
      <c r="M4">
        <f>+Hoja1!AW13</f>
        <v>0</v>
      </c>
      <c r="N4">
        <f>+Hoja1!AX13</f>
        <v>0</v>
      </c>
    </row>
    <row r="5" spans="1:14">
      <c r="A5" t="str">
        <f>+Hoja1!B14</f>
        <v xml:space="preserve">CUENCA </v>
      </c>
      <c r="B5">
        <f>+Hoja1!C14</f>
        <v>6</v>
      </c>
      <c r="C5">
        <f>+Hoja1!T14</f>
        <v>1</v>
      </c>
      <c r="D5">
        <f>+Hoja1!U14</f>
        <v>0</v>
      </c>
      <c r="E5">
        <f>+Hoja1!AA14</f>
        <v>1</v>
      </c>
      <c r="F5">
        <f>+Hoja1!AB14</f>
        <v>0</v>
      </c>
      <c r="G5">
        <f>+Hoja1!AE14</f>
        <v>0</v>
      </c>
      <c r="H5">
        <f>+Hoja1!AF14</f>
        <v>1</v>
      </c>
      <c r="I5">
        <f>+Hoja1!AL14</f>
        <v>2</v>
      </c>
      <c r="J5">
        <f>+Hoja1!AM14</f>
        <v>0</v>
      </c>
      <c r="K5">
        <f>+Hoja1!AP14</f>
        <v>1</v>
      </c>
      <c r="L5">
        <f>+Hoja1!AQ14</f>
        <v>0</v>
      </c>
      <c r="M5">
        <f>+Hoja1!AW14</f>
        <v>0</v>
      </c>
      <c r="N5">
        <f>+Hoja1!AX14</f>
        <v>0</v>
      </c>
    </row>
    <row r="6" spans="1:14">
      <c r="A6" t="str">
        <f>+Hoja1!B15</f>
        <v>LIMA</v>
      </c>
      <c r="B6">
        <f>+Hoja1!C15</f>
        <v>6</v>
      </c>
      <c r="C6">
        <f>+Hoja1!T15</f>
        <v>2</v>
      </c>
      <c r="D6">
        <f>+Hoja1!U15</f>
        <v>0</v>
      </c>
      <c r="E6">
        <f>+Hoja1!AA15</f>
        <v>2</v>
      </c>
      <c r="F6">
        <f>+Hoja1!AB15</f>
        <v>0</v>
      </c>
      <c r="G6">
        <f>+Hoja1!AE15</f>
        <v>0</v>
      </c>
      <c r="H6">
        <f>+Hoja1!AF15</f>
        <v>0</v>
      </c>
      <c r="I6">
        <f>+Hoja1!AL15</f>
        <v>3</v>
      </c>
      <c r="J6">
        <f>+Hoja1!AM15</f>
        <v>1</v>
      </c>
      <c r="K6">
        <f>+Hoja1!AP15</f>
        <v>0</v>
      </c>
      <c r="L6">
        <f>+Hoja1!AQ15</f>
        <v>0</v>
      </c>
      <c r="M6">
        <f>+Hoja1!AW15</f>
        <v>0</v>
      </c>
      <c r="N6">
        <f>+Hoja1!AX15</f>
        <v>0</v>
      </c>
    </row>
    <row r="7" spans="1:14">
      <c r="A7" t="str">
        <f>+Hoja1!B16</f>
        <v xml:space="preserve">CUENCA </v>
      </c>
      <c r="B7">
        <f>+Hoja1!C16</f>
        <v>7</v>
      </c>
      <c r="C7">
        <f>+Hoja1!T16</f>
        <v>0</v>
      </c>
      <c r="D7">
        <f>+Hoja1!U16</f>
        <v>0</v>
      </c>
      <c r="E7">
        <f>+Hoja1!AA16</f>
        <v>8</v>
      </c>
      <c r="F7">
        <f>+Hoja1!AB16</f>
        <v>0</v>
      </c>
      <c r="G7">
        <f>+Hoja1!AE16</f>
        <v>3</v>
      </c>
      <c r="H7">
        <f>+Hoja1!AF16</f>
        <v>0</v>
      </c>
      <c r="I7">
        <f>+Hoja1!AL16</f>
        <v>0</v>
      </c>
      <c r="J7">
        <f>+Hoja1!AM16</f>
        <v>0</v>
      </c>
      <c r="K7">
        <f>+Hoja1!AP16</f>
        <v>4</v>
      </c>
      <c r="L7">
        <f>+Hoja1!AQ16</f>
        <v>0</v>
      </c>
      <c r="M7">
        <f>+Hoja1!AW16</f>
        <v>-4</v>
      </c>
      <c r="N7">
        <f>+Hoja1!AX16</f>
        <v>0</v>
      </c>
    </row>
    <row r="8" spans="1:14">
      <c r="A8" t="str">
        <f>+Hoja1!B17</f>
        <v>LIMA</v>
      </c>
      <c r="B8">
        <f>+Hoja1!C17</f>
        <v>7</v>
      </c>
      <c r="C8">
        <f>+Hoja1!T17</f>
        <v>1</v>
      </c>
      <c r="D8">
        <f>+Hoja1!U17</f>
        <v>0</v>
      </c>
      <c r="E8">
        <f>+Hoja1!AA17</f>
        <v>2</v>
      </c>
      <c r="F8">
        <f>+Hoja1!AB17</f>
        <v>1</v>
      </c>
      <c r="G8">
        <f>+Hoja1!AE17</f>
        <v>0</v>
      </c>
      <c r="H8">
        <f>+Hoja1!AF17</f>
        <v>0</v>
      </c>
      <c r="I8">
        <f>+Hoja1!AL17</f>
        <v>5</v>
      </c>
      <c r="J8">
        <f>+Hoja1!AM17</f>
        <v>-1</v>
      </c>
      <c r="K8">
        <f>+Hoja1!AP17</f>
        <v>0</v>
      </c>
      <c r="L8">
        <f>+Hoja1!AQ17</f>
        <v>0</v>
      </c>
      <c r="M8">
        <f>+Hoja1!AW17</f>
        <v>1</v>
      </c>
      <c r="N8">
        <f>+Hoja1!AX17</f>
        <v>0</v>
      </c>
    </row>
    <row r="9" spans="1:14">
      <c r="A9" t="str">
        <f>+Hoja1!B18</f>
        <v xml:space="preserve">CUENCA </v>
      </c>
      <c r="B9">
        <f>+Hoja1!C18</f>
        <v>8</v>
      </c>
      <c r="C9">
        <f>+Hoja1!T18</f>
        <v>0</v>
      </c>
      <c r="D9">
        <f>+Hoja1!U18</f>
        <v>0</v>
      </c>
      <c r="E9">
        <f>+Hoja1!AA18</f>
        <v>6</v>
      </c>
      <c r="F9">
        <f>+Hoja1!AB18</f>
        <v>1</v>
      </c>
      <c r="G9">
        <f>+Hoja1!AE18</f>
        <v>1</v>
      </c>
      <c r="H9">
        <f>+Hoja1!AF18</f>
        <v>0</v>
      </c>
      <c r="I9">
        <f>+Hoja1!AL18</f>
        <v>3</v>
      </c>
      <c r="J9">
        <f>+Hoja1!AM18</f>
        <v>0</v>
      </c>
      <c r="K9">
        <f>+Hoja1!AP18</f>
        <v>27</v>
      </c>
      <c r="L9">
        <f>+Hoja1!AQ18</f>
        <v>2</v>
      </c>
      <c r="M9">
        <f>+Hoja1!AW18</f>
        <v>-23</v>
      </c>
      <c r="N9">
        <f>+Hoja1!AX18</f>
        <v>-2</v>
      </c>
    </row>
    <row r="10" spans="1:14" hidden="1">
      <c r="A10" t="str">
        <f>+Hoja1!B19</f>
        <v>LIMA</v>
      </c>
      <c r="B10">
        <f>+Hoja1!C19</f>
        <v>8</v>
      </c>
      <c r="C10">
        <f>+Hoja1!T19</f>
        <v>3</v>
      </c>
      <c r="D10">
        <f>+Hoja1!U19</f>
        <v>0</v>
      </c>
      <c r="E10">
        <f>+Hoja1!AA19</f>
        <v>4</v>
      </c>
      <c r="F10">
        <f>+Hoja1!AB19</f>
        <v>0</v>
      </c>
      <c r="G10">
        <f>+Hoja1!AE19</f>
        <v>0</v>
      </c>
      <c r="H10">
        <f>+Hoja1!AF19</f>
        <v>1</v>
      </c>
      <c r="I10">
        <f>+Hoja1!AL19</f>
        <v>1</v>
      </c>
      <c r="J10">
        <f>+Hoja1!AM19</f>
        <v>2</v>
      </c>
      <c r="K10">
        <f>+Hoja1!AP19</f>
        <v>2</v>
      </c>
      <c r="L10">
        <f>+Hoja1!AQ19</f>
        <v>0</v>
      </c>
      <c r="M10">
        <f>+Hoja1!AW19</f>
        <v>0</v>
      </c>
      <c r="N10">
        <f>+Hoja1!AX19</f>
        <v>0</v>
      </c>
    </row>
    <row r="11" spans="1:14">
      <c r="A11" t="str">
        <f>+Hoja1!B20</f>
        <v xml:space="preserve">CUENCA </v>
      </c>
      <c r="B11">
        <f>+Hoja1!C20</f>
        <v>9</v>
      </c>
      <c r="C11">
        <f>+Hoja1!T20</f>
        <v>9</v>
      </c>
      <c r="D11">
        <f>+Hoja1!U20</f>
        <v>0</v>
      </c>
      <c r="E11">
        <f>+Hoja1!AA20</f>
        <v>3</v>
      </c>
      <c r="F11">
        <f>+Hoja1!AB20</f>
        <v>0</v>
      </c>
      <c r="G11">
        <f>+Hoja1!AE20</f>
        <v>3</v>
      </c>
      <c r="H11">
        <f>+Hoja1!AF20</f>
        <v>0</v>
      </c>
      <c r="I11">
        <f>+Hoja1!AL20</f>
        <v>32</v>
      </c>
      <c r="J11">
        <f>+Hoja1!AM20</f>
        <v>2</v>
      </c>
      <c r="K11">
        <f>+Hoja1!AP20</f>
        <v>0</v>
      </c>
      <c r="L11">
        <f>+Hoja1!AQ20</f>
        <v>0</v>
      </c>
      <c r="M11">
        <f>+Hoja1!AW20</f>
        <v>0</v>
      </c>
      <c r="N11">
        <f>+Hoja1!AX20</f>
        <v>0</v>
      </c>
    </row>
    <row r="12" spans="1:14">
      <c r="A12" t="str">
        <f>+Hoja1!B21</f>
        <v>LIMA</v>
      </c>
      <c r="B12">
        <f>+Hoja1!C21</f>
        <v>9</v>
      </c>
      <c r="C12">
        <f>+Hoja1!T21</f>
        <v>3</v>
      </c>
      <c r="D12">
        <f>+Hoja1!U21</f>
        <v>1</v>
      </c>
      <c r="E12">
        <f>+Hoja1!AA21</f>
        <v>6</v>
      </c>
      <c r="F12">
        <f>+Hoja1!AB21</f>
        <v>0</v>
      </c>
      <c r="G12">
        <f>+Hoja1!AE21</f>
        <v>0</v>
      </c>
      <c r="H12">
        <f>+Hoja1!AF21</f>
        <v>0</v>
      </c>
      <c r="I12">
        <f>+Hoja1!AL21</f>
        <v>0</v>
      </c>
      <c r="J12">
        <f>+Hoja1!AM21</f>
        <v>0</v>
      </c>
      <c r="K12">
        <f>+Hoja1!AP21</f>
        <v>1</v>
      </c>
      <c r="L12">
        <f>+Hoja1!AQ21</f>
        <v>0</v>
      </c>
      <c r="M12">
        <f>+Hoja1!AW21</f>
        <v>1</v>
      </c>
      <c r="N12">
        <f>+Hoja1!AX21</f>
        <v>0</v>
      </c>
    </row>
  </sheetData>
  <autoFilter ref="A2:N12" xr:uid="{0B86728A-2B87-48C2-9589-3CC6896A8061}">
    <filterColumn colId="0">
      <filters>
        <filter val="LIMA"/>
      </filters>
    </filterColumn>
  </autoFilter>
  <mergeCells count="6">
    <mergeCell ref="M1:N1"/>
    <mergeCell ref="E1:F1"/>
    <mergeCell ref="C1:D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Sánchez Moreno</dc:creator>
  <cp:keywords/>
  <dc:description/>
  <cp:lastModifiedBy>Crearpsl - Linid Valencia</cp:lastModifiedBy>
  <cp:revision/>
  <dcterms:created xsi:type="dcterms:W3CDTF">2024-08-23T13:29:16Z</dcterms:created>
  <dcterms:modified xsi:type="dcterms:W3CDTF">2026-04-18T01:05:22Z</dcterms:modified>
  <cp:category/>
  <cp:contentStatus/>
</cp:coreProperties>
</file>