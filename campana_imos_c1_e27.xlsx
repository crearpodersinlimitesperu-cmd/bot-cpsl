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MENSAJES_IMO" sheetId="2" state="visible" r:id="rId4"/>
    <sheet name="RESUME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<sst xmlns="http://schemas.openxmlformats.org/spreadsheetml/2006/main" count="6111" uniqueCount="1572">
  <si>
    <t xml:space="preserve">IMO_NOMBRE</t>
  </si>
  <si>
    <t xml:space="preserve">IMO_PILA</t>
  </si>
  <si>
    <t xml:space="preserve">IMO_EQUIPO</t>
  </si>
  <si>
    <t xml:space="preserve">IMO_TEL</t>
  </si>
  <si>
    <t xml:space="preserve">PX_NOMBRE</t>
  </si>
  <si>
    <t xml:space="preserve">PX_EQUIPO</t>
  </si>
  <si>
    <t xml:space="preserve">ESTADO</t>
  </si>
  <si>
    <t xml:space="preserve">FECHA_RESP</t>
  </si>
  <si>
    <t xml:space="preserve">OBSERVACIONES</t>
  </si>
  <si>
    <t xml:space="preserve">Nunez Tapia Mayra Alexandra</t>
  </si>
  <si>
    <t xml:space="preserve">Mayra</t>
  </si>
  <si>
    <t xml:space="preserve">EQUIPO 104</t>
  </si>
  <si>
    <t xml:space="preserve">0984946974</t>
  </si>
  <si>
    <t xml:space="preserve">Jorge Jeyner Uceda Agapito</t>
  </si>
  <si>
    <t xml:space="preserve">EQUIPO 21</t>
  </si>
  <si>
    <t xml:space="preserve">PENDIENTE</t>
  </si>
  <si>
    <t xml:space="preserve">Micolta Gracia Briana Kimberli</t>
  </si>
  <si>
    <t xml:space="preserve">Briana</t>
  </si>
  <si>
    <t xml:space="preserve">EQUIPO 105</t>
  </si>
  <si>
    <t xml:space="preserve">0983476990</t>
  </si>
  <si>
    <t xml:space="preserve">Mary Laura Donayre Navarrete</t>
  </si>
  <si>
    <t xml:space="preserve">EQUIPO 22</t>
  </si>
  <si>
    <t xml:space="preserve">Esposito Farfan  Daniela De La Trinidad</t>
  </si>
  <si>
    <t xml:space="preserve">Daniela</t>
  </si>
  <si>
    <t xml:space="preserve">EQUIPO 108</t>
  </si>
  <si>
    <t xml:space="preserve">0981188999</t>
  </si>
  <si>
    <t xml:space="preserve">Yoneglis May-Ling Conde Garcia</t>
  </si>
  <si>
    <t xml:space="preserve">EQUIPO 23</t>
  </si>
  <si>
    <t xml:space="preserve">Cubillo Vera Liliana Lilibeth</t>
  </si>
  <si>
    <t xml:space="preserve">Liliana</t>
  </si>
  <si>
    <t xml:space="preserve">EQUIPO 109</t>
  </si>
  <si>
    <t xml:space="preserve">0996521133</t>
  </si>
  <si>
    <t xml:space="preserve">Twiggy Carmen Aguirre Sanchez</t>
  </si>
  <si>
    <t xml:space="preserve">Rodriguez Gallegos  Adrian Andre</t>
  </si>
  <si>
    <t xml:space="preserve">Adrian</t>
  </si>
  <si>
    <t xml:space="preserve">0981523455</t>
  </si>
  <si>
    <t xml:space="preserve">Camila Celena Machaca Pacompia</t>
  </si>
  <si>
    <t xml:space="preserve">EQUIPO 24</t>
  </si>
  <si>
    <t xml:space="preserve">Lopez Chahua Sandra Marlene</t>
  </si>
  <si>
    <t xml:space="preserve">Sandra</t>
  </si>
  <si>
    <t xml:space="preserve">EQUIPO 14</t>
  </si>
  <si>
    <t xml:space="preserve">970870801</t>
  </si>
  <si>
    <t xml:space="preserve">Moises Mancisidor Dominguez</t>
  </si>
  <si>
    <t xml:space="preserve">EQUIPO 17</t>
  </si>
  <si>
    <t xml:space="preserve">Lida Mancisidor Lopez</t>
  </si>
  <si>
    <t xml:space="preserve">Borjas Ormeno Roxana Florentina</t>
  </si>
  <si>
    <t xml:space="preserve">Roxana</t>
  </si>
  <si>
    <t xml:space="preserve">961718880</t>
  </si>
  <si>
    <t xml:space="preserve">Belén María Gutiérrez Vásquez</t>
  </si>
  <si>
    <t xml:space="preserve">Yessenia Brillith Robles Zamora</t>
  </si>
  <si>
    <t xml:space="preserve">Anaya Espinoza  Nora</t>
  </si>
  <si>
    <t xml:space="preserve">Nora</t>
  </si>
  <si>
    <t xml:space="preserve">966103120</t>
  </si>
  <si>
    <t xml:space="preserve">Anyeli Suney Prado Gómez</t>
  </si>
  <si>
    <t xml:space="preserve">Jaramillo Pinedo  Reyna</t>
  </si>
  <si>
    <t xml:space="preserve">Reyna</t>
  </si>
  <si>
    <t xml:space="preserve">954821488</t>
  </si>
  <si>
    <t xml:space="preserve">Magaly Yenny Jaramillo Pinedo</t>
  </si>
  <si>
    <t xml:space="preserve">Tello Sarmiento Flor De Cantuta</t>
  </si>
  <si>
    <t xml:space="preserve">Flor</t>
  </si>
  <si>
    <t xml:space="preserve">995864425</t>
  </si>
  <si>
    <t xml:space="preserve">Silvia Cecilia Tello Rojas</t>
  </si>
  <si>
    <t xml:space="preserve">Julio Cesar Tello Rojas</t>
  </si>
  <si>
    <t xml:space="preserve">Hermelinda Delgado Heredia</t>
  </si>
  <si>
    <t xml:space="preserve">Conga Huarcaya  Jessica</t>
  </si>
  <si>
    <t xml:space="preserve">Jessica</t>
  </si>
  <si>
    <t xml:space="preserve">974632398</t>
  </si>
  <si>
    <t xml:space="preserve">Carolina Floresmila Montoro Acosta</t>
  </si>
  <si>
    <t xml:space="preserve">Minchola Valdivia Gian Carlo Duval</t>
  </si>
  <si>
    <t xml:space="preserve">Gian</t>
  </si>
  <si>
    <t xml:space="preserve">970784090</t>
  </si>
  <si>
    <t xml:space="preserve">Jose Luis Montoya Garcia</t>
  </si>
  <si>
    <t xml:space="preserve">Chavez Romero Marilin Leslie</t>
  </si>
  <si>
    <t xml:space="preserve">Marilin</t>
  </si>
  <si>
    <t xml:space="preserve">964212086</t>
  </si>
  <si>
    <t xml:space="preserve">Ruth Milagros Morán Morán</t>
  </si>
  <si>
    <t xml:space="preserve">Perez Chinchay Carmen Gricelda</t>
  </si>
  <si>
    <t xml:space="preserve">Carmen</t>
  </si>
  <si>
    <t xml:space="preserve">936558835</t>
  </si>
  <si>
    <t xml:space="preserve">Mercedes Niquin Dominguez</t>
  </si>
  <si>
    <t xml:space="preserve">Antaurco Perez Jesus Julio</t>
  </si>
  <si>
    <t xml:space="preserve">Jesus</t>
  </si>
  <si>
    <t xml:space="preserve">977473283</t>
  </si>
  <si>
    <t xml:space="preserve">Lessly Ossorio C.</t>
  </si>
  <si>
    <t xml:space="preserve">Valencia Lazo Diego Marcelo</t>
  </si>
  <si>
    <t xml:space="preserve">Diego</t>
  </si>
  <si>
    <t xml:space="preserve">940135875</t>
  </si>
  <si>
    <t xml:space="preserve">Kevin Pedro Perez Garcia</t>
  </si>
  <si>
    <t xml:space="preserve">Jossymar Alberto Leon Alba</t>
  </si>
  <si>
    <t xml:space="preserve">Lopez Hanco Bryan Rodney</t>
  </si>
  <si>
    <t xml:space="preserve">Bryan</t>
  </si>
  <si>
    <t xml:space="preserve">907730431</t>
  </si>
  <si>
    <t xml:space="preserve">Gianella Brissete Gutierrez Narvaez</t>
  </si>
  <si>
    <t xml:space="preserve">Zadid Días</t>
  </si>
  <si>
    <t xml:space="preserve">Rosa Marysabell Romero Cárdenas</t>
  </si>
  <si>
    <t xml:space="preserve">Landa Ochoa  Nathaly</t>
  </si>
  <si>
    <t xml:space="preserve">Nathaly</t>
  </si>
  <si>
    <t xml:space="preserve">EQUIPO 15</t>
  </si>
  <si>
    <t xml:space="preserve">918147583</t>
  </si>
  <si>
    <t xml:space="preserve">Thalia Giorgina Gamboa Valdivia</t>
  </si>
  <si>
    <t xml:space="preserve">EQUIPO 18</t>
  </si>
  <si>
    <t xml:space="preserve">Tolentino Angulo  Roberto Carlos</t>
  </si>
  <si>
    <t xml:space="preserve">Roberto</t>
  </si>
  <si>
    <t xml:space="preserve">944343392</t>
  </si>
  <si>
    <t xml:space="preserve">Richard Elvis Tolentino Angulo</t>
  </si>
  <si>
    <t xml:space="preserve">Trujillo Mallqui  Liz Carol</t>
  </si>
  <si>
    <t xml:space="preserve">Liz</t>
  </si>
  <si>
    <t xml:space="preserve">980496819</t>
  </si>
  <si>
    <t xml:space="preserve">Vooictor Eugenio Rodolfo Guerrero Soto</t>
  </si>
  <si>
    <t xml:space="preserve">Trujillo Montoya Rodrigo Elias Enrique</t>
  </si>
  <si>
    <t xml:space="preserve">Rodrigo</t>
  </si>
  <si>
    <t xml:space="preserve">937410103</t>
  </si>
  <si>
    <t xml:space="preserve">David Eduardo Luque Tejada</t>
  </si>
  <si>
    <t xml:space="preserve">Flor De María Montoya Cruzado</t>
  </si>
  <si>
    <t xml:space="preserve">Mercedes Margot Flores Ipanaqui</t>
  </si>
  <si>
    <t xml:space="preserve">Palomino Anaya  Sebastian Manuel</t>
  </si>
  <si>
    <t xml:space="preserve">Sebastian</t>
  </si>
  <si>
    <t xml:space="preserve">907434050</t>
  </si>
  <si>
    <t xml:space="preserve">Julián Aquino Huaman</t>
  </si>
  <si>
    <t xml:space="preserve">De La Cruz Huaytalla Sheila</t>
  </si>
  <si>
    <t xml:space="preserve">Cruz</t>
  </si>
  <si>
    <t xml:space="preserve">917479833</t>
  </si>
  <si>
    <t xml:space="preserve">Rosalin Carolina Pernia Bandera</t>
  </si>
  <si>
    <t xml:space="preserve">Lizbeth Briceño Heredia</t>
  </si>
  <si>
    <t xml:space="preserve">Veronica Delgado Rimarachin</t>
  </si>
  <si>
    <t xml:space="preserve">Matta Morales Mauricio Andre</t>
  </si>
  <si>
    <t xml:space="preserve">Mauricio</t>
  </si>
  <si>
    <t xml:space="preserve">971092525</t>
  </si>
  <si>
    <t xml:space="preserve">Rafael Gonzales Aranzaens</t>
  </si>
  <si>
    <t xml:space="preserve">Castillo Tipismana  Carlos Alberto</t>
  </si>
  <si>
    <t xml:space="preserve">Carlos</t>
  </si>
  <si>
    <t xml:space="preserve">982791484</t>
  </si>
  <si>
    <t xml:space="preserve">Jhanet De La Cruz Bautista</t>
  </si>
  <si>
    <t xml:space="preserve">Quispe Choque Jorge Armando</t>
  </si>
  <si>
    <t xml:space="preserve">Jorge</t>
  </si>
  <si>
    <t xml:space="preserve">980502144</t>
  </si>
  <si>
    <t xml:space="preserve">Willy Adrian Quispe</t>
  </si>
  <si>
    <t xml:space="preserve">Matias Uriol Kresly Stefanny</t>
  </si>
  <si>
    <t xml:space="preserve">Kresly</t>
  </si>
  <si>
    <t xml:space="preserve">940280000</t>
  </si>
  <si>
    <t xml:space="preserve">Giannina Giselle Espiritu Palomino</t>
  </si>
  <si>
    <t xml:space="preserve">Medrano De Meza Luz Angelica</t>
  </si>
  <si>
    <t xml:space="preserve">Meza</t>
  </si>
  <si>
    <t xml:space="preserve">955619099</t>
  </si>
  <si>
    <t xml:space="preserve">Vanesa Otrera</t>
  </si>
  <si>
    <t xml:space="preserve">Malpartida Flores Nancy</t>
  </si>
  <si>
    <t xml:space="preserve">Nancy</t>
  </si>
  <si>
    <t xml:space="preserve">993577714</t>
  </si>
  <si>
    <t xml:space="preserve">Enrique Marco Navarro</t>
  </si>
  <si>
    <t xml:space="preserve">Alcantata Maurtua  Mayra Alejandra</t>
  </si>
  <si>
    <t xml:space="preserve">977477566</t>
  </si>
  <si>
    <t xml:space="preserve">Héctor Wiliam Torres Choquez</t>
  </si>
  <si>
    <t xml:space="preserve">Angella Marianne Hernandez Salvatierra</t>
  </si>
  <si>
    <t xml:space="preserve">Antaurco Perez Joel</t>
  </si>
  <si>
    <t xml:space="preserve">Joel</t>
  </si>
  <si>
    <t xml:space="preserve">933969837</t>
  </si>
  <si>
    <t xml:space="preserve">Alisson Yuviri Simón Cabello</t>
  </si>
  <si>
    <t xml:space="preserve">Arone Chachayma  Cristian Jonathan</t>
  </si>
  <si>
    <t xml:space="preserve">Cristian</t>
  </si>
  <si>
    <t xml:space="preserve">961496514</t>
  </si>
  <si>
    <t xml:space="preserve">Diana Edith Sánchez Correa</t>
  </si>
  <si>
    <t xml:space="preserve">Prudencio Arone Robles</t>
  </si>
  <si>
    <t xml:space="preserve">Ore Bendezu Silvia Raquel</t>
  </si>
  <si>
    <t xml:space="preserve">Silvia</t>
  </si>
  <si>
    <t xml:space="preserve">925530813</t>
  </si>
  <si>
    <t xml:space="preserve">Eugenia Karla Huamanin Leon</t>
  </si>
  <si>
    <t xml:space="preserve">Lidia Sefora Vela Rodríguez De Rengifo Vela Rodriguez</t>
  </si>
  <si>
    <t xml:space="preserve">Riano Zubieta Noris</t>
  </si>
  <si>
    <t xml:space="preserve">Noris</t>
  </si>
  <si>
    <t xml:space="preserve">989577877</t>
  </si>
  <si>
    <t xml:space="preserve">Victor Filomon Espinal Chuquillanqui</t>
  </si>
  <si>
    <t xml:space="preserve">Roca De La Cruz Maria Purina</t>
  </si>
  <si>
    <t xml:space="preserve">La</t>
  </si>
  <si>
    <t xml:space="preserve">978095350</t>
  </si>
  <si>
    <t xml:space="preserve">Leydi Estefany Ochoa Vega</t>
  </si>
  <si>
    <t xml:space="preserve">Morales Carcelen  Elizabeth Milagros</t>
  </si>
  <si>
    <t xml:space="preserve">Elizabeth</t>
  </si>
  <si>
    <t xml:space="preserve">998450224</t>
  </si>
  <si>
    <t xml:space="preserve">Jaqueline Roman Contreras</t>
  </si>
  <si>
    <t xml:space="preserve">Marco Morales Carcelen</t>
  </si>
  <si>
    <t xml:space="preserve">Capcha Cabello Maura</t>
  </si>
  <si>
    <t xml:space="preserve">Maura</t>
  </si>
  <si>
    <t xml:space="preserve">999369692</t>
  </si>
  <si>
    <t xml:space="preserve">Antonio Capcha Cabello</t>
  </si>
  <si>
    <t xml:space="preserve">Jaramillo Pinedo Jutsu</t>
  </si>
  <si>
    <t xml:space="preserve">Jutsu</t>
  </si>
  <si>
    <t xml:space="preserve">942005665</t>
  </si>
  <si>
    <t xml:space="preserve">Santiago Jaramillo Pinedo</t>
  </si>
  <si>
    <t xml:space="preserve">Espana Zambrano  Maribel Roberta</t>
  </si>
  <si>
    <t xml:space="preserve">Maribel</t>
  </si>
  <si>
    <t xml:space="preserve">976507454</t>
  </si>
  <si>
    <t xml:space="preserve">Sonia Iris Espana Zambrano</t>
  </si>
  <si>
    <t xml:space="preserve">Michael Willy Espana Diaz</t>
  </si>
  <si>
    <t xml:space="preserve">Requejo Linares Daysi</t>
  </si>
  <si>
    <t xml:space="preserve">Daysi</t>
  </si>
  <si>
    <t xml:space="preserve">945111938</t>
  </si>
  <si>
    <t xml:space="preserve">Raquel Ramirez Pisco</t>
  </si>
  <si>
    <t xml:space="preserve">Veronica Chafloque Chafloque</t>
  </si>
  <si>
    <t xml:space="preserve">Toledo Orellana  Brenda Lorena</t>
  </si>
  <si>
    <t xml:space="preserve">Brenda</t>
  </si>
  <si>
    <t xml:space="preserve">EQUIPO 16</t>
  </si>
  <si>
    <t xml:space="preserve">945258797</t>
  </si>
  <si>
    <t xml:space="preserve">José Enrique Zafra Ortiz</t>
  </si>
  <si>
    <t xml:space="preserve">Chachayma Marcos Blanca Luz</t>
  </si>
  <si>
    <t xml:space="preserve">Blanca</t>
  </si>
  <si>
    <t xml:space="preserve">977694959</t>
  </si>
  <si>
    <t xml:space="preserve">Alejandro Chachayma Cardenas</t>
  </si>
  <si>
    <t xml:space="preserve">Jaimes Vega  Celia</t>
  </si>
  <si>
    <t xml:space="preserve">Celia</t>
  </si>
  <si>
    <t xml:space="preserve">901762670</t>
  </si>
  <si>
    <t xml:space="preserve">Wilimar Adrianet Blanco Narváez</t>
  </si>
  <si>
    <t xml:space="preserve">Cardenas Rios Daniel Adolfo</t>
  </si>
  <si>
    <t xml:space="preserve">Daniel</t>
  </si>
  <si>
    <t xml:space="preserve">959107202</t>
  </si>
  <si>
    <t xml:space="preserve">Alexander Parco Flores</t>
  </si>
  <si>
    <t xml:space="preserve">EQUIPO 19</t>
  </si>
  <si>
    <t xml:space="preserve">Fernanda Caballero Contreras</t>
  </si>
  <si>
    <t xml:space="preserve">Quispe Arenas Katherine  Lilibet</t>
  </si>
  <si>
    <t xml:space="preserve">Katherine</t>
  </si>
  <si>
    <t xml:space="preserve">983227317</t>
  </si>
  <si>
    <t xml:space="preserve">Lilian Sidney Morales Laura</t>
  </si>
  <si>
    <t xml:space="preserve">Plasencia Aguilar  Jimena Maribel</t>
  </si>
  <si>
    <t xml:space="preserve">Jimena</t>
  </si>
  <si>
    <t xml:space="preserve">959235763</t>
  </si>
  <si>
    <t xml:space="preserve">Vania Roxana Rivasplata Torres</t>
  </si>
  <si>
    <t xml:space="preserve">Moscoso Robles Diana Yesenia</t>
  </si>
  <si>
    <t xml:space="preserve">Diana</t>
  </si>
  <si>
    <t xml:space="preserve">924105061</t>
  </si>
  <si>
    <t xml:space="preserve">Rosa Carolina Espinoza Huanca</t>
  </si>
  <si>
    <t xml:space="preserve">Jhovana Betsiban Damián Almerco</t>
  </si>
  <si>
    <t xml:space="preserve">Milto Chocan Morales</t>
  </si>
  <si>
    <t xml:space="preserve">Mario Vizcarra Pacheco</t>
  </si>
  <si>
    <t xml:space="preserve">Adys Idania Cordova Cordova</t>
  </si>
  <si>
    <t xml:space="preserve">Wendy Berusca Arquinego Quispe</t>
  </si>
  <si>
    <t xml:space="preserve">Thalia Porras Sinche</t>
  </si>
  <si>
    <t xml:space="preserve">Deysi Melo Vizcarra</t>
  </si>
  <si>
    <t xml:space="preserve">Elena Romero Cajaleon</t>
  </si>
  <si>
    <t xml:space="preserve">Leon Suarez D´Yanira Allyzon</t>
  </si>
  <si>
    <t xml:space="preserve">D´Yanira</t>
  </si>
  <si>
    <t xml:space="preserve">991215652</t>
  </si>
  <si>
    <t xml:space="preserve">Jhon Hildebrando Alvarado Zuniga</t>
  </si>
  <si>
    <t xml:space="preserve">Rissel Leon Suarez</t>
  </si>
  <si>
    <t xml:space="preserve">Flor De Maria Martinez Melchor</t>
  </si>
  <si>
    <t xml:space="preserve">Trujillo Montoya  Rossana Stephany</t>
  </si>
  <si>
    <t xml:space="preserve">Rossana</t>
  </si>
  <si>
    <t xml:space="preserve">941870186</t>
  </si>
  <si>
    <t xml:space="preserve">Noelia Lizeth Fontenla Montoya</t>
  </si>
  <si>
    <t xml:space="preserve">Mendoza Picoaga  Carlos Humberto</t>
  </si>
  <si>
    <t xml:space="preserve">996593722</t>
  </si>
  <si>
    <t xml:space="preserve">Margareth Mercedes Tapia Pacheco</t>
  </si>
  <si>
    <t xml:space="preserve">Espinal Baltazar Jenny Betsabet</t>
  </si>
  <si>
    <t xml:space="preserve">Jenny</t>
  </si>
  <si>
    <t xml:space="preserve">922770592</t>
  </si>
  <si>
    <t xml:space="preserve">Milagros Iliana Acuna Espinar</t>
  </si>
  <si>
    <t xml:space="preserve">Martinez Flores Daina Ayelen</t>
  </si>
  <si>
    <t xml:space="preserve">Daina</t>
  </si>
  <si>
    <t xml:space="preserve">915187986</t>
  </si>
  <si>
    <t xml:space="preserve">Estefani Rosaura Mancilla Gomez</t>
  </si>
  <si>
    <t xml:space="preserve">Asenjo Becerra Milagros Lucero</t>
  </si>
  <si>
    <t xml:space="preserve">Milagros</t>
  </si>
  <si>
    <t xml:space="preserve">926066064</t>
  </si>
  <si>
    <t xml:space="preserve">Melanie Darlene Palomino Asenjo</t>
  </si>
  <si>
    <t xml:space="preserve">Garcia Llovera Yusmely Desiree</t>
  </si>
  <si>
    <t xml:space="preserve">Yusmely</t>
  </si>
  <si>
    <t xml:space="preserve">921979246</t>
  </si>
  <si>
    <t xml:space="preserve">Juan Carlos Huillca  Cruz</t>
  </si>
  <si>
    <t xml:space="preserve">Larico Limachi  Irena</t>
  </si>
  <si>
    <t xml:space="preserve">Irena</t>
  </si>
  <si>
    <t xml:space="preserve">51966514255</t>
  </si>
  <si>
    <t xml:space="preserve">Maria Gaspar Chocca</t>
  </si>
  <si>
    <t xml:space="preserve">EQUIPO 20</t>
  </si>
  <si>
    <t xml:space="preserve">Marycruz Huamani Zanabria</t>
  </si>
  <si>
    <t xml:space="preserve">Lay Guillen Ursula</t>
  </si>
  <si>
    <t xml:space="preserve">Ursula</t>
  </si>
  <si>
    <t xml:space="preserve">996153386</t>
  </si>
  <si>
    <t xml:space="preserve">Ronald Arturo Huapaya Chumpitazi</t>
  </si>
  <si>
    <t xml:space="preserve">Falcon Rojas Juana Maria</t>
  </si>
  <si>
    <t xml:space="preserve">Juana</t>
  </si>
  <si>
    <t xml:space="preserve">973827510</t>
  </si>
  <si>
    <t xml:space="preserve">Cesarea Herrera Abal</t>
  </si>
  <si>
    <t xml:space="preserve">Jhanna Ross Arias Barron</t>
  </si>
  <si>
    <t xml:space="preserve">Galvez López Claudia Olenka</t>
  </si>
  <si>
    <t xml:space="preserve">Claudia</t>
  </si>
  <si>
    <t xml:space="preserve">987548364</t>
  </si>
  <si>
    <t xml:space="preserve">Joshua Andre Barrientos Calderon</t>
  </si>
  <si>
    <t xml:space="preserve">Sotomayor Bazan Geraldine Vanessa</t>
  </si>
  <si>
    <t xml:space="preserve">Geraldine</t>
  </si>
  <si>
    <t xml:space="preserve">983701400</t>
  </si>
  <si>
    <t xml:space="preserve">Luis Alberto Sotomayor Zarate</t>
  </si>
  <si>
    <t xml:space="preserve">Rafael Urrutia Huaman</t>
  </si>
  <si>
    <t xml:space="preserve">Vania Alexandra Arana Espinoza</t>
  </si>
  <si>
    <t xml:space="preserve">Zoila Cavero Reap</t>
  </si>
  <si>
    <t xml:space="preserve">Doris Javier Jimenez</t>
  </si>
  <si>
    <t xml:space="preserve">Rios Zea Jean Carlos</t>
  </si>
  <si>
    <t xml:space="preserve">Jean</t>
  </si>
  <si>
    <t xml:space="preserve">991512467</t>
  </si>
  <si>
    <t xml:space="preserve">Marivi Nicole Luna Alcarraz</t>
  </si>
  <si>
    <t xml:space="preserve">Francisco Navarro Lazo</t>
  </si>
  <si>
    <t xml:space="preserve">Delgado Quinones Britney Safiro Olenka</t>
  </si>
  <si>
    <t xml:space="preserve">Britney</t>
  </si>
  <si>
    <t xml:space="preserve">981087758</t>
  </si>
  <si>
    <t xml:space="preserve">Yury Omonte Chavez</t>
  </si>
  <si>
    <t xml:space="preserve">Jenifer Pierina Gamarra Paredes</t>
  </si>
  <si>
    <t xml:space="preserve">Alejandro Cotrina Sulca</t>
  </si>
  <si>
    <t xml:space="preserve">De La Cruz Huaytalla Rocio</t>
  </si>
  <si>
    <t xml:space="preserve">929406665</t>
  </si>
  <si>
    <t xml:space="preserve">Gabriela Milagros Palacios Lindo</t>
  </si>
  <si>
    <t xml:space="preserve">Elva Carolina Huamani Misaico</t>
  </si>
  <si>
    <t xml:space="preserve">Luzmila Edith Mendoza Tupia</t>
  </si>
  <si>
    <t xml:space="preserve">Maria Huamani Obregon</t>
  </si>
  <si>
    <t xml:space="preserve">Kruspskaya Katrin Lopez Yupari</t>
  </si>
  <si>
    <t xml:space="preserve">Rosa Colos Tineo</t>
  </si>
  <si>
    <t xml:space="preserve">Selmy Humpire Rodas</t>
  </si>
  <si>
    <t xml:space="preserve">De La Cruz Huaytalla Pilar</t>
  </si>
  <si>
    <t xml:space="preserve">985461746</t>
  </si>
  <si>
    <t xml:space="preserve">Marleni Arango Huaytalla</t>
  </si>
  <si>
    <t xml:space="preserve">Fernandez Espinoza Gustavo Adolfo</t>
  </si>
  <si>
    <t xml:space="preserve">Gustavo</t>
  </si>
  <si>
    <t xml:space="preserve">930326809</t>
  </si>
  <si>
    <t xml:space="preserve">Cristel Yahaira Gregorio Sosa</t>
  </si>
  <si>
    <t xml:space="preserve">Oliva Sosa Mirante</t>
  </si>
  <si>
    <t xml:space="preserve">Carlos Humberto Valdero Rojas</t>
  </si>
  <si>
    <t xml:space="preserve">Jordan Anthony Rojas</t>
  </si>
  <si>
    <t xml:space="preserve">Chipana Quispe  Elmer Angel</t>
  </si>
  <si>
    <t xml:space="preserve">Elmer</t>
  </si>
  <si>
    <t xml:space="preserve">954101100</t>
  </si>
  <si>
    <t xml:space="preserve">Betsy Nicole Reynaga Rojas</t>
  </si>
  <si>
    <t xml:space="preserve">Cruzado Mamani  Saul Flavio</t>
  </si>
  <si>
    <t xml:space="preserve">Saul</t>
  </si>
  <si>
    <t xml:space="preserve">932571530</t>
  </si>
  <si>
    <t xml:space="preserve">Luz Veronica Perez Padilla</t>
  </si>
  <si>
    <t xml:space="preserve">Morales Vega Pamela Melisa</t>
  </si>
  <si>
    <t xml:space="preserve">Pamela</t>
  </si>
  <si>
    <t xml:space="preserve">952372756</t>
  </si>
  <si>
    <t xml:space="preserve">Renzo Gustavo Montes Ramirez</t>
  </si>
  <si>
    <t xml:space="preserve">Bertha Quicano Flores</t>
  </si>
  <si>
    <t xml:space="preserve">Yamali Silva Mejia</t>
  </si>
  <si>
    <t xml:space="preserve">Cristina Del Pilar Olazabal Ochoa</t>
  </si>
  <si>
    <t xml:space="preserve">Naupari Vasquez Gabriela</t>
  </si>
  <si>
    <t xml:space="preserve">Gabriela</t>
  </si>
  <si>
    <t xml:space="preserve">999876726</t>
  </si>
  <si>
    <t xml:space="preserve">Paola Del Rocio Naveda Tipismana</t>
  </si>
  <si>
    <t xml:space="preserve">Claudia Katherine Pardo Figueroa Quea</t>
  </si>
  <si>
    <t xml:space="preserve">Castillo Herrera Zara</t>
  </si>
  <si>
    <t xml:space="preserve">Zara</t>
  </si>
  <si>
    <t xml:space="preserve">51961491513</t>
  </si>
  <si>
    <t xml:space="preserve">Guido Hinojosa De Arnedo</t>
  </si>
  <si>
    <t xml:space="preserve">Omar Henry Llallacachi Catasi</t>
  </si>
  <si>
    <t xml:space="preserve">Magaly Nelida Herrera Cruz</t>
  </si>
  <si>
    <t xml:space="preserve">Laura Modesta Rojas Picoy</t>
  </si>
  <si>
    <t xml:space="preserve">Brat Brayan Gala Castillo</t>
  </si>
  <si>
    <t xml:space="preserve">Liliana Dionisio Vasquez</t>
  </si>
  <si>
    <t xml:space="preserve">Cesar Gala Villanueva</t>
  </si>
  <si>
    <t xml:space="preserve">Atunca Leon Carmen Rosa</t>
  </si>
  <si>
    <t xml:space="preserve">945270855</t>
  </si>
  <si>
    <t xml:space="preserve">Emerson Hugo Atunca Leon</t>
  </si>
  <si>
    <t xml:space="preserve">Panta Morales Angello Geronimo</t>
  </si>
  <si>
    <t xml:space="preserve">Angello</t>
  </si>
  <si>
    <t xml:space="preserve">960253747</t>
  </si>
  <si>
    <t xml:space="preserve">Jack Alexander Jimenez</t>
  </si>
  <si>
    <t xml:space="preserve">Lourdes Iris Millan Leon</t>
  </si>
  <si>
    <t xml:space="preserve">Luis Enrique Chio Vasquez</t>
  </si>
  <si>
    <t xml:space="preserve">Nelson Santiago Medina Arenas</t>
  </si>
  <si>
    <t xml:space="preserve">Marisol Dett Lopez</t>
  </si>
  <si>
    <t xml:space="preserve">Valladares Aliaga Fernando</t>
  </si>
  <si>
    <t xml:space="preserve">Fernando</t>
  </si>
  <si>
    <t xml:space="preserve">51933223189</t>
  </si>
  <si>
    <t xml:space="preserve">Martin Esparza Dulanto</t>
  </si>
  <si>
    <t xml:space="preserve">Miranda Malpartida  Giovanni Giusseppe</t>
  </si>
  <si>
    <t xml:space="preserve">Giovanni</t>
  </si>
  <si>
    <t xml:space="preserve">993561972</t>
  </si>
  <si>
    <t xml:space="preserve">Lucia Castro</t>
  </si>
  <si>
    <t xml:space="preserve">Veliz Ysla Angel Eduardo</t>
  </si>
  <si>
    <t xml:space="preserve">Angel</t>
  </si>
  <si>
    <t xml:space="preserve">964403820</t>
  </si>
  <si>
    <t xml:space="preserve">Hector Miguel Rivadeneyra Ocampo</t>
  </si>
  <si>
    <t xml:space="preserve">Chavez Inche Raul</t>
  </si>
  <si>
    <t xml:space="preserve">Raul</t>
  </si>
  <si>
    <t xml:space="preserve">930708843</t>
  </si>
  <si>
    <t xml:space="preserve">Emma Elizabeth Benavides Arias</t>
  </si>
  <si>
    <t xml:space="preserve">Jazmin Saavedra Alba</t>
  </si>
  <si>
    <t xml:space="preserve">Sandro Chavez Inche</t>
  </si>
  <si>
    <t xml:space="preserve">Paola Avendano Chavez</t>
  </si>
  <si>
    <t xml:space="preserve">Alex Aquiles Huaynate Marquez</t>
  </si>
  <si>
    <t xml:space="preserve">Matencio Gomez Jherson Manuel</t>
  </si>
  <si>
    <t xml:space="preserve">Jherson</t>
  </si>
  <si>
    <t xml:space="preserve">903182731</t>
  </si>
  <si>
    <t xml:space="preserve">Nagely Francinet Matencio Gomez</t>
  </si>
  <si>
    <t xml:space="preserve">Karina Janett Gomez Gutierrez</t>
  </si>
  <si>
    <t xml:space="preserve">Luis Alberto Matencio Salazar</t>
  </si>
  <si>
    <t xml:space="preserve">Angie Lisseth Matencio Gomez</t>
  </si>
  <si>
    <t xml:space="preserve">Ventura Espinoza Fernando Hernan</t>
  </si>
  <si>
    <t xml:space="preserve">994415755</t>
  </si>
  <si>
    <t xml:space="preserve">Diego Alonso Bardas Rojas</t>
  </si>
  <si>
    <t xml:space="preserve">Alcantara Guerrero Rogger</t>
  </si>
  <si>
    <t xml:space="preserve">Rogger</t>
  </si>
  <si>
    <t xml:space="preserve">982017586</t>
  </si>
  <si>
    <t xml:space="preserve">Maria Magdalena Leandro Garcia</t>
  </si>
  <si>
    <t xml:space="preserve">Dany Alcantara Santa Cruz</t>
  </si>
  <si>
    <t xml:space="preserve">Thiago Mathias Arenas Flores</t>
  </si>
  <si>
    <t xml:space="preserve">Norena Durand Erika Lizeth</t>
  </si>
  <si>
    <t xml:space="preserve">Erika</t>
  </si>
  <si>
    <t xml:space="preserve">949716555</t>
  </si>
  <si>
    <t xml:space="preserve">Maria Yulissa Lopez</t>
  </si>
  <si>
    <t xml:space="preserve">Policarpo Vera  Jampier Piero</t>
  </si>
  <si>
    <t xml:space="preserve">Jampier</t>
  </si>
  <si>
    <t xml:space="preserve">973312761</t>
  </si>
  <si>
    <t xml:space="preserve">Marcelo Sebastian Valdez Guevara</t>
  </si>
  <si>
    <t xml:space="preserve">Riveros Ramos Raquel Gabriela</t>
  </si>
  <si>
    <t xml:space="preserve">Raquel</t>
  </si>
  <si>
    <t xml:space="preserve">931059726</t>
  </si>
  <si>
    <t xml:space="preserve">Vanessa Shena Cansino Campos</t>
  </si>
  <si>
    <t xml:space="preserve">Alejandra Patricia Pacheco Tipismana</t>
  </si>
  <si>
    <t xml:space="preserve">Ayvar Vega Rocio Pilar</t>
  </si>
  <si>
    <t xml:space="preserve">Rocio</t>
  </si>
  <si>
    <t xml:space="preserve">967197761</t>
  </si>
  <si>
    <t xml:space="preserve">Gisella Eliane Salinas Caparachin</t>
  </si>
  <si>
    <t xml:space="preserve">Ayvar Vega Roxana Elizabeth</t>
  </si>
  <si>
    <t xml:space="preserve">940295144</t>
  </si>
  <si>
    <t xml:space="preserve">Rosa Ore Jaime</t>
  </si>
  <si>
    <t xml:space="preserve">Papadopulos Garcia  Pierina Andrea</t>
  </si>
  <si>
    <t xml:space="preserve">Pierina</t>
  </si>
  <si>
    <t xml:space="preserve">954111670</t>
  </si>
  <si>
    <t xml:space="preserve">Jose Alex Moises Olaya Ravenna</t>
  </si>
  <si>
    <t xml:space="preserve">Zegarra Tolentino Nadia</t>
  </si>
  <si>
    <t xml:space="preserve">Nadia</t>
  </si>
  <si>
    <t xml:space="preserve">902125903</t>
  </si>
  <si>
    <t xml:space="preserve">Nicol Hernandez Hilares</t>
  </si>
  <si>
    <t xml:space="preserve">Freddy Luis Naula Ordinola</t>
  </si>
  <si>
    <t xml:space="preserve">Mori Dett Mariela</t>
  </si>
  <si>
    <t xml:space="preserve">Mariela</t>
  </si>
  <si>
    <t xml:space="preserve">951299692</t>
  </si>
  <si>
    <t xml:space="preserve">Ronald Ynga Pizarro</t>
  </si>
  <si>
    <t xml:space="preserve">Paola Jesslin Dett Garcia</t>
  </si>
  <si>
    <t xml:space="preserve">Ccoscco Gutiérrez Diana Carolina</t>
  </si>
  <si>
    <t xml:space="preserve">920548750</t>
  </si>
  <si>
    <t xml:space="preserve">Abat Ccoscco Soto</t>
  </si>
  <si>
    <t xml:space="preserve">Maria Cristina Gutierrez Carlosviza</t>
  </si>
  <si>
    <t xml:space="preserve">Quinteros Altamirano  Elizabet</t>
  </si>
  <si>
    <t xml:space="preserve">Elizabet</t>
  </si>
  <si>
    <t xml:space="preserve">993991369</t>
  </si>
  <si>
    <t xml:space="preserve">Haim Sebastian Talledo Valcarcel</t>
  </si>
  <si>
    <t xml:space="preserve">Marin Suarez Joyce Pamela</t>
  </si>
  <si>
    <t xml:space="preserve">Joyce</t>
  </si>
  <si>
    <t xml:space="preserve">955435402</t>
  </si>
  <si>
    <t xml:space="preserve">Juan Llerena Vasquez</t>
  </si>
  <si>
    <t xml:space="preserve">Martinez Puente Lidia Cristina</t>
  </si>
  <si>
    <t xml:space="preserve">Lidia</t>
  </si>
  <si>
    <t xml:space="preserve">940243206</t>
  </si>
  <si>
    <t xml:space="preserve">Rafael Gustavo Cruces Martinez</t>
  </si>
  <si>
    <t xml:space="preserve">Cordova Llana Nilton Rolando</t>
  </si>
  <si>
    <t xml:space="preserve">Nilton</t>
  </si>
  <si>
    <t xml:space="preserve">953736480</t>
  </si>
  <si>
    <t xml:space="preserve">Kimyishu Lisseth Cordova Gamarra</t>
  </si>
  <si>
    <t xml:space="preserve">Ronald Mamani Martines</t>
  </si>
  <si>
    <t xml:space="preserve">Cuellar Chaupin Elvis Leonid</t>
  </si>
  <si>
    <t xml:space="preserve">Elvis</t>
  </si>
  <si>
    <t xml:space="preserve">943064793</t>
  </si>
  <si>
    <t xml:space="preserve">Luz Veronica Silva Olivera</t>
  </si>
  <si>
    <t xml:space="preserve">Freddy Cuellar Casildo</t>
  </si>
  <si>
    <t xml:space="preserve">Morales Vega Jessica Guiselle</t>
  </si>
  <si>
    <t xml:space="preserve">980387691</t>
  </si>
  <si>
    <t xml:space="preserve">Jorge Luis Cornejo Loo</t>
  </si>
  <si>
    <t xml:space="preserve">Andres Martin Grados Corasi</t>
  </si>
  <si>
    <t xml:space="preserve">Gutierrez Chang Tonny Jackson</t>
  </si>
  <si>
    <t xml:space="preserve">Tonny</t>
  </si>
  <si>
    <t xml:space="preserve">958058579</t>
  </si>
  <si>
    <t xml:space="preserve">Marcel David Guerra</t>
  </si>
  <si>
    <t xml:space="preserve">Diaz Zapana Darner Iszat</t>
  </si>
  <si>
    <t xml:space="preserve">Darner</t>
  </si>
  <si>
    <t xml:space="preserve">967985599</t>
  </si>
  <si>
    <t xml:space="preserve">Rene Alberto Quispe Linares</t>
  </si>
  <si>
    <t xml:space="preserve">Milagros Adaluz Guerra Aguilar</t>
  </si>
  <si>
    <t xml:space="preserve">Carhuayo Lovaton Ludy Julyssa</t>
  </si>
  <si>
    <t xml:space="preserve">Ludy</t>
  </si>
  <si>
    <t xml:space="preserve">938307599</t>
  </si>
  <si>
    <t xml:space="preserve">Marco Gilber Bendezu Javier</t>
  </si>
  <si>
    <t xml:space="preserve">Alexandra Nathaly Lizeth Lovaton Flores</t>
  </si>
  <si>
    <t xml:space="preserve">Caranca Montenegro Sandra</t>
  </si>
  <si>
    <t xml:space="preserve">980639155</t>
  </si>
  <si>
    <t xml:space="preserve">Maria Ivon Lizano Taype</t>
  </si>
  <si>
    <t xml:space="preserve">Carita Cansaya Ronald Henry</t>
  </si>
  <si>
    <t xml:space="preserve">Ronald</t>
  </si>
  <si>
    <t xml:space="preserve">930619190</t>
  </si>
  <si>
    <t xml:space="preserve">Claudio Andres Chicahuari Palomino</t>
  </si>
  <si>
    <t xml:space="preserve">Luis Miguel Mamani Cansaya</t>
  </si>
  <si>
    <t xml:space="preserve">Bruce Lenin Huayta Machaca</t>
  </si>
  <si>
    <t xml:space="preserve">Nimer Smelin Carita</t>
  </si>
  <si>
    <t xml:space="preserve">Luz Milagros Ramos Mamani</t>
  </si>
  <si>
    <t xml:space="preserve">Ana Lucia Teruya Monroe Teruya Monroe</t>
  </si>
  <si>
    <t xml:space="preserve">Leon Suarez Zuleyka Janet</t>
  </si>
  <si>
    <t xml:space="preserve">Zuleyka</t>
  </si>
  <si>
    <t xml:space="preserve">983452328</t>
  </si>
  <si>
    <t xml:space="preserve">Amylly Del Rosario Aguilar Leon</t>
  </si>
  <si>
    <t xml:space="preserve">Pereda Garcia Angela</t>
  </si>
  <si>
    <t xml:space="preserve">Angela</t>
  </si>
  <si>
    <t xml:space="preserve">963344768</t>
  </si>
  <si>
    <t xml:space="preserve">Paola Felicita Pereda Garcia</t>
  </si>
  <si>
    <t xml:space="preserve">Paula Atto Espinoza</t>
  </si>
  <si>
    <t xml:space="preserve">Juan Benito Sanchez Huertas</t>
  </si>
  <si>
    <t xml:space="preserve">Romero Ramirez Maria Elena</t>
  </si>
  <si>
    <t xml:space="preserve">Maria</t>
  </si>
  <si>
    <t xml:space="preserve">954884632</t>
  </si>
  <si>
    <t xml:space="preserve">Cristhian Javier Silva Romero</t>
  </si>
  <si>
    <t xml:space="preserve">Najarro Cutipa Jhon Frank</t>
  </si>
  <si>
    <t xml:space="preserve">Jhon</t>
  </si>
  <si>
    <t xml:space="preserve">990070201</t>
  </si>
  <si>
    <t xml:space="preserve">Elmer Rigoberto Najarro Rojas</t>
  </si>
  <si>
    <t xml:space="preserve">Ocana Trinidad  Kiara Ariana</t>
  </si>
  <si>
    <t xml:space="preserve">Kiara</t>
  </si>
  <si>
    <t xml:space="preserve">922125808</t>
  </si>
  <si>
    <t xml:space="preserve">Lisseth Yanira Llactayo Soto</t>
  </si>
  <si>
    <t xml:space="preserve">Moreno Cornejo Gladys Eusebia</t>
  </si>
  <si>
    <t xml:space="preserve">Gladys</t>
  </si>
  <si>
    <t xml:space="preserve">983950765</t>
  </si>
  <si>
    <t xml:space="preserve">Sayra Del Milagro Linares Villacorta</t>
  </si>
  <si>
    <t xml:space="preserve">Olga Yushanli Gutierrez Chambi</t>
  </si>
  <si>
    <t xml:space="preserve">Gutierrez Saavedra Fiorella Ivonne</t>
  </si>
  <si>
    <t xml:space="preserve">Fiorella</t>
  </si>
  <si>
    <t xml:space="preserve">934330626</t>
  </si>
  <si>
    <t xml:space="preserve">Erika Milagros Salinas Lumbreras</t>
  </si>
  <si>
    <t xml:space="preserve">Xavier Abram Tavera Guinet</t>
  </si>
  <si>
    <t xml:space="preserve">Maria Guinet Reynaga</t>
  </si>
  <si>
    <t xml:space="preserve">Medina  Leisi</t>
  </si>
  <si>
    <t xml:space="preserve">Leisi</t>
  </si>
  <si>
    <t xml:space="preserve">989063639</t>
  </si>
  <si>
    <t xml:space="preserve">Arturo Valdivia Checa</t>
  </si>
  <si>
    <t xml:space="preserve">Raul Aquino Camargo</t>
  </si>
  <si>
    <t xml:space="preserve">Leonardo Gonzalo Fajardo Rabarozzi</t>
  </si>
  <si>
    <t xml:space="preserve">Christian Giancarlo Idrogo Tantalean</t>
  </si>
  <si>
    <t xml:space="preserve">Flores Tipismana Anita Esperanza</t>
  </si>
  <si>
    <t xml:space="preserve">Anita</t>
  </si>
  <si>
    <t xml:space="preserve">998795068</t>
  </si>
  <si>
    <t xml:space="preserve">Renzo Paolo Peralta Perez</t>
  </si>
  <si>
    <t xml:space="preserve">Blanca Flor Vargas Saavedra</t>
  </si>
  <si>
    <t xml:space="preserve">Ramos Orozco Diana Reyna</t>
  </si>
  <si>
    <t xml:space="preserve">961845242</t>
  </si>
  <si>
    <t xml:space="preserve">Albaro Jose Hurtado</t>
  </si>
  <si>
    <t xml:space="preserve">Tipismana Vda De Flores Ana</t>
  </si>
  <si>
    <t xml:space="preserve">De</t>
  </si>
  <si>
    <t xml:space="preserve">924858836</t>
  </si>
  <si>
    <t xml:space="preserve">Yenifer Estrella Paico Medina</t>
  </si>
  <si>
    <t xml:space="preserve">Granda Navarro Juan Manuel De Jesus</t>
  </si>
  <si>
    <t xml:space="preserve">Juan</t>
  </si>
  <si>
    <t xml:space="preserve">947469418</t>
  </si>
  <si>
    <t xml:space="preserve">Rosa Isabel Torero La Torre</t>
  </si>
  <si>
    <t xml:space="preserve">Romina Angelica Hernandez Torero</t>
  </si>
  <si>
    <t xml:space="preserve">Kelly Cardenas Ortega</t>
  </si>
  <si>
    <t xml:space="preserve">Maryl Lisset Castillo Ventura</t>
  </si>
  <si>
    <t xml:space="preserve">Doris Maribel Tirado Enco</t>
  </si>
  <si>
    <t xml:space="preserve">Milagros Elizabeth Nicho Zambrano</t>
  </si>
  <si>
    <t xml:space="preserve">Lucy Canasa Vilca Canasa Vilca</t>
  </si>
  <si>
    <t xml:space="preserve">Maria Cristina Guzman Armas</t>
  </si>
  <si>
    <t xml:space="preserve">Cordova Llana  Williams Kevin</t>
  </si>
  <si>
    <t xml:space="preserve">Williams</t>
  </si>
  <si>
    <t xml:space="preserve">902109721</t>
  </si>
  <si>
    <t xml:space="preserve">Cesar Enrique Condor Bernuy</t>
  </si>
  <si>
    <t xml:space="preserve">Juan Eden De La Cruz Huaqui</t>
  </si>
  <si>
    <t xml:space="preserve">Conde Quispe Yember</t>
  </si>
  <si>
    <t xml:space="preserve">Yember</t>
  </si>
  <si>
    <t xml:space="preserve">925954223</t>
  </si>
  <si>
    <t xml:space="preserve">Franklin Caceres Loa</t>
  </si>
  <si>
    <t xml:space="preserve">Jedi Beymer Franco Conde</t>
  </si>
  <si>
    <t xml:space="preserve">Canqui Lloyd Fabio Alessandro</t>
  </si>
  <si>
    <t xml:space="preserve">Fabio</t>
  </si>
  <si>
    <t xml:space="preserve">945381846</t>
  </si>
  <si>
    <t xml:space="preserve">Maria Angelica Valladares Aliaga</t>
  </si>
  <si>
    <t xml:space="preserve">Oscar Canqui Gomez</t>
  </si>
  <si>
    <t xml:space="preserve">EQUIPO 25</t>
  </si>
  <si>
    <t xml:space="preserve">Angelo Enrique Giuria Gallo</t>
  </si>
  <si>
    <t xml:space="preserve">Campos Quispe Erika Hasselly</t>
  </si>
  <si>
    <t xml:space="preserve">979382534</t>
  </si>
  <si>
    <t xml:space="preserve">Lluribell Rodriguez  Pina</t>
  </si>
  <si>
    <t xml:space="preserve">Cotrina Labriano Noelia Virginia</t>
  </si>
  <si>
    <t xml:space="preserve">Noelia</t>
  </si>
  <si>
    <t xml:space="preserve">920103427</t>
  </si>
  <si>
    <t xml:space="preserve">Rulito Surichaqui Huaman</t>
  </si>
  <si>
    <t xml:space="preserve">Callupe Cordova Jessica</t>
  </si>
  <si>
    <t xml:space="preserve">902417671</t>
  </si>
  <si>
    <t xml:space="preserve">Michelly Katerine Inche Arias</t>
  </si>
  <si>
    <t xml:space="preserve">Bello Gaspar Violeta Liz</t>
  </si>
  <si>
    <t xml:space="preserve">Violeta</t>
  </si>
  <si>
    <t xml:space="preserve">947465426</t>
  </si>
  <si>
    <t xml:space="preserve">Mirla Jannet Valencia Pacheco</t>
  </si>
  <si>
    <t xml:space="preserve">Baltazar Rosales Jose Elias</t>
  </si>
  <si>
    <t xml:space="preserve">Jose</t>
  </si>
  <si>
    <t xml:space="preserve">981153187</t>
  </si>
  <si>
    <t xml:space="preserve">Josseline Nancy Baltazar Guevara</t>
  </si>
  <si>
    <t xml:space="preserve">Dussan Smit Sanchez Camacho</t>
  </si>
  <si>
    <t xml:space="preserve">Edwin Saul Palomino Gutierrez</t>
  </si>
  <si>
    <t xml:space="preserve">Orison Huansi Marichin</t>
  </si>
  <si>
    <t xml:space="preserve">Fructoso Tapullima Marumaya</t>
  </si>
  <si>
    <t xml:space="preserve">Baltazar Rosales Consuelo Laura</t>
  </si>
  <si>
    <t xml:space="preserve">Consuelo</t>
  </si>
  <si>
    <t xml:space="preserve">Silvia Santamaria Barreto</t>
  </si>
  <si>
    <t xml:space="preserve">Altamirano Llacchuas  Antony Leo</t>
  </si>
  <si>
    <t xml:space="preserve">Antony</t>
  </si>
  <si>
    <t xml:space="preserve">958110726</t>
  </si>
  <si>
    <t xml:space="preserve">Juan Carlos Allcca Llacchuas</t>
  </si>
  <si>
    <t xml:space="preserve">Gilmer Mesias Fernandez Castillo</t>
  </si>
  <si>
    <t xml:space="preserve">Marisol Gabriela Maguiña Padilla</t>
  </si>
  <si>
    <t xml:space="preserve">Hilmart Gari Alcarraz Salazar</t>
  </si>
  <si>
    <t xml:space="preserve">Jesus Christian Huarcaya Palacios</t>
  </si>
  <si>
    <t xml:space="preserve">Carola Evelyn Guerra Arbieto</t>
  </si>
  <si>
    <t xml:space="preserve">Marlene Martinez Chero</t>
  </si>
  <si>
    <t xml:space="preserve">Doris Michaela Cordova Penaloza</t>
  </si>
  <si>
    <t xml:space="preserve">Robin Lazaro Rodriguez</t>
  </si>
  <si>
    <t xml:space="preserve">Arroyo Dominguez  Wilmary Del Carmen</t>
  </si>
  <si>
    <t xml:space="preserve">Wilmary</t>
  </si>
  <si>
    <t xml:space="preserve">916711588</t>
  </si>
  <si>
    <t xml:space="preserve">Tomy Estacio Lucero</t>
  </si>
  <si>
    <t xml:space="preserve">Vargas Zambrano Anthony Williams</t>
  </si>
  <si>
    <t xml:space="preserve">Anthony</t>
  </si>
  <si>
    <t xml:space="preserve">948275738</t>
  </si>
  <si>
    <t xml:space="preserve">Willian Silvestre Vargas Elescano</t>
  </si>
  <si>
    <t xml:space="preserve">Bollet Gomez Angella Maria</t>
  </si>
  <si>
    <t xml:space="preserve">Angella</t>
  </si>
  <si>
    <t xml:space="preserve">989455869</t>
  </si>
  <si>
    <t xml:space="preserve">Mayra Sheyla Nontol Rojas</t>
  </si>
  <si>
    <t xml:space="preserve">Cesar Augusto Causa Correa</t>
  </si>
  <si>
    <t xml:space="preserve">Jhon Francisco Lopez Zumaeta</t>
  </si>
  <si>
    <t xml:space="preserve">Angelina Gebol Guayamis</t>
  </si>
  <si>
    <t xml:space="preserve">Alfredo Simon Alcedo Toledo</t>
  </si>
  <si>
    <t xml:space="preserve">Sanchez  Silva Lucas Alberto</t>
  </si>
  <si>
    <t xml:space="preserve">Lucas</t>
  </si>
  <si>
    <t xml:space="preserve">999927725</t>
  </si>
  <si>
    <t xml:space="preserve">Indira Castro Torre</t>
  </si>
  <si>
    <t xml:space="preserve">Claudio Andres Gracias Chapa</t>
  </si>
  <si>
    <t xml:space="preserve">Rosario Janeth Huaman Celestino</t>
  </si>
  <si>
    <t xml:space="preserve">Juliet Maria Quinonez Ramirez</t>
  </si>
  <si>
    <t xml:space="preserve">Analy Milagros Cordova Dominguez</t>
  </si>
  <si>
    <t xml:space="preserve">Palante Ochoa Hernan</t>
  </si>
  <si>
    <t xml:space="preserve">Hernan</t>
  </si>
  <si>
    <t xml:space="preserve">975589083</t>
  </si>
  <si>
    <t xml:space="preserve">Johnatan Victor Palacios Perales</t>
  </si>
  <si>
    <t xml:space="preserve">Fuentes Cayllahua Maichol</t>
  </si>
  <si>
    <t xml:space="preserve">Maichol</t>
  </si>
  <si>
    <t xml:space="preserve">999063880</t>
  </si>
  <si>
    <t xml:space="preserve">Ana Pamela Villafan Arias</t>
  </si>
  <si>
    <t xml:space="preserve">Fernandez Espinoza Monica Fabiola</t>
  </si>
  <si>
    <t xml:space="preserve">Monica</t>
  </si>
  <si>
    <t xml:space="preserve">910006772</t>
  </si>
  <si>
    <t xml:space="preserve">Maria Elena Mondragon Fernandez</t>
  </si>
  <si>
    <t xml:space="preserve">Montejos Fidel Mario Vicente Paul</t>
  </si>
  <si>
    <t xml:space="preserve">Mario</t>
  </si>
  <si>
    <t xml:space="preserve">955134000</t>
  </si>
  <si>
    <t xml:space="preserve">Walter Humberto Chilon Vargas</t>
  </si>
  <si>
    <t xml:space="preserve">Jose Ricardo Bazan Cruz</t>
  </si>
  <si>
    <t xml:space="preserve">Katia Del Carmen Chumpitaz Cuya</t>
  </si>
  <si>
    <t xml:space="preserve">Erick Alexander Japay Robles</t>
  </si>
  <si>
    <t xml:space="preserve">Carlos Enrique Otarola Rafael</t>
  </si>
  <si>
    <t xml:space="preserve">Falcon Rojas Guido Rusvel</t>
  </si>
  <si>
    <t xml:space="preserve">Guido</t>
  </si>
  <si>
    <t xml:space="preserve">948690007</t>
  </si>
  <si>
    <t xml:space="preserve">Sharick Lidumar Falcon Castaneda</t>
  </si>
  <si>
    <t xml:space="preserve">Yohnny Falcon Rufino</t>
  </si>
  <si>
    <t xml:space="preserve">Barbieri Galecio Diego Hector</t>
  </si>
  <si>
    <t xml:space="preserve">951815674</t>
  </si>
  <si>
    <t xml:space="preserve">Deysi Milagros Jurupe Del Carpio</t>
  </si>
  <si>
    <t xml:space="preserve">Luciana Georgina Barbieri Galecio</t>
  </si>
  <si>
    <t xml:space="preserve">Aline Jarumi Gomez Chavez</t>
  </si>
  <si>
    <t xml:space="preserve">Claudia Maria Flores Bohorquez</t>
  </si>
  <si>
    <t xml:space="preserve">Janet Rodriguez Salazar</t>
  </si>
  <si>
    <t xml:space="preserve">Juan Gerardo Oriundo Verastegui</t>
  </si>
  <si>
    <t xml:space="preserve">Lidia Isabel Pereza Strat</t>
  </si>
  <si>
    <t xml:space="preserve">Edita Ayala Querevalu</t>
  </si>
  <si>
    <t xml:space="preserve">Celestina Eliana Miranda Vega</t>
  </si>
  <si>
    <t xml:space="preserve">Armando Cesar Guzman Alarcon</t>
  </si>
  <si>
    <t xml:space="preserve">Doris Noemi Gutierrez Tolentino</t>
  </si>
  <si>
    <t xml:space="preserve">Juan Carlos Perez Arrascue</t>
  </si>
  <si>
    <t xml:space="preserve">Yolanda Maribel Cabello Portocarrero</t>
  </si>
  <si>
    <t xml:space="preserve">Juan Carlos Charun</t>
  </si>
  <si>
    <t xml:space="preserve">Sanchez Trinidad  Cristian</t>
  </si>
  <si>
    <t xml:space="preserve">967007919</t>
  </si>
  <si>
    <t xml:space="preserve">Dalia Otilia Trinidad Rojas</t>
  </si>
  <si>
    <t xml:space="preserve">Claudia Gianela Trinidad Carrascal</t>
  </si>
  <si>
    <t xml:space="preserve">Portal Pasquel Piero Alessandro</t>
  </si>
  <si>
    <t xml:space="preserve">Piero</t>
  </si>
  <si>
    <t xml:space="preserve">962559832</t>
  </si>
  <si>
    <t xml:space="preserve">Diego Orlando Reyes Cabrera</t>
  </si>
  <si>
    <t xml:space="preserve">Maritza Katherine Plasencia Romero</t>
  </si>
  <si>
    <t xml:space="preserve">Fabiola Herrera</t>
  </si>
  <si>
    <t xml:space="preserve">Jennifer Castillo Cerna</t>
  </si>
  <si>
    <t xml:space="preserve">Angelica Herrera Palomino</t>
  </si>
  <si>
    <t xml:space="preserve">Kathia Zumaeta</t>
  </si>
  <si>
    <t xml:space="preserve">Reyna Hermosilla Jorge Luis Arturo</t>
  </si>
  <si>
    <t xml:space="preserve">981531147</t>
  </si>
  <si>
    <t xml:space="preserve">Luis Alonso Flores Bazan</t>
  </si>
  <si>
    <t xml:space="preserve">Mallqui Trujillo Felipe Alejandro</t>
  </si>
  <si>
    <t xml:space="preserve">Felipe</t>
  </si>
  <si>
    <t xml:space="preserve">998472039</t>
  </si>
  <si>
    <t xml:space="preserve">Raquel Garcia</t>
  </si>
  <si>
    <t xml:space="preserve">Martha Ttito Ttito</t>
  </si>
  <si>
    <t xml:space="preserve">De Paz Figueroa Katia Melva</t>
  </si>
  <si>
    <t xml:space="preserve">Figueroa</t>
  </si>
  <si>
    <t xml:space="preserve">968104053</t>
  </si>
  <si>
    <t xml:space="preserve">Daniela Silvestre Salinas</t>
  </si>
  <si>
    <t xml:space="preserve">Gloria Lizama</t>
  </si>
  <si>
    <t xml:space="preserve">Gary Lopez De Paz</t>
  </si>
  <si>
    <t xml:space="preserve">Cristina Lachi Perez</t>
  </si>
  <si>
    <t xml:space="preserve">Rogelia Solorzano Leyva</t>
  </si>
  <si>
    <t xml:space="preserve">Pompeyo Vinces  Silva</t>
  </si>
  <si>
    <t xml:space="preserve">Gladis Landa Sifuentes</t>
  </si>
  <si>
    <t xml:space="preserve">Quispe Trujillo Leonardo Eloy</t>
  </si>
  <si>
    <t xml:space="preserve">Leonardo</t>
  </si>
  <si>
    <t xml:space="preserve">903463460</t>
  </si>
  <si>
    <t xml:space="preserve">Norelia Antonia Tuse Pena De Quispe</t>
  </si>
  <si>
    <t xml:space="preserve">Brindo Fidel Rosales Dias</t>
  </si>
  <si>
    <t xml:space="preserve">Ramirez  Luz Elvira</t>
  </si>
  <si>
    <t xml:space="preserve">Elvira</t>
  </si>
  <si>
    <t xml:space="preserve">990885888</t>
  </si>
  <si>
    <t xml:space="preserve">Jordan Diego Tan Diaz</t>
  </si>
  <si>
    <t xml:space="preserve">Celestino Anastacio Argumedo Chirinos</t>
  </si>
  <si>
    <t xml:space="preserve">Paola Carlota Nicho Garcia</t>
  </si>
  <si>
    <t xml:space="preserve">Munoz Urquiaga Nicole Bertha</t>
  </si>
  <si>
    <t xml:space="preserve">Nicole</t>
  </si>
  <si>
    <t xml:space="preserve">949555865</t>
  </si>
  <si>
    <t xml:space="preserve">Carlos Mao Teran Rodriguez</t>
  </si>
  <si>
    <t xml:space="preserve">Sofia Gabriela Elsa Teran Pinto</t>
  </si>
  <si>
    <t xml:space="preserve">Gianelli Ramos Gil</t>
  </si>
  <si>
    <t xml:space="preserve">Ximena Alexandra Torres Sayre</t>
  </si>
  <si>
    <t xml:space="preserve">Jorge Jordano Munoz Manchego</t>
  </si>
  <si>
    <t xml:space="preserve">Moises Fernando Colquehuanca Saldivar</t>
  </si>
  <si>
    <t xml:space="preserve">Meilyn Alexandra Aquije Araujo</t>
  </si>
  <si>
    <t xml:space="preserve">Jefferson Miguel Tola Ramos</t>
  </si>
  <si>
    <t xml:space="preserve">Anyela Soto Loayza</t>
  </si>
  <si>
    <t xml:space="preserve">Roger Angelo Munoz Manchego</t>
  </si>
  <si>
    <t xml:space="preserve">Sofia Teran Rodriguez</t>
  </si>
  <si>
    <t xml:space="preserve">Rafael Francisco Sarmiento Cordova</t>
  </si>
  <si>
    <t xml:space="preserve">Raphael Hurtado Prado</t>
  </si>
  <si>
    <t xml:space="preserve">Chipana Vega Luz Mabel</t>
  </si>
  <si>
    <t xml:space="preserve">Luz</t>
  </si>
  <si>
    <t xml:space="preserve">931283234</t>
  </si>
  <si>
    <t xml:space="preserve">Carmen Jhosselyn De La Cruz Vasquez</t>
  </si>
  <si>
    <t xml:space="preserve">Pilco Calizaya Richard</t>
  </si>
  <si>
    <t xml:space="preserve">Richard</t>
  </si>
  <si>
    <t xml:space="preserve">952548927</t>
  </si>
  <si>
    <t xml:space="preserve">Christian Cama Arratia</t>
  </si>
  <si>
    <t xml:space="preserve">Wilfredo Hurtado Espinoza</t>
  </si>
  <si>
    <t xml:space="preserve">Richer Llanque Turpo</t>
  </si>
  <si>
    <t xml:space="preserve">Marycielo Andrea Ticona Aquino</t>
  </si>
  <si>
    <t xml:space="preserve">Paucar Mendoza Yesenia Zully</t>
  </si>
  <si>
    <t xml:space="preserve">Yesenia</t>
  </si>
  <si>
    <t xml:space="preserve">999096760</t>
  </si>
  <si>
    <t xml:space="preserve">Marycielo Montalban Cortez</t>
  </si>
  <si>
    <t xml:space="preserve">Tapullima Cordova Joselyn Alexandra</t>
  </si>
  <si>
    <t xml:space="preserve">Joselyn</t>
  </si>
  <si>
    <t xml:space="preserve">941482840</t>
  </si>
  <si>
    <t xml:space="preserve">Estefani De Los Angeles Cordova Nunez</t>
  </si>
  <si>
    <t xml:space="preserve">Jorge Luis Acaro Cordova</t>
  </si>
  <si>
    <t xml:space="preserve">Gorma Aparicio Jipa Pizango</t>
  </si>
  <si>
    <t xml:space="preserve">Mileny Merly Hurtado Casimiro</t>
  </si>
  <si>
    <t xml:space="preserve">Arellys Yanireth Capcha Camones</t>
  </si>
  <si>
    <t xml:space="preserve">Andred Alexander Cordova Vicuna</t>
  </si>
  <si>
    <t xml:space="preserve">Misshell Pilar Munoz Diaz</t>
  </si>
  <si>
    <t xml:space="preserve">Deborath Jannette Vilchez Suarez</t>
  </si>
  <si>
    <t xml:space="preserve">Ledi Diana Farro Ruiz</t>
  </si>
  <si>
    <t xml:space="preserve">Moises Cantaro Herrera</t>
  </si>
  <si>
    <t xml:space="preserve">Elias Moises Taipe Buendia</t>
  </si>
  <si>
    <t xml:space="preserve">Orlando Alexander Carmen Carbajal</t>
  </si>
  <si>
    <t xml:space="preserve">Cequea Becerra Yuhenlys Uziel</t>
  </si>
  <si>
    <t xml:space="preserve">Yuhenlys</t>
  </si>
  <si>
    <t xml:space="preserve">929139951</t>
  </si>
  <si>
    <t xml:space="preserve">Alisson Katherine Duran Narvaez</t>
  </si>
  <si>
    <t xml:space="preserve">Soto Rivera Milagros Yuliana</t>
  </si>
  <si>
    <t xml:space="preserve">923489255</t>
  </si>
  <si>
    <t xml:space="preserve">Ivan Eduardo Verastegui Rosales</t>
  </si>
  <si>
    <t xml:space="preserve">Ramirez Hualpa Justo Gonzalo</t>
  </si>
  <si>
    <t xml:space="preserve">Justo</t>
  </si>
  <si>
    <t xml:space="preserve">929000967</t>
  </si>
  <si>
    <t xml:space="preserve">Tatiana Ore Castillo</t>
  </si>
  <si>
    <t xml:space="preserve">Jeferson Jose Antonio Mollinedo Bances</t>
  </si>
  <si>
    <t xml:space="preserve">Erica Nallely Ramirez Lema</t>
  </si>
  <si>
    <t xml:space="preserve">Hugo Alexander Velasquez Condori</t>
  </si>
  <si>
    <t xml:space="preserve">Alvaro Rojas Yahaira Marina</t>
  </si>
  <si>
    <t xml:space="preserve">Yahaira</t>
  </si>
  <si>
    <t xml:space="preserve">993105273</t>
  </si>
  <si>
    <t xml:space="preserve">Jose Enrique Rivera Sajami</t>
  </si>
  <si>
    <t xml:space="preserve">Angela Godoy Francisco</t>
  </si>
  <si>
    <t xml:space="preserve">Sanchez Medina Hipolita</t>
  </si>
  <si>
    <t xml:space="preserve">Hipolita</t>
  </si>
  <si>
    <t xml:space="preserve">986819700</t>
  </si>
  <si>
    <t xml:space="preserve">Janeth Patricia Cienfuegos Hernandez</t>
  </si>
  <si>
    <t xml:space="preserve">Allison Gabriela Medina Santa Cruz</t>
  </si>
  <si>
    <t xml:space="preserve">Edward William Gamboa Avila</t>
  </si>
  <si>
    <t xml:space="preserve">Yan Yaranga Guerrero</t>
  </si>
  <si>
    <t xml:space="preserve">Untiveros Requejo Rhania Shaden</t>
  </si>
  <si>
    <t xml:space="preserve">Rhania</t>
  </si>
  <si>
    <t xml:space="preserve">948948750</t>
  </si>
  <si>
    <t xml:space="preserve">Eldridge Isaias Aquino Guerrero</t>
  </si>
  <si>
    <t xml:space="preserve">Murillo Bonett Roxana</t>
  </si>
  <si>
    <t xml:space="preserve">993571118</t>
  </si>
  <si>
    <t xml:space="preserve">Carmen Rosa Ampuero</t>
  </si>
  <si>
    <t xml:space="preserve">Lynne Yadira Benites Salazar</t>
  </si>
  <si>
    <t xml:space="preserve">Moscoso Rios Guillermo</t>
  </si>
  <si>
    <t xml:space="preserve">Guillermo</t>
  </si>
  <si>
    <t xml:space="preserve">996299500</t>
  </si>
  <si>
    <t xml:space="preserve">Renzo Raynir Lliego Mendoza</t>
  </si>
  <si>
    <t xml:space="preserve">Ernesto Bruhs Sanchez Ramirez</t>
  </si>
  <si>
    <t xml:space="preserve">Brayan Jesus Moscoso Gutierrez</t>
  </si>
  <si>
    <t xml:space="preserve">Banchon Gonzalez Miguel Angel</t>
  </si>
  <si>
    <t xml:space="preserve">Miguel</t>
  </si>
  <si>
    <t xml:space="preserve">993451841</t>
  </si>
  <si>
    <t xml:space="preserve">Evelyn Anabelle Suclupe Monteza</t>
  </si>
  <si>
    <t xml:space="preserve">Galvez Lopez Jose Alonso</t>
  </si>
  <si>
    <t xml:space="preserve">962338667</t>
  </si>
  <si>
    <t xml:space="preserve">Fabrizio Marcelo Diaz Lopez</t>
  </si>
  <si>
    <t xml:space="preserve">Garcia Santa Cruz Jenny</t>
  </si>
  <si>
    <t xml:space="preserve">940203359</t>
  </si>
  <si>
    <t xml:space="preserve">Carolina Sarmiento</t>
  </si>
  <si>
    <t xml:space="preserve">Erick Marcelo Escobar Huertas</t>
  </si>
  <si>
    <t xml:space="preserve">Alessandra Jara Pessagno</t>
  </si>
  <si>
    <t xml:space="preserve">Hernandez Gomez Nancy Ysabel</t>
  </si>
  <si>
    <t xml:space="preserve">963955457</t>
  </si>
  <si>
    <t xml:space="preserve">Yanira Akemi Castilla Yupanqui</t>
  </si>
  <si>
    <t xml:space="preserve">Marilyn Ivette Gomez Uribe</t>
  </si>
  <si>
    <t xml:space="preserve">Nolasco Estela Sergio</t>
  </si>
  <si>
    <t xml:space="preserve">Sergio</t>
  </si>
  <si>
    <t xml:space="preserve">51922926088</t>
  </si>
  <si>
    <t xml:space="preserve">Wilson Torres Estela</t>
  </si>
  <si>
    <t xml:space="preserve">Jeiner Coronado Barroso</t>
  </si>
  <si>
    <t xml:space="preserve">Heraclio Juan Mendoza Camasca</t>
  </si>
  <si>
    <t xml:space="preserve">William Carvajal Salazar</t>
  </si>
  <si>
    <t xml:space="preserve">Hugo Benigno Casimiro Huaman</t>
  </si>
  <si>
    <t xml:space="preserve">Wasignton Rios Allcca</t>
  </si>
  <si>
    <t xml:space="preserve">Fanny Tello Aroste</t>
  </si>
  <si>
    <t xml:space="preserve">Milagros Victoria Campos Gamarra</t>
  </si>
  <si>
    <t xml:space="preserve">Romero Alarcon Julia Cesaria</t>
  </si>
  <si>
    <t xml:space="preserve">Julia</t>
  </si>
  <si>
    <t xml:space="preserve">922457450</t>
  </si>
  <si>
    <t xml:space="preserve">Russell Rimas Romero</t>
  </si>
  <si>
    <t xml:space="preserve">Alvino Lopez  Maria Elena</t>
  </si>
  <si>
    <t xml:space="preserve">999770006</t>
  </si>
  <si>
    <t xml:space="preserve">Richar Soto Marcos</t>
  </si>
  <si>
    <t xml:space="preserve">Palomino Ramos Paulina</t>
  </si>
  <si>
    <t xml:space="preserve">Paulina</t>
  </si>
  <si>
    <t xml:space="preserve">990969919</t>
  </si>
  <si>
    <t xml:space="preserve">Patty Soledad Ramos Paricahua</t>
  </si>
  <si>
    <t xml:space="preserve">Candia Palomino Eduardo Dil</t>
  </si>
  <si>
    <t xml:space="preserve">Eduardo</t>
  </si>
  <si>
    <t xml:space="preserve">918141090</t>
  </si>
  <si>
    <t xml:space="preserve">Mahycol Christian Aguirre Arraya</t>
  </si>
  <si>
    <t xml:space="preserve">Zenaida Huarcusi Candia</t>
  </si>
  <si>
    <t xml:space="preserve">Yesmenia Tairo Pallara</t>
  </si>
  <si>
    <t xml:space="preserve">Ramirez Hualpa Pedro</t>
  </si>
  <si>
    <t xml:space="preserve">Pedro</t>
  </si>
  <si>
    <t xml:space="preserve">956633941</t>
  </si>
  <si>
    <t xml:space="preserve">Roger Chino Ramos</t>
  </si>
  <si>
    <t xml:space="preserve">Martinez Terreros Solange</t>
  </si>
  <si>
    <t xml:space="preserve">Solange</t>
  </si>
  <si>
    <t xml:space="preserve">970008358</t>
  </si>
  <si>
    <t xml:space="preserve">Etienne Manuel Rios Laynez</t>
  </si>
  <si>
    <t xml:space="preserve">Eleana Paola Catacora Salas</t>
  </si>
  <si>
    <t xml:space="preserve">Catherine Francesca Ore Mapuriano</t>
  </si>
  <si>
    <t xml:space="preserve">Anarela Luiguina Silvera Raymondi</t>
  </si>
  <si>
    <t xml:space="preserve">Cardenas Tello Ever David</t>
  </si>
  <si>
    <t xml:space="preserve">Ever</t>
  </si>
  <si>
    <t xml:space="preserve">917503894</t>
  </si>
  <si>
    <t xml:space="preserve">Maribel Estaurafila Velazquez Cum</t>
  </si>
  <si>
    <t xml:space="preserve">Martina Tello Alhuay</t>
  </si>
  <si>
    <t xml:space="preserve">Suarez Herrera Sebastian Oscar</t>
  </si>
  <si>
    <t xml:space="preserve">986124564</t>
  </si>
  <si>
    <t xml:space="preserve">Alvaro Loayza Torres</t>
  </si>
  <si>
    <t xml:space="preserve">Carmen Rivera Herrera</t>
  </si>
  <si>
    <t xml:space="preserve">Luz Isabel Torres Saavedra</t>
  </si>
  <si>
    <t xml:space="preserve">López López Brigitte Fernanda</t>
  </si>
  <si>
    <t xml:space="preserve">Brigitte</t>
  </si>
  <si>
    <t xml:space="preserve">949258884</t>
  </si>
  <si>
    <t xml:space="preserve">Yemira Milagros Cahuana Hilari</t>
  </si>
  <si>
    <t xml:space="preserve">Walter Alberto Mercado Barreto</t>
  </si>
  <si>
    <t xml:space="preserve">Perpetua Silva Ramos</t>
  </si>
  <si>
    <t xml:space="preserve">Yaneli Camila Mogrovejo Velarde</t>
  </si>
  <si>
    <t xml:space="preserve">Arnaldo Arotaype Choquehuanca</t>
  </si>
  <si>
    <t xml:space="preserve">Luis Manuel Metienzo Leon</t>
  </si>
  <si>
    <t xml:space="preserve">Luis Gabriel Zapana Choque</t>
  </si>
  <si>
    <t xml:space="preserve">Maryagrace Milagros Vela Collazos</t>
  </si>
  <si>
    <t xml:space="preserve">Megumi Nadesha Chire Ocon</t>
  </si>
  <si>
    <t xml:space="preserve">Gustavo Roberto Saavedra Alburqueque</t>
  </si>
  <si>
    <t xml:space="preserve">Adrian Gomez Bautista</t>
  </si>
  <si>
    <t xml:space="preserve">Lopez Zapana Lourdes</t>
  </si>
  <si>
    <t xml:space="preserve">Lourdes</t>
  </si>
  <si>
    <t xml:space="preserve">994111214</t>
  </si>
  <si>
    <t xml:space="preserve">Mirella Medina Castillo</t>
  </si>
  <si>
    <t xml:space="preserve">Luis Armando Muñoz Pomo</t>
  </si>
  <si>
    <t xml:space="preserve">Carlos Alvaro Avalos Jimenez</t>
  </si>
  <si>
    <t xml:space="preserve">Jacqueline Noemi Suni Suni</t>
  </si>
  <si>
    <t xml:space="preserve">Gloria Maria Vigo Escalante</t>
  </si>
  <si>
    <t xml:space="preserve">Diana Reque Neciosup</t>
  </si>
  <si>
    <t xml:space="preserve">Jose Guillermo Jhonathan Guzman Lopez</t>
  </si>
  <si>
    <t xml:space="preserve">Tipismana Pasache Alejandrina Patricia</t>
  </si>
  <si>
    <t xml:space="preserve">Alejandrina</t>
  </si>
  <si>
    <t xml:space="preserve">994642604</t>
  </si>
  <si>
    <t xml:space="preserve">Lizzy Guadalupe Grimaldo Mayaute</t>
  </si>
  <si>
    <t xml:space="preserve">Daniel Ernesto Palacios Rojo</t>
  </si>
  <si>
    <t xml:space="preserve">Lopez Quispe  Javier Henry</t>
  </si>
  <si>
    <t xml:space="preserve">Javier</t>
  </si>
  <si>
    <t xml:space="preserve">957039275</t>
  </si>
  <si>
    <t xml:space="preserve">Roxana Karen Huayta Quispe</t>
  </si>
  <si>
    <t xml:space="preserve">Yelsi Lopez Choquehuanca</t>
  </si>
  <si>
    <t xml:space="preserve">Carlos Alberto Lescano Cerna</t>
  </si>
  <si>
    <t xml:space="preserve">Loayza Romani  Ana Maria</t>
  </si>
  <si>
    <t xml:space="preserve">Ana</t>
  </si>
  <si>
    <t xml:space="preserve">929091226</t>
  </si>
  <si>
    <t xml:space="preserve">Jean Piero Loaiza Torres</t>
  </si>
  <si>
    <t xml:space="preserve">Ramirez Hualpa Juan Alvaro</t>
  </si>
  <si>
    <t xml:space="preserve">922813563</t>
  </si>
  <si>
    <t xml:space="preserve">Orlando Condori Mamani</t>
  </si>
  <si>
    <t xml:space="preserve">Beatriz Maria Neyra Ramirez</t>
  </si>
  <si>
    <t xml:space="preserve">Richard Wilson Neyra Ramirez</t>
  </si>
  <si>
    <t xml:space="preserve">Ramirez Hualpa Mario Wilfredo</t>
  </si>
  <si>
    <t xml:space="preserve">939903990</t>
  </si>
  <si>
    <t xml:space="preserve">Cristian Soncco Quispe</t>
  </si>
  <si>
    <t xml:space="preserve">William Percy Huillca Champi</t>
  </si>
  <si>
    <t xml:space="preserve">Reynaldo Jaime Quispe Maquera</t>
  </si>
  <si>
    <t xml:space="preserve">Javier Mamani Quispe</t>
  </si>
  <si>
    <t xml:space="preserve">Torres Marcos Pilar Miriam</t>
  </si>
  <si>
    <t xml:space="preserve">Pilar</t>
  </si>
  <si>
    <t xml:space="preserve">933469542</t>
  </si>
  <si>
    <t xml:space="preserve">Luis Fernando Cachay Zena</t>
  </si>
  <si>
    <t xml:space="preserve">Kelly Merilin De La Cruz Marcos</t>
  </si>
  <si>
    <t xml:space="preserve">Torres-Calderon Arrieta Andres Sebastian</t>
  </si>
  <si>
    <t xml:space="preserve">Andres</t>
  </si>
  <si>
    <t xml:space="preserve">978721933</t>
  </si>
  <si>
    <t xml:space="preserve">Juan Diego Torres Calderon De Vettori</t>
  </si>
  <si>
    <t xml:space="preserve">Diego Arturo Lescano Cardenas</t>
  </si>
  <si>
    <t xml:space="preserve">Arturo Francisco Rios Tipiani</t>
  </si>
  <si>
    <t xml:space="preserve">Mendoza Pilco Maria Del Carmen</t>
  </si>
  <si>
    <t xml:space="preserve">919471359</t>
  </si>
  <si>
    <t xml:space="preserve">Josue Emanuel Vivanco Quiliche</t>
  </si>
  <si>
    <t xml:space="preserve">Lloyd Saldana Diana Maria</t>
  </si>
  <si>
    <t xml:space="preserve">954189816</t>
  </si>
  <si>
    <t xml:space="preserve">Marianne Grace Lloyd Saldana</t>
  </si>
  <si>
    <t xml:space="preserve">Montano Miranda Ariskela</t>
  </si>
  <si>
    <t xml:space="preserve">Ariskela</t>
  </si>
  <si>
    <t xml:space="preserve">979375441</t>
  </si>
  <si>
    <t xml:space="preserve">Aquemi Montano Miranda</t>
  </si>
  <si>
    <t xml:space="preserve">Yessica Rosalez Pariona.</t>
  </si>
  <si>
    <t xml:space="preserve">Lirio Segundo Rojas Montano</t>
  </si>
  <si>
    <t xml:space="preserve">Eliabe Tovar Miranda</t>
  </si>
  <si>
    <t xml:space="preserve">Uriarte Cachay Aaron Alberto</t>
  </si>
  <si>
    <t xml:space="preserve">Aaron</t>
  </si>
  <si>
    <t xml:space="preserve">960451306</t>
  </si>
  <si>
    <t xml:space="preserve">Luis Ygancio Uriarte Medina</t>
  </si>
  <si>
    <t xml:space="preserve">Marko Akiro Uriarte Carbajal</t>
  </si>
  <si>
    <t xml:space="preserve">Manuel Hipolito Gonzalez Pisfil</t>
  </si>
  <si>
    <t xml:space="preserve">Castaneda Orbe Milagros</t>
  </si>
  <si>
    <t xml:space="preserve">934593496</t>
  </si>
  <si>
    <t xml:space="preserve">Maria Isabel Martinez Monje</t>
  </si>
  <si>
    <t xml:space="preserve">Rosa Del Carmen Sanchez Moreno</t>
  </si>
  <si>
    <t xml:space="preserve">Roberto Elias Barzola Barzola</t>
  </si>
  <si>
    <t xml:space="preserve">Luis Alberto Castaneda Marin</t>
  </si>
  <si>
    <t xml:space="preserve">Gianella Uribe Lizarraga</t>
  </si>
  <si>
    <t xml:space="preserve">Felix Ortiz</t>
  </si>
  <si>
    <t xml:space="preserve">Deiser Job Herrera Cabrera</t>
  </si>
  <si>
    <t xml:space="preserve">Cindy Flor Escamilo Rojas</t>
  </si>
  <si>
    <t xml:space="preserve">Cruz Isabel Orbe De Saavedra</t>
  </si>
  <si>
    <t xml:space="preserve">Corimaya Aceituno De Surco Reinalda</t>
  </si>
  <si>
    <t xml:space="preserve">51959600455</t>
  </si>
  <si>
    <t xml:space="preserve">Maritza Miranda Calsin</t>
  </si>
  <si>
    <t xml:space="preserve">Tonny Frank Ccorimaya Aguilar</t>
  </si>
  <si>
    <t xml:space="preserve">Leon Moore Camila Lucia</t>
  </si>
  <si>
    <t xml:space="preserve">Camila</t>
  </si>
  <si>
    <t xml:space="preserve">981701570</t>
  </si>
  <si>
    <t xml:space="preserve">Shianeé Mayli Murga Quispe Murga Quispe</t>
  </si>
  <si>
    <t xml:space="preserve">Wendy Melissa Celis Minope</t>
  </si>
  <si>
    <t xml:space="preserve">Luis Alberto Coronel Jiron</t>
  </si>
  <si>
    <t xml:space="preserve">Andrea Alejandra Lizarribar Leon</t>
  </si>
  <si>
    <t xml:space="preserve">Surco Corimaya Jose Manuel</t>
  </si>
  <si>
    <t xml:space="preserve">983539877</t>
  </si>
  <si>
    <t xml:space="preserve">Ana Elva Quise Calsina</t>
  </si>
  <si>
    <t xml:space="preserve">Junior Javier Figueroa Saveedra</t>
  </si>
  <si>
    <t xml:space="preserve">Sosaya Jimenez Ariana Ximena</t>
  </si>
  <si>
    <t xml:space="preserve">Ariana</t>
  </si>
  <si>
    <t xml:space="preserve">955121546</t>
  </si>
  <si>
    <t xml:space="preserve">Renzo Renato Uribe Soto</t>
  </si>
  <si>
    <t xml:space="preserve">Araceli Uribe</t>
  </si>
  <si>
    <t xml:space="preserve">Ferenz Gonzales</t>
  </si>
  <si>
    <t xml:space="preserve">Vargas Enriquez Jolber</t>
  </si>
  <si>
    <t xml:space="preserve">Jolber</t>
  </si>
  <si>
    <t xml:space="preserve">957072400</t>
  </si>
  <si>
    <t xml:space="preserve">Rosarela Erika Vargas Enriquez</t>
  </si>
  <si>
    <t xml:space="preserve">Wagner Muchas Monroy</t>
  </si>
  <si>
    <t xml:space="preserve">Ulises Vargas Enriquez</t>
  </si>
  <si>
    <t xml:space="preserve">Portocarrero Perea Karin</t>
  </si>
  <si>
    <t xml:space="preserve">Karin</t>
  </si>
  <si>
    <t xml:space="preserve">000000</t>
  </si>
  <si>
    <t xml:space="preserve">Hugo Juan Nunez Nino</t>
  </si>
  <si>
    <t xml:space="preserve">Geraldine Judith Pena Espinoza</t>
  </si>
  <si>
    <t xml:space="preserve">Valencia Ccoscco Yolanda</t>
  </si>
  <si>
    <t xml:space="preserve">Yolanda</t>
  </si>
  <si>
    <t xml:space="preserve">922561519</t>
  </si>
  <si>
    <t xml:space="preserve">Isela Pelaez Flores</t>
  </si>
  <si>
    <t xml:space="preserve">Roberto Cahuana Valencia</t>
  </si>
  <si>
    <t xml:space="preserve">Rosa Valencia Ccoscco</t>
  </si>
  <si>
    <t xml:space="preserve">Santa Cruz Buendia Yieny</t>
  </si>
  <si>
    <t xml:space="preserve">Buendia</t>
  </si>
  <si>
    <t xml:space="preserve">986987346</t>
  </si>
  <si>
    <t xml:space="preserve">Pedro Arturo Miranda Moya</t>
  </si>
  <si>
    <t xml:space="preserve">Sangay Salvatierra Brian Steve</t>
  </si>
  <si>
    <t xml:space="preserve">Brian</t>
  </si>
  <si>
    <t xml:space="preserve">902807431</t>
  </si>
  <si>
    <t xml:space="preserve">Carlos Jesus Mendoza Navarrete</t>
  </si>
  <si>
    <t xml:space="preserve">Rojas Rimac Lida Hilaria</t>
  </si>
  <si>
    <t xml:space="preserve">Lida</t>
  </si>
  <si>
    <t xml:space="preserve">994351688</t>
  </si>
  <si>
    <t xml:space="preserve">Rosa Melita Venancino Venancino</t>
  </si>
  <si>
    <t xml:space="preserve">Sheyla Raborg Garcia</t>
  </si>
  <si>
    <t xml:space="preserve">Hugo Luis Inche Chavez</t>
  </si>
  <si>
    <t xml:space="preserve">Suarez Herrera  Genara</t>
  </si>
  <si>
    <t xml:space="preserve">Genara</t>
  </si>
  <si>
    <t xml:space="preserve">975315848</t>
  </si>
  <si>
    <t xml:space="preserve">Fiorela Lizbeth Miranda Yampi</t>
  </si>
  <si>
    <t xml:space="preserve">Magallanes Tasayco Estefany Lizet</t>
  </si>
  <si>
    <t xml:space="preserve">Estefany</t>
  </si>
  <si>
    <t xml:space="preserve">944246090</t>
  </si>
  <si>
    <t xml:space="preserve">Solahs Romero Tasayco</t>
  </si>
  <si>
    <t xml:space="preserve">Miranda Calsin Doris</t>
  </si>
  <si>
    <t xml:space="preserve">Doris</t>
  </si>
  <si>
    <t xml:space="preserve">946722894</t>
  </si>
  <si>
    <t xml:space="preserve">Ana Isabel Foroca Santa</t>
  </si>
  <si>
    <t xml:space="preserve">Mendoza Paredes Edgar Americo</t>
  </si>
  <si>
    <t xml:space="preserve">Edgar</t>
  </si>
  <si>
    <t xml:space="preserve">960594148</t>
  </si>
  <si>
    <t xml:space="preserve">Diego Arturo Paz Horostegui</t>
  </si>
  <si>
    <t xml:space="preserve">Yrma Haydee Mendoza Paredes</t>
  </si>
  <si>
    <t xml:space="preserve">Aponte Perez Charo Yaneth</t>
  </si>
  <si>
    <t xml:space="preserve">Charo</t>
  </si>
  <si>
    <t xml:space="preserve">980648582</t>
  </si>
  <si>
    <t xml:space="preserve">Hayde Huanap Ravello</t>
  </si>
  <si>
    <t xml:space="preserve">Esther Ludena Garcia</t>
  </si>
  <si>
    <t xml:space="preserve">Pamela Alondra Ramirez Manuyama</t>
  </si>
  <si>
    <t xml:space="preserve">Ruben Daniel Aponte Perez</t>
  </si>
  <si>
    <t xml:space="preserve">Jimmy Paul Zamorano Alvarado</t>
  </si>
  <si>
    <t xml:space="preserve">Melissa Alejos Clemente</t>
  </si>
  <si>
    <t xml:space="preserve">Sandra Sofia Bances Orco</t>
  </si>
  <si>
    <t xml:space="preserve">Gamarra Ganoza Gustavo  Paul</t>
  </si>
  <si>
    <t xml:space="preserve">934690932</t>
  </si>
  <si>
    <t xml:space="preserve">Julissa Querevalu</t>
  </si>
  <si>
    <t xml:space="preserve">Moran Cruz Carmen Rosa</t>
  </si>
  <si>
    <t xml:space="preserve">906702834</t>
  </si>
  <si>
    <t xml:space="preserve">Rosario Kimberly Yupanqui Rodriguez</t>
  </si>
  <si>
    <t xml:space="preserve">Inga Tomanguilla Lenin</t>
  </si>
  <si>
    <t xml:space="preserve">Lenin</t>
  </si>
  <si>
    <t xml:space="preserve">942001112</t>
  </si>
  <si>
    <t xml:space="preserve">Baudelia Inga Tomaguilla</t>
  </si>
  <si>
    <t xml:space="preserve">Fredy Inga Tomanguilla</t>
  </si>
  <si>
    <t xml:space="preserve">Edgar Escalante Flores</t>
  </si>
  <si>
    <t xml:space="preserve">Leydi Tello Talexio</t>
  </si>
  <si>
    <t xml:space="preserve">Fabio Alvarez Salazar</t>
  </si>
  <si>
    <t xml:space="preserve">Machado Quinones Yuli Ines</t>
  </si>
  <si>
    <t xml:space="preserve">Yuli</t>
  </si>
  <si>
    <t xml:space="preserve">950088740</t>
  </si>
  <si>
    <t xml:space="preserve">Ponciano Curilla Lazo</t>
  </si>
  <si>
    <t xml:space="preserve">Flores Tipismana Rufino</t>
  </si>
  <si>
    <t xml:space="preserve">Rufino</t>
  </si>
  <si>
    <t xml:space="preserve">997176351</t>
  </si>
  <si>
    <t xml:space="preserve">Luciana Irene Taipe Oliva</t>
  </si>
  <si>
    <t xml:space="preserve">Brijitte Joanne Garcia Acuna</t>
  </si>
  <si>
    <t xml:space="preserve">Surimar Yaimara Mora Fernandez</t>
  </si>
  <si>
    <t xml:space="preserve">Araujo Tangoa Bertha Luz</t>
  </si>
  <si>
    <t xml:space="preserve">Bertha</t>
  </si>
  <si>
    <t xml:space="preserve">991614596</t>
  </si>
  <si>
    <t xml:space="preserve">Leny Rocio Huaymacari Arirua</t>
  </si>
  <si>
    <t xml:space="preserve">Maria Teresa Arevalo Sanchez</t>
  </si>
  <si>
    <t xml:space="preserve">Oscar Alfredo Marroquin Castillo</t>
  </si>
  <si>
    <t xml:space="preserve">Emerita Tangoa Lancha</t>
  </si>
  <si>
    <t xml:space="preserve">Laura Luz Sanchez Ruiz</t>
  </si>
  <si>
    <t xml:space="preserve">Milagritos Del Pilar Arevalo Sanchez</t>
  </si>
  <si>
    <t xml:space="preserve">Zenida Victoria Crespo Atencio</t>
  </si>
  <si>
    <t xml:space="preserve">Nolasco Chipana Nilda Nicole</t>
  </si>
  <si>
    <t xml:space="preserve">Nilda</t>
  </si>
  <si>
    <t xml:space="preserve">912413787</t>
  </si>
  <si>
    <t xml:space="preserve">Flavio Simon Lucas</t>
  </si>
  <si>
    <t xml:space="preserve">Wily Nolasco Estela</t>
  </si>
  <si>
    <t xml:space="preserve">Jose Antonio Ccanto Benito</t>
  </si>
  <si>
    <t xml:space="preserve">Lucas Andrade Elder</t>
  </si>
  <si>
    <t xml:space="preserve">Maria Celia Barazorda Chuquimajo</t>
  </si>
  <si>
    <t xml:space="preserve">Aldo Torres Estela</t>
  </si>
  <si>
    <t xml:space="preserve">Estelina Erica Nolasco Espinoza</t>
  </si>
  <si>
    <t xml:space="preserve">Curi Salvador Jose Guillermo</t>
  </si>
  <si>
    <t xml:space="preserve">922972827</t>
  </si>
  <si>
    <t xml:space="preserve">Ismael Garcia Salvador</t>
  </si>
  <si>
    <t xml:space="preserve">Noelia Camila Zapata Mancilla</t>
  </si>
  <si>
    <t xml:space="preserve">Mayusty Dania Curi Salvador</t>
  </si>
  <si>
    <t xml:space="preserve">Luciana Quispe Palacios</t>
  </si>
  <si>
    <t xml:space="preserve">Oscar Enrique Santiago Ramirez</t>
  </si>
  <si>
    <t xml:space="preserve">Castillo Rios Pamela Cynthia</t>
  </si>
  <si>
    <t xml:space="preserve">940964466</t>
  </si>
  <si>
    <t xml:space="preserve">Gina Lizbeth Arapa Ponce</t>
  </si>
  <si>
    <t xml:space="preserve">Carlos Joel Rivera Yip</t>
  </si>
  <si>
    <t xml:space="preserve">Esther Luque Bonet</t>
  </si>
  <si>
    <t xml:space="preserve">Dyango Francisco Jaramillo Alarcon</t>
  </si>
  <si>
    <t xml:space="preserve">Yalesca Corahua Rojas</t>
  </si>
  <si>
    <t xml:space="preserve">Algarate Jimenez Anthony Leonardo</t>
  </si>
  <si>
    <t xml:space="preserve">980312179</t>
  </si>
  <si>
    <t xml:space="preserve">Nilo Espinoza Leon</t>
  </si>
  <si>
    <t xml:space="preserve">Claudia Jimena Rengifo Ochoa</t>
  </si>
  <si>
    <t xml:space="preserve">Daniel Gerson Leon</t>
  </si>
  <si>
    <t xml:space="preserve">Jessica Rossmeri Rique Calixto</t>
  </si>
  <si>
    <t xml:space="preserve">Pamela Pastrana Rique</t>
  </si>
  <si>
    <t xml:space="preserve">Ochoa Ferrer Rosmery</t>
  </si>
  <si>
    <t xml:space="preserve">Rosmery</t>
  </si>
  <si>
    <t xml:space="preserve">989665820</t>
  </si>
  <si>
    <t xml:space="preserve">Maybeec  Lucy Ortega Carranza</t>
  </si>
  <si>
    <t xml:space="preserve">Presilla Chuquillanqui Rodriguez</t>
  </si>
  <si>
    <t xml:space="preserve">Carlos Enrique Farro Neyra</t>
  </si>
  <si>
    <t xml:space="preserve">Elizabeth Pujaico Salvatierra</t>
  </si>
  <si>
    <t xml:space="preserve">Fredy Raul Huayllasco Guerreros</t>
  </si>
  <si>
    <t xml:space="preserve">Jose Francisco Osorio Carlos</t>
  </si>
  <si>
    <t xml:space="preserve">Gabriela Stefania Hernando Vilela</t>
  </si>
  <si>
    <t xml:space="preserve">Mariza Pilar Becerra Rengifo</t>
  </si>
  <si>
    <t xml:space="preserve">Jolly Vera Grezia Maria</t>
  </si>
  <si>
    <t xml:space="preserve">Grezia</t>
  </si>
  <si>
    <t xml:space="preserve">920738765</t>
  </si>
  <si>
    <t xml:space="preserve">Rodrigo Giovani Morales Huarac</t>
  </si>
  <si>
    <t xml:space="preserve">Felix Eduardo Villa Gonzales</t>
  </si>
  <si>
    <t xml:space="preserve">Maria Teresa Vera Garcia</t>
  </si>
  <si>
    <t xml:space="preserve">Carlos Fernando Huaman Cahuana</t>
  </si>
  <si>
    <t xml:space="preserve">Castaneda Ponce De Leon Jennifer Alysson</t>
  </si>
  <si>
    <t xml:space="preserve">932345707</t>
  </si>
  <si>
    <t xml:space="preserve">Juan Castaneda Garay</t>
  </si>
  <si>
    <t xml:space="preserve">Maria Jose Cuadrado Castaneda</t>
  </si>
  <si>
    <t xml:space="preserve">Diana Ponce De Leon</t>
  </si>
  <si>
    <t xml:space="preserve">Henry Luis Neyra Espinoza</t>
  </si>
  <si>
    <t xml:space="preserve">Escobar Cadillo Maggie Lourdes</t>
  </si>
  <si>
    <t xml:space="preserve">Maggie</t>
  </si>
  <si>
    <t xml:space="preserve">922671268</t>
  </si>
  <si>
    <t xml:space="preserve">Magda Mardonia Cadillo Vizcarra</t>
  </si>
  <si>
    <t xml:space="preserve">Espinoza Chavez Martin Vicente</t>
  </si>
  <si>
    <t xml:space="preserve">Martin</t>
  </si>
  <si>
    <t xml:space="preserve">956317539</t>
  </si>
  <si>
    <t xml:space="preserve">Marnie Julia Susan Perales Espinoza</t>
  </si>
  <si>
    <t xml:space="preserve">Alexis Contreras Rojas</t>
  </si>
  <si>
    <t xml:space="preserve">Jesus Martin Ornay Sanchez</t>
  </si>
  <si>
    <t xml:space="preserve">Baltazar Angeles  Jesus Elizabeth</t>
  </si>
  <si>
    <t xml:space="preserve">980570900</t>
  </si>
  <si>
    <t xml:space="preserve">Katherine Miriam Riveros Caballero</t>
  </si>
  <si>
    <t xml:space="preserve">Ruth Maglenny Farias Estrada</t>
  </si>
  <si>
    <t xml:space="preserve">Leslie Del Rosado Rodriguez Camarena</t>
  </si>
  <si>
    <t xml:space="preserve">Castaneda Ponce De Leon Anthony Alfredo</t>
  </si>
  <si>
    <t xml:space="preserve">942738675</t>
  </si>
  <si>
    <t xml:space="preserve">Diego Sebastian Castaneda Guerreros</t>
  </si>
  <si>
    <t xml:space="preserve">Hans Mallma Leon</t>
  </si>
  <si>
    <t xml:space="preserve">Gerald Christian Rodriguez Anaya</t>
  </si>
  <si>
    <t xml:space="preserve">Castillo Gonzales Cristian Mijail</t>
  </si>
  <si>
    <t xml:space="preserve">930591976</t>
  </si>
  <si>
    <t xml:space="preserve">Ada Pilar Luna Pineda</t>
  </si>
  <si>
    <t xml:space="preserve">Tula Elsa Sencie Espinoza</t>
  </si>
  <si>
    <t xml:space="preserve">Benedicto Jensi Huaringa Cuellar</t>
  </si>
  <si>
    <t xml:space="preserve">Bautista Ochoa Ketty Doris</t>
  </si>
  <si>
    <t xml:space="preserve">Ketty</t>
  </si>
  <si>
    <t xml:space="preserve">986890934</t>
  </si>
  <si>
    <t xml:space="preserve">Maritza Esther Aviles  Huaranga</t>
  </si>
  <si>
    <t xml:space="preserve">Huaman Celestino Gissella Milagros</t>
  </si>
  <si>
    <t xml:space="preserve">Gissella</t>
  </si>
  <si>
    <t xml:space="preserve">969587076</t>
  </si>
  <si>
    <t xml:space="preserve">Eros Reynaldo Velasquez Huaman</t>
  </si>
  <si>
    <t xml:space="preserve">Paulina Natividad Maria Mendoza Samaniego</t>
  </si>
  <si>
    <t xml:space="preserve">Rucy Jannet De La Cruz Capcha</t>
  </si>
  <si>
    <t xml:space="preserve">Doris Juana Espiritu De La Cruz</t>
  </si>
  <si>
    <t xml:space="preserve">Gutierrez Calero Nasha Mercedes</t>
  </si>
  <si>
    <t xml:space="preserve">Nasha</t>
  </si>
  <si>
    <t xml:space="preserve">960343562</t>
  </si>
  <si>
    <t xml:space="preserve">Lizeth Elsa Apaza Castro</t>
  </si>
  <si>
    <t xml:space="preserve">Cruz Abad Mulatillo</t>
  </si>
  <si>
    <t xml:space="preserve">Ramos Perez Gareth</t>
  </si>
  <si>
    <t xml:space="preserve">Gareth</t>
  </si>
  <si>
    <t xml:space="preserve">946011882</t>
  </si>
  <si>
    <t xml:space="preserve">Jack Jader Gonzales Ramirez</t>
  </si>
  <si>
    <t xml:space="preserve">Jenny Rocio Indigoyen Perez</t>
  </si>
  <si>
    <t xml:space="preserve">Luz Quispe Arriguela</t>
  </si>
  <si>
    <t xml:space="preserve">Julia Merida Benites Prieto</t>
  </si>
  <si>
    <t xml:space="preserve">Joseph Karols Garibay Benites</t>
  </si>
  <si>
    <t xml:space="preserve">Ana Maria Lucia Bolo Sarmiento</t>
  </si>
  <si>
    <t xml:space="preserve">Kelly Ethel Ponte Lopez</t>
  </si>
  <si>
    <t xml:space="preserve">Maria Elizabeth Malaga Zapata</t>
  </si>
  <si>
    <t xml:space="preserve">Claudia Margot Sanchez Babilonia</t>
  </si>
  <si>
    <t xml:space="preserve">Garcia Cubas Roberth Alonso</t>
  </si>
  <si>
    <t xml:space="preserve">Roberth</t>
  </si>
  <si>
    <t xml:space="preserve">947987891</t>
  </si>
  <si>
    <t xml:space="preserve">Sebastian Garcia Cubas</t>
  </si>
  <si>
    <t xml:space="preserve">Castaneda Alfredo Samuel</t>
  </si>
  <si>
    <t xml:space="preserve">Samuel</t>
  </si>
  <si>
    <t xml:space="preserve">964207577</t>
  </si>
  <si>
    <t xml:space="preserve">John Diaz Flores</t>
  </si>
  <si>
    <t xml:space="preserve">Contreras Luchine David Emerson</t>
  </si>
  <si>
    <t xml:space="preserve">David</t>
  </si>
  <si>
    <t xml:space="preserve">941433268</t>
  </si>
  <si>
    <t xml:space="preserve">Yeny Eulalia Luchine Condor</t>
  </si>
  <si>
    <t xml:space="preserve">Juan Carlos Contreras Luchine</t>
  </si>
  <si>
    <t xml:space="preserve">Edith Darika Valerio Palomino</t>
  </si>
  <si>
    <t xml:space="preserve">Peter Julio Asconoa Alarcon</t>
  </si>
  <si>
    <t xml:space="preserve">Katerine Inche Contreras</t>
  </si>
  <si>
    <t xml:space="preserve">Nerida Ayra Encarnacion</t>
  </si>
  <si>
    <t xml:space="preserve">Saul Alfredo Vargas Chamorro</t>
  </si>
  <si>
    <t xml:space="preserve">Marlene Luchine Condor</t>
  </si>
  <si>
    <t xml:space="preserve">Any Stephani Faustino Gamarra</t>
  </si>
  <si>
    <t xml:space="preserve">Amira Torres Camavilca</t>
  </si>
  <si>
    <t xml:space="preserve">Joselyn Thalia Espinoza Cano</t>
  </si>
  <si>
    <t xml:space="preserve">Marco Antonio Mayta Arrieta</t>
  </si>
  <si>
    <t xml:space="preserve">Lopez Lopez Fernando Abel</t>
  </si>
  <si>
    <t xml:space="preserve">981237577</t>
  </si>
  <si>
    <t xml:space="preserve">Claudia Fatima Reyna Nina</t>
  </si>
  <si>
    <t xml:space="preserve">Maria Esperanza Barrera Carrasco</t>
  </si>
  <si>
    <t xml:space="preserve">Francisco Santillan Torrejon</t>
  </si>
  <si>
    <t xml:space="preserve">Katty Chumpitaz Ruiz</t>
  </si>
  <si>
    <t xml:space="preserve">Jair Andre Jove Canaza</t>
  </si>
  <si>
    <t xml:space="preserve">Kiara Larisa Guerrero Castillo</t>
  </si>
  <si>
    <t xml:space="preserve">Jose Ramos Arapa</t>
  </si>
  <si>
    <t xml:space="preserve">Jemer Castillo Huamani</t>
  </si>
  <si>
    <t xml:space="preserve">Diego Alonso Huayhua Fernandez</t>
  </si>
  <si>
    <t xml:space="preserve">Victor Andres Garcia Espinoza</t>
  </si>
  <si>
    <t xml:space="preserve">Jeanpool Stuar Huaman Suma</t>
  </si>
  <si>
    <t xml:space="preserve">Sarela Katherine Quispe Suaquita</t>
  </si>
  <si>
    <t xml:space="preserve">Edgar Jove Condori</t>
  </si>
  <si>
    <t xml:space="preserve">Soolange Xohanna Espinoza Choquepata</t>
  </si>
  <si>
    <t xml:space="preserve">De La Cruz Garcia Ariana</t>
  </si>
  <si>
    <t xml:space="preserve">977527561</t>
  </si>
  <si>
    <t xml:space="preserve">Jack Piero Valdivia Faustino</t>
  </si>
  <si>
    <t xml:space="preserve">Nolasco Estela Kempis</t>
  </si>
  <si>
    <t xml:space="preserve">Kempis</t>
  </si>
  <si>
    <t xml:space="preserve">949537850</t>
  </si>
  <si>
    <t xml:space="preserve">Bety Maribel Pablo Francisco</t>
  </si>
  <si>
    <t xml:space="preserve">Jhon Carlos Granados Shupingahua</t>
  </si>
  <si>
    <t xml:space="preserve">Jhordan Anthony Granados Shupingahua</t>
  </si>
  <si>
    <t xml:space="preserve">Rosana Vilma Dominguez Montalvo</t>
  </si>
  <si>
    <t xml:space="preserve">Reyna Josefina Castro Nolasco</t>
  </si>
  <si>
    <t xml:space="preserve">Navarro Palma Yarismar Andreina</t>
  </si>
  <si>
    <t xml:space="preserve">Yarismar</t>
  </si>
  <si>
    <t xml:space="preserve">922040104</t>
  </si>
  <si>
    <t xml:space="preserve">Dulueibis Manrique</t>
  </si>
  <si>
    <t xml:space="preserve">Pilco Laura  Ruth Yesly</t>
  </si>
  <si>
    <t xml:space="preserve">Ruth</t>
  </si>
  <si>
    <t xml:space="preserve">954166297</t>
  </si>
  <si>
    <t xml:space="preserve">Valentina Apaza Condori</t>
  </si>
  <si>
    <t xml:space="preserve">Lucia Calizaya De Pilco</t>
  </si>
  <si>
    <t xml:space="preserve">Naira Tairo  Nayelly Yovana</t>
  </si>
  <si>
    <t xml:space="preserve">Nayelly</t>
  </si>
  <si>
    <t xml:space="preserve">912944247</t>
  </si>
  <si>
    <t xml:space="preserve">Remigia Gomez Pacoricona</t>
  </si>
  <si>
    <t xml:space="preserve">Surco Corimaya Jhomira Rayza</t>
  </si>
  <si>
    <t xml:space="preserve">Jhomira</t>
  </si>
  <si>
    <t xml:space="preserve">989624898</t>
  </si>
  <si>
    <t xml:space="preserve">Jorge Luis Cardenas Cordova</t>
  </si>
  <si>
    <t xml:space="preserve">Palomino Marcos Giovana Elizabeth</t>
  </si>
  <si>
    <t xml:space="preserve">Giovana</t>
  </si>
  <si>
    <t xml:space="preserve">993717944</t>
  </si>
  <si>
    <t xml:space="preserve">Ana Paula Espinoza Lopez</t>
  </si>
  <si>
    <t xml:space="preserve">Cristian Zevallos Tonconi</t>
  </si>
  <si>
    <t xml:space="preserve">Ricardo Magno Robles Paredes</t>
  </si>
  <si>
    <t xml:space="preserve">Dino Gabriel Rivera Lopez</t>
  </si>
  <si>
    <t xml:space="preserve">Christian Christian Maza Raymundo</t>
  </si>
  <si>
    <t xml:space="preserve">Davila Manrique  Arturo</t>
  </si>
  <si>
    <t xml:space="preserve">Arturo</t>
  </si>
  <si>
    <t xml:space="preserve">943430353</t>
  </si>
  <si>
    <t xml:space="preserve">Miguel Angel Mucha Davila</t>
  </si>
  <si>
    <t xml:space="preserve">Mikhail Arturo Davila Perez</t>
  </si>
  <si>
    <t xml:space="preserve">Jhon Arturo Davila Perez</t>
  </si>
  <si>
    <t xml:space="preserve">Mendoza Soria Sandra Isabel</t>
  </si>
  <si>
    <t xml:space="preserve">956239546</t>
  </si>
  <si>
    <t xml:space="preserve">Wendy Xiomara Ramirez Rengifo</t>
  </si>
  <si>
    <t xml:space="preserve">Jonathan Justo Sipiran Vega</t>
  </si>
  <si>
    <t xml:space="preserve">Susana Gonzales Valdivia</t>
  </si>
  <si>
    <t xml:space="preserve">Mamani Lopez Jose Luis Jhonatan</t>
  </si>
  <si>
    <t xml:space="preserve">931985630</t>
  </si>
  <si>
    <t xml:space="preserve">Alesandra Patricia Tintaya Cabrera</t>
  </si>
  <si>
    <t xml:space="preserve">Rocio Milagros Gomez Torres</t>
  </si>
  <si>
    <t xml:space="preserve">Torres Alarcon  Marcos Orlando</t>
  </si>
  <si>
    <t xml:space="preserve">Marcos</t>
  </si>
  <si>
    <t xml:space="preserve">975760418</t>
  </si>
  <si>
    <t xml:space="preserve">Magali Macedo Sanchez</t>
  </si>
  <si>
    <t xml:space="preserve">Erika Janneth Temple Julca</t>
  </si>
  <si>
    <t xml:space="preserve">Alvaro Javier Jimenez Garcia</t>
  </si>
  <si>
    <t xml:space="preserve">Lopez Lopez Jessica Pilar</t>
  </si>
  <si>
    <t xml:space="preserve">951381389</t>
  </si>
  <si>
    <t xml:space="preserve">Sandra Rosa Lopez Choquehuanca</t>
  </si>
  <si>
    <t xml:space="preserve">Joelly Ruby Ramos Mamani</t>
  </si>
  <si>
    <t xml:space="preserve">Zenaida Mery Cayllahua Cast Cayllahua Castro</t>
  </si>
  <si>
    <t xml:space="preserve">Luz Bejar Maraza</t>
  </si>
  <si>
    <t xml:space="preserve">Epifanio Mallma Anaya</t>
  </si>
  <si>
    <t xml:space="preserve">Luz Katherine Tacca Cruz</t>
  </si>
  <si>
    <t xml:space="preserve">Leonor Fernanda Villanueva Huamanahui</t>
  </si>
  <si>
    <t xml:space="preserve">Yoel Ancles Mamani Mamani</t>
  </si>
  <si>
    <t xml:space="preserve">Lola Virginia Amao Contreras</t>
  </si>
  <si>
    <t xml:space="preserve">Velasquez Condori Rosmery Lisbeth</t>
  </si>
  <si>
    <t xml:space="preserve">962518376</t>
  </si>
  <si>
    <t xml:space="preserve">Jorgue Luis Mendez Estacion</t>
  </si>
  <si>
    <t xml:space="preserve">Nicanor Velasquez Ventura</t>
  </si>
  <si>
    <t xml:space="preserve">Chenguayen Rospigliosi Francisco Javier</t>
  </si>
  <si>
    <t xml:space="preserve">Francisco</t>
  </si>
  <si>
    <t xml:space="preserve">954713230</t>
  </si>
  <si>
    <t xml:space="preserve">Alicia Cristina Ortiz Villena</t>
  </si>
  <si>
    <t xml:space="preserve">Ruby Mercedes Rospigliosi De Chenguayen</t>
  </si>
  <si>
    <t xml:space="preserve">Rodriguez Arenas Herle Christiam</t>
  </si>
  <si>
    <t xml:space="preserve">Ramirez Hualpa Rosa Vaneza</t>
  </si>
  <si>
    <t xml:space="preserve">Rosa</t>
  </si>
  <si>
    <t xml:space="preserve">936411266</t>
  </si>
  <si>
    <t xml:space="preserve">Marina Anahua Atencio</t>
  </si>
  <si>
    <t xml:space="preserve">Dario Aguilar Vilca</t>
  </si>
  <si>
    <t xml:space="preserve">Oliver Adrian Ramirez Hualpa</t>
  </si>
  <si>
    <t xml:space="preserve">Juliana Cervantes Acho Cervantes Acho</t>
  </si>
  <si>
    <t xml:space="preserve">Juliana Giron Machado</t>
  </si>
  <si>
    <t xml:space="preserve">Claudia Ore</t>
  </si>
  <si>
    <t xml:space="preserve">Lourdes Milagros Limachi Incacutipa</t>
  </si>
  <si>
    <t xml:space="preserve">Rosmery Roque Perca</t>
  </si>
  <si>
    <t xml:space="preserve">Juan Limachi Incacutipa</t>
  </si>
  <si>
    <t xml:space="preserve">Didier Loza Apaza Loza Apaza</t>
  </si>
  <si>
    <t xml:space="preserve">Manrique Escobar Cesar Adino</t>
  </si>
  <si>
    <t xml:space="preserve">Cesar</t>
  </si>
  <si>
    <t xml:space="preserve">983154050</t>
  </si>
  <si>
    <t xml:space="preserve">Oscar Anibal Leiva Sulluchuco</t>
  </si>
  <si>
    <t xml:space="preserve">Rosa Bazan Flores</t>
  </si>
  <si>
    <t xml:space="preserve">Contreras Flores Veronica Regina</t>
  </si>
  <si>
    <t xml:space="preserve">Veronica</t>
  </si>
  <si>
    <t xml:space="preserve">934960620</t>
  </si>
  <si>
    <t xml:space="preserve">Edith Cacanahuaray Huanca</t>
  </si>
  <si>
    <t xml:space="preserve">Correa Olaya Eufemia Isabel</t>
  </si>
  <si>
    <t xml:space="preserve">Eufemia</t>
  </si>
  <si>
    <t xml:space="preserve">996592870</t>
  </si>
  <si>
    <t xml:space="preserve">Ivan Calderon Cortez</t>
  </si>
  <si>
    <t xml:space="preserve">Elena Agurto Crisanto</t>
  </si>
  <si>
    <t xml:space="preserve">Yessica Lisset Briceno Rengifo</t>
  </si>
  <si>
    <t xml:space="preserve">Mirian Elizabeth Munoz Quispe</t>
  </si>
  <si>
    <t xml:space="preserve">Denisse Anny Carhuamaca Leon</t>
  </si>
  <si>
    <t xml:space="preserve">Fernando Marco Albitres Abanto</t>
  </si>
  <si>
    <t xml:space="preserve">Otrera Cacnahuaray Geraldine Stephanie</t>
  </si>
  <si>
    <t xml:space="preserve">944521634</t>
  </si>
  <si>
    <t xml:space="preserve">Melanny Katiuska Trujillo Huallpatuero</t>
  </si>
  <si>
    <t xml:space="preserve">Danilo Pretel Ocampo</t>
  </si>
  <si>
    <t xml:space="preserve">Diana Corrales Holguin</t>
  </si>
  <si>
    <t xml:space="preserve">Pedro Noel Hermenegildo Cuya</t>
  </si>
  <si>
    <t xml:space="preserve">Irwin Bravo Oporto</t>
  </si>
  <si>
    <t xml:space="preserve">Addriel Reyes Chura</t>
  </si>
  <si>
    <t xml:space="preserve">Carlos Enrique Lora Bocanegra</t>
  </si>
  <si>
    <t xml:space="preserve">Castillo Gonzales Holly Stephany</t>
  </si>
  <si>
    <t xml:space="preserve">Holly</t>
  </si>
  <si>
    <t xml:space="preserve">957242936</t>
  </si>
  <si>
    <t xml:space="preserve">Eduarda Firata Lipa</t>
  </si>
  <si>
    <t xml:space="preserve">Urteaga Silva Otty Zuley</t>
  </si>
  <si>
    <t xml:space="preserve">Otty</t>
  </si>
  <si>
    <t xml:space="preserve">976232368</t>
  </si>
  <si>
    <t xml:space="preserve">Jerson Alberto Flores Flores</t>
  </si>
  <si>
    <t xml:space="preserve">Zulema Ana Maria Silva Lombardi</t>
  </si>
  <si>
    <t xml:space="preserve">Mirella Mariela Pena Cipriano</t>
  </si>
  <si>
    <t xml:space="preserve">Rodrigo Nelson Portal Silva</t>
  </si>
  <si>
    <t xml:space="preserve">Emilio Gustavo Montero Cluzel</t>
  </si>
  <si>
    <t xml:space="preserve">Calle Guizado Naysha Escarleth</t>
  </si>
  <si>
    <t xml:space="preserve">Naysha</t>
  </si>
  <si>
    <t xml:space="preserve">970786474</t>
  </si>
  <si>
    <t xml:space="preserve">Andrey Luis Huamani Sandoval</t>
  </si>
  <si>
    <t xml:space="preserve">Margiory Rocio Calle Guizado</t>
  </si>
  <si>
    <t xml:space="preserve">Ticona Choquena Delia</t>
  </si>
  <si>
    <t xml:space="preserve">Delia</t>
  </si>
  <si>
    <t xml:space="preserve">922489560</t>
  </si>
  <si>
    <t xml:space="preserve">Susana Ticona Choquena</t>
  </si>
  <si>
    <t xml:space="preserve">Altamirano Llantoy Lely Melusa</t>
  </si>
  <si>
    <t xml:space="preserve">Lely</t>
  </si>
  <si>
    <t xml:space="preserve">969721562</t>
  </si>
  <si>
    <t xml:space="preserve">Rayda Pedraza</t>
  </si>
  <si>
    <t xml:space="preserve">Jorge Melares Vasquez</t>
  </si>
  <si>
    <t xml:space="preserve">Arrieta Bermudo Ida</t>
  </si>
  <si>
    <t xml:space="preserve">Ida</t>
  </si>
  <si>
    <t xml:space="preserve">980726504</t>
  </si>
  <si>
    <t xml:space="preserve">Ruth Celina Ramirez Valdez</t>
  </si>
  <si>
    <t xml:space="preserve">Juan Carlos Ramos Layza</t>
  </si>
  <si>
    <t xml:space="preserve">Diana Arrieta Bermudo</t>
  </si>
  <si>
    <t xml:space="preserve">Villanueva Ramos  Sucethy Jhoselin</t>
  </si>
  <si>
    <t xml:space="preserve">Sucethy</t>
  </si>
  <si>
    <t xml:space="preserve">960492561</t>
  </si>
  <si>
    <t xml:space="preserve">Martin Villanueva Ramos</t>
  </si>
  <si>
    <t xml:space="preserve">Andrade Tang Anita Belen</t>
  </si>
  <si>
    <t xml:space="preserve">904085895</t>
  </si>
  <si>
    <t xml:space="preserve">Jimmy Alexander Bocanegra Calle</t>
  </si>
  <si>
    <t xml:space="preserve">Abelio Davalos Ortega</t>
  </si>
  <si>
    <t xml:space="preserve">Rita Juliana Davalos Vera</t>
  </si>
  <si>
    <t xml:space="preserve">Wladimith Romero Diego</t>
  </si>
  <si>
    <t xml:space="preserve">902771427</t>
  </si>
  <si>
    <t xml:space="preserve">Cecilia Anasabel Paredes Nakamura</t>
  </si>
  <si>
    <t xml:space="preserve">Anaya Pino Fortunato</t>
  </si>
  <si>
    <t xml:space="preserve">Fortunato</t>
  </si>
  <si>
    <t xml:space="preserve">51979566904</t>
  </si>
  <si>
    <t xml:space="preserve">Robert Richard Ramos Davila</t>
  </si>
  <si>
    <t xml:space="preserve">Chipana Llacchua Rosa</t>
  </si>
  <si>
    <t xml:space="preserve">952976897</t>
  </si>
  <si>
    <t xml:space="preserve">Magali Flores Castillo</t>
  </si>
  <si>
    <t xml:space="preserve">Tello Arenaza Leydi</t>
  </si>
  <si>
    <t xml:space="preserve">Leydi</t>
  </si>
  <si>
    <t xml:space="preserve">983007808</t>
  </si>
  <si>
    <t xml:space="preserve">Rogelia Arenaza Huamani</t>
  </si>
  <si>
    <t xml:space="preserve">Albornoz Leon Barmer Fernando</t>
  </si>
  <si>
    <t xml:space="preserve">Barmer</t>
  </si>
  <si>
    <t xml:space="preserve">993382330</t>
  </si>
  <si>
    <t xml:space="preserve">Daysi Flor Caceres Monzon</t>
  </si>
  <si>
    <t xml:space="preserve">Cuti Saico July</t>
  </si>
  <si>
    <t xml:space="preserve">July</t>
  </si>
  <si>
    <t xml:space="preserve">977792435</t>
  </si>
  <si>
    <t xml:space="preserve">Fredy Luis Gabriel Romero</t>
  </si>
  <si>
    <t xml:space="preserve">Nolasco Estela Oswaldo</t>
  </si>
  <si>
    <t xml:space="preserve">Oswaldo</t>
  </si>
  <si>
    <t xml:space="preserve">988395787</t>
  </si>
  <si>
    <t xml:space="preserve">Alejandro Martinez Zavala</t>
  </si>
  <si>
    <t xml:space="preserve">Parra Carhuaz Olga Herminia</t>
  </si>
  <si>
    <t xml:space="preserve">Olga</t>
  </si>
  <si>
    <t xml:space="preserve">966980142</t>
  </si>
  <si>
    <t xml:space="preserve">Rosa Maria Huamannahui Carhuas</t>
  </si>
  <si>
    <t xml:space="preserve">Camila Mia Gutierrez Huamannahui</t>
  </si>
  <si>
    <t xml:space="preserve">Morales Ibaceta Doris Ines</t>
  </si>
  <si>
    <t xml:space="preserve">921911372</t>
  </si>
  <si>
    <t xml:space="preserve">Lizeth Nathaly Mamani Yapuchura</t>
  </si>
  <si>
    <t xml:space="preserve">Sherilyn Albornoz Ticona</t>
  </si>
  <si>
    <t xml:space="preserve">Quispe Mendoza  Melisa Shirley</t>
  </si>
  <si>
    <t xml:space="preserve">Melisa</t>
  </si>
  <si>
    <t xml:space="preserve">961076533</t>
  </si>
  <si>
    <t xml:space="preserve">John Henry Carbajal Valdivia</t>
  </si>
  <si>
    <t xml:space="preserve">Myrko Adrian Quispe Quispe</t>
  </si>
  <si>
    <t xml:space="preserve">Enrique Antonio Quispe Galvez</t>
  </si>
  <si>
    <t xml:space="preserve">López Melo Fernando Juan</t>
  </si>
  <si>
    <t xml:space="preserve">978581515</t>
  </si>
  <si>
    <t xml:space="preserve">Jhonny Lopez Melo</t>
  </si>
  <si>
    <t xml:space="preserve">Olger Jesus Lopez Choquehuanca</t>
  </si>
  <si>
    <t xml:space="preserve">Silvia Betty Cirilo Valverde</t>
  </si>
  <si>
    <t xml:space="preserve">Edwin Ronald Balcazer Pineda</t>
  </si>
  <si>
    <t xml:space="preserve">Marcela Rosa Lopez Melo</t>
  </si>
  <si>
    <t xml:space="preserve">Lopez Zapana Betzabe</t>
  </si>
  <si>
    <t xml:space="preserve">Betzabe</t>
  </si>
  <si>
    <t xml:space="preserve">999486012</t>
  </si>
  <si>
    <t xml:space="preserve">Betzabe Cansaya Inofuente</t>
  </si>
  <si>
    <t xml:space="preserve">Jara Chavarria Lizbeth Gerladine</t>
  </si>
  <si>
    <t xml:space="preserve">Lizbeth</t>
  </si>
  <si>
    <t xml:space="preserve">961862867</t>
  </si>
  <si>
    <t xml:space="preserve">Erick Alexander Alvarez Chavarria</t>
  </si>
  <si>
    <t xml:space="preserve">Ramos Ramos Ana Gabriela</t>
  </si>
  <si>
    <t xml:space="preserve">912143427</t>
  </si>
  <si>
    <t xml:space="preserve">Anselma Ramos Ramos</t>
  </si>
  <si>
    <t xml:space="preserve">Ramos Ramos Wilfredo Jaime</t>
  </si>
  <si>
    <t xml:space="preserve">Wilfredo</t>
  </si>
  <si>
    <t xml:space="preserve">969147986</t>
  </si>
  <si>
    <t xml:space="preserve">Mariano Lopez Ramos</t>
  </si>
  <si>
    <t xml:space="preserve">Christian Jhonatan Ramos Ramos</t>
  </si>
  <si>
    <t xml:space="preserve">Jefers Sebastian Salamanca Ramos</t>
  </si>
  <si>
    <t xml:space="preserve">Elisban Alex Salamanca Ramos</t>
  </si>
  <si>
    <t xml:space="preserve">Jaffed Sahid Ignacio Anaya</t>
  </si>
  <si>
    <t xml:space="preserve">Ignacio</t>
  </si>
  <si>
    <t xml:space="preserve">0934263464</t>
  </si>
  <si>
    <t xml:space="preserve">Cesar Neil Ahumada Garcia</t>
  </si>
  <si>
    <t xml:space="preserve">Hilda Irene Rinza Huaman</t>
  </si>
  <si>
    <t xml:space="preserve">Magaly Vilcabana Sanchez</t>
  </si>
  <si>
    <t xml:space="preserve">Medaly Vilcabana Sanchez</t>
  </si>
  <si>
    <t xml:space="preserve">Ramirez Boulangger Francia Katherine</t>
  </si>
  <si>
    <t xml:space="preserve">Francia</t>
  </si>
  <si>
    <t xml:space="preserve">972625963</t>
  </si>
  <si>
    <t xml:space="preserve">Carlos Alexander Arias Cortez</t>
  </si>
  <si>
    <t xml:space="preserve">Hernandez Mendoza Luis Alberto</t>
  </si>
  <si>
    <t xml:space="preserve">Luis</t>
  </si>
  <si>
    <t xml:space="preserve">956268830</t>
  </si>
  <si>
    <t xml:space="preserve">Angelica Flores Mejía</t>
  </si>
  <si>
    <t xml:space="preserve">María Doralisa Herrera Zurita</t>
  </si>
  <si>
    <t xml:space="preserve">Alilia Madeline Castillo Prada</t>
  </si>
  <si>
    <t xml:space="preserve">Tula Consuelo Mendoza Fernandez</t>
  </si>
  <si>
    <t xml:space="preserve">Marko Antonio Lengua Fernandez</t>
  </si>
  <si>
    <t xml:space="preserve">Yackeline Mendoza Aker</t>
  </si>
  <si>
    <t xml:space="preserve">Tang Almeida Ana Esther</t>
  </si>
  <si>
    <t xml:space="preserve">956509442</t>
  </si>
  <si>
    <t xml:space="preserve">Doris Gaby Araujo Contreras</t>
  </si>
  <si>
    <t xml:space="preserve">Gabriela Estefania Ramos Araujo</t>
  </si>
  <si>
    <t xml:space="preserve">Lorena Jackeline Calderon Salazar</t>
  </si>
  <si>
    <t xml:space="preserve">Huamani Palomino Ronald Nibardo</t>
  </si>
  <si>
    <t xml:space="preserve">988717110</t>
  </si>
  <si>
    <t xml:space="preserve">Joel David Janampa Palomino</t>
  </si>
  <si>
    <t xml:space="preserve">Huaman Rios Francisco Manuel</t>
  </si>
  <si>
    <t xml:space="preserve">988595686</t>
  </si>
  <si>
    <t xml:space="preserve">Thais Astoquilca Navarro</t>
  </si>
  <si>
    <t xml:space="preserve">Cardenas Lopez Gina</t>
  </si>
  <si>
    <t xml:space="preserve">Gina</t>
  </si>
  <si>
    <t xml:space="preserve">999699649</t>
  </si>
  <si>
    <t xml:space="preserve">Sandra Mercy Lopez Reategui</t>
  </si>
  <si>
    <t xml:space="preserve">Gino Cardenas Pezo</t>
  </si>
  <si>
    <t xml:space="preserve">Cruzado Mamani Marina Patricia</t>
  </si>
  <si>
    <t xml:space="preserve">Marina</t>
  </si>
  <si>
    <t xml:space="preserve">987724882</t>
  </si>
  <si>
    <t xml:space="preserve">Silvia Adela Sanchez Cama</t>
  </si>
  <si>
    <t xml:space="preserve">Milagros Sulca Nieto</t>
  </si>
  <si>
    <t xml:space="preserve">Cárdenas Terreros Ana Carina</t>
  </si>
  <si>
    <t xml:space="preserve">996468297</t>
  </si>
  <si>
    <t xml:space="preserve">Lourdes Barral</t>
  </si>
  <si>
    <t xml:space="preserve">Socorro Del Pilar Terreros Aliaga</t>
  </si>
  <si>
    <t xml:space="preserve">Zoila Sofia Chavez Terreros</t>
  </si>
  <si>
    <t xml:space="preserve">Victor Abel Orellana Camargo</t>
  </si>
  <si>
    <t xml:space="preserve">Fiorela Cristina Tolentino Terreros</t>
  </si>
  <si>
    <t xml:space="preserve">Surco Corimaya Aaron Miguel</t>
  </si>
  <si>
    <t xml:space="preserve">980475034</t>
  </si>
  <si>
    <t xml:space="preserve">Aaron Edwin Valdivia Salas</t>
  </si>
  <si>
    <t xml:space="preserve">Huamani Palomino Elizabeth</t>
  </si>
  <si>
    <t xml:space="preserve">947676664</t>
  </si>
  <si>
    <t xml:space="preserve">Raquel Fiorela Misial Chanta</t>
  </si>
  <si>
    <t xml:space="preserve">Genaro Huamani Janampa</t>
  </si>
  <si>
    <t xml:space="preserve">Rocio Janeth Panez Julcarima</t>
  </si>
  <si>
    <t xml:space="preserve">Judy Betsy Paipay Velazco</t>
  </si>
  <si>
    <t xml:space="preserve">Mario Palomino Mascco</t>
  </si>
  <si>
    <t xml:space="preserve">Flores Tipismana Yenny Paola</t>
  </si>
  <si>
    <t xml:space="preserve">Yenny</t>
  </si>
  <si>
    <t xml:space="preserve">963421178</t>
  </si>
  <si>
    <t xml:space="preserve">Melanie Rosa Huaman Villena</t>
  </si>
  <si>
    <t xml:space="preserve">Abel Jesus Ramos Rios</t>
  </si>
  <si>
    <t xml:space="preserve">Omar Junior Gutierrez Mamani</t>
  </si>
  <si>
    <t xml:space="preserve">Jimmy Alberto Poicon Montalvan</t>
  </si>
  <si>
    <t xml:space="preserve">Elena Julissa Tipismana Huaman</t>
  </si>
  <si>
    <t xml:space="preserve">Maria Rosa Flores Rodriguez</t>
  </si>
  <si>
    <t xml:space="preserve">Enriquez Chagayan Isabel</t>
  </si>
  <si>
    <t xml:space="preserve">Isabel</t>
  </si>
  <si>
    <t xml:space="preserve">999187543</t>
  </si>
  <si>
    <t xml:space="preserve">Elizabeth Giovana Avila Bueno</t>
  </si>
  <si>
    <t xml:space="preserve">Galarza Rivas Lucy Edith</t>
  </si>
  <si>
    <t xml:space="preserve">Lucy</t>
  </si>
  <si>
    <t xml:space="preserve">982568097</t>
  </si>
  <si>
    <t xml:space="preserve">Carlos Diego Chinchay Castillo</t>
  </si>
  <si>
    <t xml:space="preserve">Rios Llica  Rosario Valeska</t>
  </si>
  <si>
    <t xml:space="preserve">Rosario</t>
  </si>
  <si>
    <t xml:space="preserve">924489633</t>
  </si>
  <si>
    <t xml:space="preserve">Carlos Enrique Rios Montero</t>
  </si>
  <si>
    <t xml:space="preserve">Giraldo Eljarrate Alan Yurak</t>
  </si>
  <si>
    <t xml:space="preserve">Alan</t>
  </si>
  <si>
    <t xml:space="preserve">51959887278</t>
  </si>
  <si>
    <t xml:space="preserve">Juanita Vivar Varas</t>
  </si>
  <si>
    <t xml:space="preserve">Graciela Valeria Olivares Velazco</t>
  </si>
  <si>
    <t xml:space="preserve">Rodriguez Torres Dalin Jeyson</t>
  </si>
  <si>
    <t xml:space="preserve">Dalin</t>
  </si>
  <si>
    <t xml:space="preserve">940272693</t>
  </si>
  <si>
    <t xml:space="preserve">Rousmery Isseline Rodriguez Bruno</t>
  </si>
  <si>
    <t xml:space="preserve">Omar Anthony Vivanco Salvatierra</t>
  </si>
  <si>
    <t xml:space="preserve">Paico Ancajima Jose Nilton</t>
  </si>
  <si>
    <t xml:space="preserve">990002334</t>
  </si>
  <si>
    <t xml:space="preserve">Doris Simon</t>
  </si>
  <si>
    <t xml:space="preserve">Villarreal Marco</t>
  </si>
  <si>
    <t xml:space="preserve">Marco</t>
  </si>
  <si>
    <t xml:space="preserve">51962511575</t>
  </si>
  <si>
    <t xml:space="preserve">Kevin Alexis Espinoza Calderon</t>
  </si>
  <si>
    <t xml:space="preserve">Eugenio Barahona Campos</t>
  </si>
  <si>
    <t xml:space="preserve">Manuel  Benigno Martin García</t>
  </si>
  <si>
    <t xml:space="preserve">Violeta Calle Valdiviezo</t>
  </si>
  <si>
    <t xml:space="preserve">Jaime Fabrizzio Guillen Rosas</t>
  </si>
  <si>
    <t xml:space="preserve">Jose Antonio Machacca Burgos</t>
  </si>
  <si>
    <t xml:space="preserve">Ponce Espinoza Jhen Jezmin</t>
  </si>
  <si>
    <t xml:space="preserve">Jhen</t>
  </si>
  <si>
    <t xml:space="preserve">970373769</t>
  </si>
  <si>
    <t xml:space="preserve">Frank Reyder Licla Espinoza</t>
  </si>
  <si>
    <t xml:space="preserve">Pavel Favio Rivera Pumaylle</t>
  </si>
  <si>
    <t xml:space="preserve">Rodriguez La Riva David Jesus</t>
  </si>
  <si>
    <t xml:space="preserve">Riva</t>
  </si>
  <si>
    <t xml:space="preserve">927788191</t>
  </si>
  <si>
    <t xml:space="preserve">Suled Adriana Rodriguez</t>
  </si>
  <si>
    <t xml:space="preserve">Rivera Toyama Manuel Yakima</t>
  </si>
  <si>
    <t xml:space="preserve">Manuel</t>
  </si>
  <si>
    <t xml:space="preserve">996612880</t>
  </si>
  <si>
    <t xml:space="preserve">Verónica Cecilia Silva Sotelo</t>
  </si>
  <si>
    <t xml:space="preserve">Oscar Vidal Laimito Simich</t>
  </si>
  <si>
    <t xml:space="preserve">Exalta Berrios Obregon</t>
  </si>
  <si>
    <t xml:space="preserve">Pedro Eder Espinoza Alva</t>
  </si>
  <si>
    <t xml:space="preserve">📨 CAMPAÑA REZAGADOS C1 E27  |  Comunicaciones Crear Poder Sin Límites Perú  |  1-3 mayo 2026</t>
  </si>
  <si>
    <t xml:space="preserve">N°</t>
  </si>
  <si>
    <t xml:space="preserve">NOMBRE IMO</t>
  </si>
  <si>
    <t xml:space="preserve">EQUIPO IMO</t>
  </si>
  <si>
    <t xml:space="preserve">TEL. IMO</t>
  </si>
  <si>
    <t xml:space="preserve">PX TOTAL</t>
  </si>
  <si>
    <t xml:space="preserve">CONFIRMADOS</t>
  </si>
  <si>
    <t xml:space="preserve">MENSAJE WA</t>
  </si>
  <si>
    <t xml:space="preserve">RESUMEN CAMPAÑA C1 E27  |  Se actualiza automáticamente desde DATA</t>
  </si>
  <si>
    <t xml:space="preserve">IMOs</t>
  </si>
  <si>
    <t xml:space="preserve">EN PROCESO</t>
  </si>
  <si>
    <t xml:space="preserve">PENDIENTES</t>
  </si>
  <si>
    <t xml:space="preserve">% AVANCE</t>
  </si>
  <si>
    <t xml:space="preserve">TOTAL</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</si>
</sst>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b val="true"/>
      <sz val="9"/>
      <name val="Arial"/>
      <family val="0"/>
      <charset val="1"/>
    </font>
    <font>
      <sz val="9"/>
      <name val="Arial"/>
      <family val="0"/>
      <charset val="1"/>
    </font>
    <font>
      <b val="true"/>
      <sz val="8"/>
      <name val="Arial"/>
      <family val="0"/>
      <charset val="1"/>
    </font>
    <font>
      <b val="true"/>
      <sz val="12"/>
      <color rgb="FFFFFFFF"/>
      <name val="Arial"/>
      <family val="0"/>
      <charset val="1"/>
    </font>
    <font>
      <sz val="9"/>
      <color rgb="FF404040"/>
      <name val="Arial"/>
      <family val="0"/>
      <charset val="1"/>
    </font>
    <font>
      <sz val="8"/>
      <name val="Arial"/>
      <family val="0"/>
      <charset val="1"/>
    </font>
    <font>
      <b val="true"/>
      <sz val="10"/>
      <name val="Arial"/>
      <family val="0"/>
      <charset val="1"/>
    </font>
  </fonts>
  <fills count="12">
    <fill>
      <patternFill patternType="none"/>
    </fill>
    <fill>
      <patternFill patternType="gray125"/>
    </fill>
    <fill>
      <patternFill patternType="solid">
        <fgColor rgb="FF1F4E79"/>
        <bgColor rgb="FF003366"/>
      </patternFill>
    </fill>
    <fill>
      <patternFill patternType="solid">
        <fgColor rgb="FFEBF5FB"/>
        <bgColor rgb="FFE8F5E9"/>
      </patternFill>
    </fill>
    <fill>
      <patternFill patternType="solid">
        <fgColor rgb="FFFFD966"/>
        <bgColor rgb="FFFFCC00"/>
      </patternFill>
    </fill>
    <fill>
      <patternFill patternType="solid">
        <fgColor rgb="FFFFFFFF"/>
        <bgColor rgb="FFFAFFFE"/>
      </patternFill>
    </fill>
    <fill>
      <patternFill patternType="solid">
        <fgColor rgb="FF2E75B6"/>
        <bgColor rgb="FF0066CC"/>
      </patternFill>
    </fill>
    <fill>
      <patternFill patternType="solid">
        <fgColor rgb="FFD9E1F2"/>
        <bgColor rgb="FFD6E4F0"/>
      </patternFill>
    </fill>
    <fill>
      <patternFill patternType="solid">
        <fgColor rgb="FFFAFFFE"/>
        <bgColor rgb="FFFFFFFF"/>
      </patternFill>
    </fill>
    <fill>
      <patternFill patternType="solid">
        <fgColor rgb="FFE8F5E9"/>
        <bgColor rgb="FFEBF5FB"/>
      </patternFill>
    </fill>
    <fill>
      <patternFill patternType="solid">
        <fgColor rgb="FFFFF3CD"/>
        <bgColor rgb="FFE8F5E9"/>
      </patternFill>
    </fill>
    <fill>
      <patternFill patternType="solid">
        <fgColor rgb="FFD6E4F0"/>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6" fillId="5" borderId="1" xfId="0" applyFont="true" applyBorder="true" applyAlignment="true" applyProtection="false">
      <alignment horizontal="left" vertical="top" textRotation="0" wrapText="false" indent="0" shrinkToFit="false"/>
      <protection locked="true" hidden="false"/>
    </xf>
    <xf numFmtId="164" fontId="8" fillId="6" borderId="0"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5" fontId="6" fillId="5"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5" fontId="6"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5" fontId="6" fillId="9" borderId="1" xfId="0" applyFont="true" applyBorder="true" applyAlignment="true" applyProtection="false">
      <alignment horizontal="center" vertical="bottom" textRotation="0" wrapText="false" indent="0" shrinkToFit="false"/>
      <protection locked="true" hidden="false"/>
    </xf>
    <xf numFmtId="165" fontId="6" fillId="10"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4" fontId="11" fillId="11" borderId="1" xfId="0" applyFont="true" applyBorder="true" applyAlignment="true" applyProtection="false">
      <alignment horizontal="center" vertical="bottom" textRotation="0" wrapText="false" indent="0" shrinkToFit="false"/>
      <protection locked="true" hidden="false"/>
    </xf>
    <xf numFmtId="166" fontId="11" fillId="11"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D"/>
      <rgbColor rgb="FFE8F5E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BF5FB"/>
      <rgbColor rgb="FFD6E4F0"/>
      <rgbColor rgb="FFFAFFFE"/>
      <rgbColor rgb="FF99CCFF"/>
      <rgbColor rgb="FFFF99CC"/>
      <rgbColor rgb="FFCC99FF"/>
      <rgbColor rgb="FFFFD96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2"/>
    <col collapsed="false" customWidth="true" hidden="false" outlineLevel="0" max="4" min="4" style="1" width="14"/>
    <col collapsed="false" customWidth="true" hidden="false" outlineLevel="0" max="5" min="5" style="1" width="30"/>
    <col collapsed="false" customWidth="true" hidden="false" outlineLevel="0" max="6" min="6" style="1" width="12"/>
    <col collapsed="false" customWidth="true" hidden="false" outlineLevel="0" max="7" min="7" style="1" width="16"/>
    <col collapsed="false" customWidth="true" hidden="false" outlineLevel="0" max="8" min="8" style="1" width="12"/>
    <col collapsed="false" customWidth="true" hidden="false" outlineLevel="0" max="9" min="9" style="1" width="32"/>
  </cols>
  <sheetData>
    <row r="1" customFormat="false" ht="21.75" hidden="false" customHeight="true" outlineLevel="0" collapsed="false">
      <c r="A1" s="2" t="s">
        <v>0</v>
      </c>
      <c r="B1" s="2" t="s">
        <v>1</v>
      </c>
      <c r="C1" s="2" t="s">
        <v>2</v>
      </c>
      <c r="D1" s="2" t="s">
        <v>3</v>
      </c>
      <c r="E1" s="2" t="s">
        <v>4</v>
      </c>
      <c r="F1" s="2" t="s">
        <v>5</v>
      </c>
      <c r="G1" s="2" t="s">
        <v>6</v>
      </c>
      <c r="H1" s="2" t="s">
        <v>7</v>
      </c>
      <c r="I1" s="2" t="s">
        <v>8</v>
      </c>
    </row>
    <row r="2" customFormat="false" ht="12.75" hidden="false" customHeight="true" outlineLevel="0" collapsed="false">
      <c r="A2" s="3" t="s">
        <v>9</v>
      </c>
      <c r="B2" s="4" t="s">
        <v>10</v>
      </c>
      <c r="C2" s="4" t="s">
        <v>11</v>
      </c>
      <c r="D2" s="4" t="s">
        <v>12</v>
      </c>
      <c r="E2" s="4" t="s">
        <v>13</v>
      </c>
      <c r="F2" s="4" t="s">
        <v>14</v>
      </c>
      <c r="G2" s="5" t="s">
        <v>15</v>
      </c>
      <c r="H2" s="4"/>
      <c r="I2" s="4"/>
    </row>
    <row r="3" customFormat="false" ht="12.75" hidden="false" customHeight="true" outlineLevel="0" collapsed="false">
      <c r="A3" s="6" t="s">
        <v>16</v>
      </c>
      <c r="B3" s="7" t="s">
        <v>17</v>
      </c>
      <c r="C3" s="7" t="s">
        <v>18</v>
      </c>
      <c r="D3" s="7" t="s">
        <v>19</v>
      </c>
      <c r="E3" s="7" t="s">
        <v>20</v>
      </c>
      <c r="F3" s="7" t="s">
        <v>21</v>
      </c>
      <c r="G3" s="5" t="s">
        <v>15</v>
      </c>
      <c r="H3" s="7"/>
      <c r="I3" s="7"/>
    </row>
    <row r="4" customFormat="false" ht="12.75" hidden="false" customHeight="true" outlineLevel="0" collapsed="false">
      <c r="A4" s="3" t="s">
        <v>22</v>
      </c>
      <c r="B4" s="4" t="s">
        <v>23</v>
      </c>
      <c r="C4" s="4" t="s">
        <v>24</v>
      </c>
      <c r="D4" s="4" t="s">
        <v>25</v>
      </c>
      <c r="E4" s="4" t="s">
        <v>26</v>
      </c>
      <c r="F4" s="4" t="s">
        <v>27</v>
      </c>
      <c r="G4" s="5" t="s">
        <v>15</v>
      </c>
      <c r="H4" s="4"/>
      <c r="I4" s="4"/>
    </row>
    <row r="5" customFormat="false" ht="12.75" hidden="false" customHeight="true" outlineLevel="0" collapsed="false">
      <c r="A5" s="6" t="s">
        <v>28</v>
      </c>
      <c r="B5" s="7" t="s">
        <v>29</v>
      </c>
      <c r="C5" s="7" t="s">
        <v>30</v>
      </c>
      <c r="D5" s="7" t="s">
        <v>31</v>
      </c>
      <c r="E5" s="7" t="s">
        <v>32</v>
      </c>
      <c r="F5" s="7" t="s">
        <v>27</v>
      </c>
      <c r="G5" s="5" t="s">
        <v>15</v>
      </c>
      <c r="H5" s="7"/>
      <c r="I5" s="7"/>
    </row>
    <row r="6" customFormat="false" ht="12.75" hidden="false" customHeight="true" outlineLevel="0" collapsed="false">
      <c r="A6" s="3" t="s">
        <v>33</v>
      </c>
      <c r="B6" s="4" t="s">
        <v>34</v>
      </c>
      <c r="C6" s="4" t="s">
        <v>30</v>
      </c>
      <c r="D6" s="4" t="s">
        <v>35</v>
      </c>
      <c r="E6" s="4" t="s">
        <v>36</v>
      </c>
      <c r="F6" s="4" t="s">
        <v>37</v>
      </c>
      <c r="G6" s="5" t="s">
        <v>15</v>
      </c>
      <c r="H6" s="4"/>
      <c r="I6" s="4"/>
    </row>
    <row r="7" customFormat="false" ht="12.75" hidden="false" customHeight="true" outlineLevel="0" collapsed="false">
      <c r="A7" s="6" t="s">
        <v>38</v>
      </c>
      <c r="B7" s="7" t="s">
        <v>39</v>
      </c>
      <c r="C7" s="7" t="s">
        <v>40</v>
      </c>
      <c r="D7" s="7" t="s">
        <v>41</v>
      </c>
      <c r="E7" s="7" t="s">
        <v>42</v>
      </c>
      <c r="F7" s="7" t="s">
        <v>43</v>
      </c>
      <c r="G7" s="5" t="s">
        <v>15</v>
      </c>
      <c r="H7" s="7"/>
      <c r="I7" s="7"/>
    </row>
    <row r="8" customFormat="false" ht="12.75" hidden="false" customHeight="true" outlineLevel="0" collapsed="false">
      <c r="A8" s="3" t="s">
        <v>38</v>
      </c>
      <c r="B8" s="4" t="s">
        <v>39</v>
      </c>
      <c r="C8" s="4" t="s">
        <v>40</v>
      </c>
      <c r="D8" s="4" t="s">
        <v>41</v>
      </c>
      <c r="E8" s="4" t="s">
        <v>44</v>
      </c>
      <c r="F8" s="4" t="s">
        <v>43</v>
      </c>
      <c r="G8" s="5" t="s">
        <v>15</v>
      </c>
      <c r="H8" s="4"/>
      <c r="I8" s="4"/>
    </row>
    <row r="9" customFormat="false" ht="12.75" hidden="false" customHeight="true" outlineLevel="0" collapsed="false">
      <c r="A9" s="6" t="s">
        <v>45</v>
      </c>
      <c r="B9" s="7" t="s">
        <v>46</v>
      </c>
      <c r="C9" s="7" t="s">
        <v>40</v>
      </c>
      <c r="D9" s="7" t="s">
        <v>47</v>
      </c>
      <c r="E9" s="7" t="s">
        <v>48</v>
      </c>
      <c r="F9" s="7" t="s">
        <v>43</v>
      </c>
      <c r="G9" s="5" t="s">
        <v>15</v>
      </c>
      <c r="H9" s="7"/>
      <c r="I9" s="7"/>
    </row>
    <row r="10" customFormat="false" ht="12.75" hidden="false" customHeight="true" outlineLevel="0" collapsed="false">
      <c r="A10" s="3" t="s">
        <v>45</v>
      </c>
      <c r="B10" s="4" t="s">
        <v>46</v>
      </c>
      <c r="C10" s="4" t="s">
        <v>40</v>
      </c>
      <c r="D10" s="4" t="s">
        <v>47</v>
      </c>
      <c r="E10" s="4" t="s">
        <v>49</v>
      </c>
      <c r="F10" s="4" t="s">
        <v>37</v>
      </c>
      <c r="G10" s="5" t="s">
        <v>15</v>
      </c>
      <c r="H10" s="4"/>
      <c r="I10" s="4"/>
    </row>
    <row r="11" customFormat="false" ht="12.75" hidden="false" customHeight="true" outlineLevel="0" collapsed="false">
      <c r="A11" s="6" t="s">
        <v>50</v>
      </c>
      <c r="B11" s="7" t="s">
        <v>51</v>
      </c>
      <c r="C11" s="7" t="s">
        <v>40</v>
      </c>
      <c r="D11" s="7" t="s">
        <v>52</v>
      </c>
      <c r="E11" s="7" t="s">
        <v>53</v>
      </c>
      <c r="F11" s="7" t="s">
        <v>43</v>
      </c>
      <c r="G11" s="5" t="s">
        <v>15</v>
      </c>
      <c r="H11" s="7"/>
      <c r="I11" s="7"/>
    </row>
    <row r="12" customFormat="false" ht="12.75" hidden="false" customHeight="true" outlineLevel="0" collapsed="false">
      <c r="A12" s="3" t="s">
        <v>54</v>
      </c>
      <c r="B12" s="4" t="s">
        <v>55</v>
      </c>
      <c r="C12" s="4" t="s">
        <v>40</v>
      </c>
      <c r="D12" s="4" t="s">
        <v>56</v>
      </c>
      <c r="E12" s="4" t="s">
        <v>57</v>
      </c>
      <c r="F12" s="4" t="s">
        <v>43</v>
      </c>
      <c r="G12" s="5" t="s">
        <v>15</v>
      </c>
      <c r="H12" s="4"/>
      <c r="I12" s="4"/>
    </row>
    <row r="13" customFormat="false" ht="12.75" hidden="false" customHeight="true" outlineLevel="0" collapsed="false">
      <c r="A13" s="6" t="s">
        <v>58</v>
      </c>
      <c r="B13" s="7" t="s">
        <v>59</v>
      </c>
      <c r="C13" s="7" t="s">
        <v>40</v>
      </c>
      <c r="D13" s="7" t="s">
        <v>60</v>
      </c>
      <c r="E13" s="7" t="s">
        <v>61</v>
      </c>
      <c r="F13" s="7" t="s">
        <v>43</v>
      </c>
      <c r="G13" s="5" t="s">
        <v>15</v>
      </c>
      <c r="H13" s="7"/>
      <c r="I13" s="7"/>
    </row>
    <row r="14" customFormat="false" ht="12.75" hidden="false" customHeight="true" outlineLevel="0" collapsed="false">
      <c r="A14" s="3" t="s">
        <v>58</v>
      </c>
      <c r="B14" s="4" t="s">
        <v>59</v>
      </c>
      <c r="C14" s="4" t="s">
        <v>40</v>
      </c>
      <c r="D14" s="4" t="s">
        <v>60</v>
      </c>
      <c r="E14" s="4" t="s">
        <v>62</v>
      </c>
      <c r="F14" s="4" t="s">
        <v>43</v>
      </c>
      <c r="G14" s="5" t="s">
        <v>15</v>
      </c>
      <c r="H14" s="4"/>
      <c r="I14" s="4"/>
    </row>
    <row r="15" customFormat="false" ht="12.75" hidden="false" customHeight="true" outlineLevel="0" collapsed="false">
      <c r="A15" s="6" t="s">
        <v>58</v>
      </c>
      <c r="B15" s="7" t="s">
        <v>59</v>
      </c>
      <c r="C15" s="7" t="s">
        <v>40</v>
      </c>
      <c r="D15" s="7" t="s">
        <v>60</v>
      </c>
      <c r="E15" s="7" t="s">
        <v>63</v>
      </c>
      <c r="F15" s="7" t="s">
        <v>43</v>
      </c>
      <c r="G15" s="5" t="s">
        <v>15</v>
      </c>
      <c r="H15" s="7"/>
      <c r="I15" s="7"/>
    </row>
    <row r="16" customFormat="false" ht="12.75" hidden="false" customHeight="true" outlineLevel="0" collapsed="false">
      <c r="A16" s="3" t="s">
        <v>64</v>
      </c>
      <c r="B16" s="4" t="s">
        <v>65</v>
      </c>
      <c r="C16" s="4" t="s">
        <v>40</v>
      </c>
      <c r="D16" s="4" t="s">
        <v>66</v>
      </c>
      <c r="E16" s="4" t="s">
        <v>67</v>
      </c>
      <c r="F16" s="4" t="s">
        <v>43</v>
      </c>
      <c r="G16" s="5" t="s">
        <v>15</v>
      </c>
      <c r="H16" s="4"/>
      <c r="I16" s="4"/>
    </row>
    <row r="17" customFormat="false" ht="12.75" hidden="false" customHeight="true" outlineLevel="0" collapsed="false">
      <c r="A17" s="6" t="s">
        <v>68</v>
      </c>
      <c r="B17" s="7" t="s">
        <v>69</v>
      </c>
      <c r="C17" s="7" t="s">
        <v>40</v>
      </c>
      <c r="D17" s="7" t="s">
        <v>70</v>
      </c>
      <c r="E17" s="7" t="s">
        <v>71</v>
      </c>
      <c r="F17" s="7" t="s">
        <v>43</v>
      </c>
      <c r="G17" s="5" t="s">
        <v>15</v>
      </c>
      <c r="H17" s="7"/>
      <c r="I17" s="7"/>
    </row>
    <row r="18" customFormat="false" ht="12.75" hidden="false" customHeight="true" outlineLevel="0" collapsed="false">
      <c r="A18" s="3" t="s">
        <v>72</v>
      </c>
      <c r="B18" s="4" t="s">
        <v>73</v>
      </c>
      <c r="C18" s="4" t="s">
        <v>40</v>
      </c>
      <c r="D18" s="4" t="s">
        <v>74</v>
      </c>
      <c r="E18" s="4" t="s">
        <v>75</v>
      </c>
      <c r="F18" s="4" t="s">
        <v>43</v>
      </c>
      <c r="G18" s="5" t="s">
        <v>15</v>
      </c>
      <c r="H18" s="4"/>
      <c r="I18" s="4"/>
    </row>
    <row r="19" customFormat="false" ht="12.75" hidden="false" customHeight="true" outlineLevel="0" collapsed="false">
      <c r="A19" s="6" t="s">
        <v>76</v>
      </c>
      <c r="B19" s="7" t="s">
        <v>77</v>
      </c>
      <c r="C19" s="7" t="s">
        <v>40</v>
      </c>
      <c r="D19" s="7" t="s">
        <v>78</v>
      </c>
      <c r="E19" s="7" t="s">
        <v>79</v>
      </c>
      <c r="F19" s="7" t="s">
        <v>43</v>
      </c>
      <c r="G19" s="5" t="s">
        <v>15</v>
      </c>
      <c r="H19" s="7"/>
      <c r="I19" s="7"/>
    </row>
    <row r="20" customFormat="false" ht="12.75" hidden="false" customHeight="true" outlineLevel="0" collapsed="false">
      <c r="A20" s="3" t="s">
        <v>80</v>
      </c>
      <c r="B20" s="4" t="s">
        <v>81</v>
      </c>
      <c r="C20" s="4" t="s">
        <v>40</v>
      </c>
      <c r="D20" s="4" t="s">
        <v>82</v>
      </c>
      <c r="E20" s="4" t="s">
        <v>83</v>
      </c>
      <c r="F20" s="4" t="s">
        <v>43</v>
      </c>
      <c r="G20" s="5" t="s">
        <v>15</v>
      </c>
      <c r="H20" s="4"/>
      <c r="I20" s="4"/>
    </row>
    <row r="21" customFormat="false" ht="12.75" hidden="false" customHeight="true" outlineLevel="0" collapsed="false">
      <c r="A21" s="6" t="s">
        <v>84</v>
      </c>
      <c r="B21" s="7" t="s">
        <v>85</v>
      </c>
      <c r="C21" s="7" t="s">
        <v>40</v>
      </c>
      <c r="D21" s="7" t="s">
        <v>86</v>
      </c>
      <c r="E21" s="7" t="s">
        <v>87</v>
      </c>
      <c r="F21" s="7" t="s">
        <v>43</v>
      </c>
      <c r="G21" s="5" t="s">
        <v>15</v>
      </c>
      <c r="H21" s="7"/>
      <c r="I21" s="7"/>
    </row>
    <row r="22" customFormat="false" ht="12.75" hidden="false" customHeight="true" outlineLevel="0" collapsed="false">
      <c r="A22" s="3" t="s">
        <v>84</v>
      </c>
      <c r="B22" s="4" t="s">
        <v>85</v>
      </c>
      <c r="C22" s="4" t="s">
        <v>40</v>
      </c>
      <c r="D22" s="4" t="s">
        <v>86</v>
      </c>
      <c r="E22" s="4" t="s">
        <v>88</v>
      </c>
      <c r="F22" s="4" t="s">
        <v>43</v>
      </c>
      <c r="G22" s="5" t="s">
        <v>15</v>
      </c>
      <c r="H22" s="4"/>
      <c r="I22" s="4"/>
    </row>
    <row r="23" customFormat="false" ht="12.75" hidden="false" customHeight="true" outlineLevel="0" collapsed="false">
      <c r="A23" s="6" t="s">
        <v>89</v>
      </c>
      <c r="B23" s="7" t="s">
        <v>90</v>
      </c>
      <c r="C23" s="7" t="s">
        <v>40</v>
      </c>
      <c r="D23" s="7" t="s">
        <v>91</v>
      </c>
      <c r="E23" s="7" t="s">
        <v>92</v>
      </c>
      <c r="F23" s="7" t="s">
        <v>43</v>
      </c>
      <c r="G23" s="5" t="s">
        <v>15</v>
      </c>
      <c r="H23" s="7"/>
      <c r="I23" s="7"/>
    </row>
    <row r="24" customFormat="false" ht="12.75" hidden="false" customHeight="true" outlineLevel="0" collapsed="false">
      <c r="A24" s="3" t="s">
        <v>89</v>
      </c>
      <c r="B24" s="4" t="s">
        <v>90</v>
      </c>
      <c r="C24" s="4" t="s">
        <v>40</v>
      </c>
      <c r="D24" s="4" t="s">
        <v>91</v>
      </c>
      <c r="E24" s="4" t="s">
        <v>93</v>
      </c>
      <c r="F24" s="4" t="s">
        <v>43</v>
      </c>
      <c r="G24" s="5" t="s">
        <v>15</v>
      </c>
      <c r="H24" s="4"/>
      <c r="I24" s="4"/>
    </row>
    <row r="25" customFormat="false" ht="12.75" hidden="false" customHeight="true" outlineLevel="0" collapsed="false">
      <c r="A25" s="6" t="s">
        <v>89</v>
      </c>
      <c r="B25" s="7" t="s">
        <v>90</v>
      </c>
      <c r="C25" s="7" t="s">
        <v>40</v>
      </c>
      <c r="D25" s="7" t="s">
        <v>91</v>
      </c>
      <c r="E25" s="7" t="s">
        <v>94</v>
      </c>
      <c r="F25" s="7" t="s">
        <v>43</v>
      </c>
      <c r="G25" s="5" t="s">
        <v>15</v>
      </c>
      <c r="H25" s="7"/>
      <c r="I25" s="7"/>
    </row>
    <row r="26" customFormat="false" ht="12.75" hidden="false" customHeight="true" outlineLevel="0" collapsed="false">
      <c r="A26" s="3" t="s">
        <v>95</v>
      </c>
      <c r="B26" s="4" t="s">
        <v>96</v>
      </c>
      <c r="C26" s="4" t="s">
        <v>97</v>
      </c>
      <c r="D26" s="4" t="s">
        <v>98</v>
      </c>
      <c r="E26" s="4" t="s">
        <v>99</v>
      </c>
      <c r="F26" s="4" t="s">
        <v>100</v>
      </c>
      <c r="G26" s="5" t="s">
        <v>15</v>
      </c>
      <c r="H26" s="4"/>
      <c r="I26" s="4"/>
    </row>
    <row r="27" customFormat="false" ht="12.75" hidden="false" customHeight="true" outlineLevel="0" collapsed="false">
      <c r="A27" s="6" t="s">
        <v>101</v>
      </c>
      <c r="B27" s="7" t="s">
        <v>102</v>
      </c>
      <c r="C27" s="7" t="s">
        <v>97</v>
      </c>
      <c r="D27" s="7" t="s">
        <v>103</v>
      </c>
      <c r="E27" s="7" t="s">
        <v>104</v>
      </c>
      <c r="F27" s="7" t="s">
        <v>43</v>
      </c>
      <c r="G27" s="5" t="s">
        <v>15</v>
      </c>
      <c r="H27" s="7"/>
      <c r="I27" s="7"/>
    </row>
    <row r="28" customFormat="false" ht="12.75" hidden="false" customHeight="true" outlineLevel="0" collapsed="false">
      <c r="A28" s="3" t="s">
        <v>105</v>
      </c>
      <c r="B28" s="4" t="s">
        <v>106</v>
      </c>
      <c r="C28" s="4" t="s">
        <v>97</v>
      </c>
      <c r="D28" s="4" t="s">
        <v>107</v>
      </c>
      <c r="E28" s="4" t="s">
        <v>108</v>
      </c>
      <c r="F28" s="4" t="s">
        <v>43</v>
      </c>
      <c r="G28" s="5" t="s">
        <v>15</v>
      </c>
      <c r="H28" s="4"/>
      <c r="I28" s="4"/>
    </row>
    <row r="29" customFormat="false" ht="12.75" hidden="false" customHeight="true" outlineLevel="0" collapsed="false">
      <c r="A29" s="6" t="s">
        <v>109</v>
      </c>
      <c r="B29" s="7" t="s">
        <v>110</v>
      </c>
      <c r="C29" s="7" t="s">
        <v>97</v>
      </c>
      <c r="D29" s="7" t="s">
        <v>111</v>
      </c>
      <c r="E29" s="7" t="s">
        <v>112</v>
      </c>
      <c r="F29" s="7" t="s">
        <v>43</v>
      </c>
      <c r="G29" s="5" t="s">
        <v>15</v>
      </c>
      <c r="H29" s="7"/>
      <c r="I29" s="7"/>
    </row>
    <row r="30" customFormat="false" ht="12.75" hidden="false" customHeight="true" outlineLevel="0" collapsed="false">
      <c r="A30" s="3" t="s">
        <v>109</v>
      </c>
      <c r="B30" s="4" t="s">
        <v>110</v>
      </c>
      <c r="C30" s="4" t="s">
        <v>97</v>
      </c>
      <c r="D30" s="4" t="s">
        <v>111</v>
      </c>
      <c r="E30" s="4" t="s">
        <v>113</v>
      </c>
      <c r="F30" s="4" t="s">
        <v>43</v>
      </c>
      <c r="G30" s="5" t="s">
        <v>15</v>
      </c>
      <c r="H30" s="4"/>
      <c r="I30" s="4"/>
    </row>
    <row r="31" customFormat="false" ht="12.75" hidden="false" customHeight="true" outlineLevel="0" collapsed="false">
      <c r="A31" s="6" t="s">
        <v>109</v>
      </c>
      <c r="B31" s="7" t="s">
        <v>110</v>
      </c>
      <c r="C31" s="7" t="s">
        <v>97</v>
      </c>
      <c r="D31" s="7" t="s">
        <v>111</v>
      </c>
      <c r="E31" s="7" t="s">
        <v>114</v>
      </c>
      <c r="F31" s="7" t="s">
        <v>100</v>
      </c>
      <c r="G31" s="5" t="s">
        <v>15</v>
      </c>
      <c r="H31" s="7"/>
      <c r="I31" s="7"/>
    </row>
    <row r="32" customFormat="false" ht="12.75" hidden="false" customHeight="true" outlineLevel="0" collapsed="false">
      <c r="A32" s="3" t="s">
        <v>115</v>
      </c>
      <c r="B32" s="4" t="s">
        <v>116</v>
      </c>
      <c r="C32" s="4" t="s">
        <v>97</v>
      </c>
      <c r="D32" s="4" t="s">
        <v>117</v>
      </c>
      <c r="E32" s="4" t="s">
        <v>118</v>
      </c>
      <c r="F32" s="4" t="s">
        <v>43</v>
      </c>
      <c r="G32" s="5" t="s">
        <v>15</v>
      </c>
      <c r="H32" s="4"/>
      <c r="I32" s="4"/>
    </row>
    <row r="33" customFormat="false" ht="12.75" hidden="false" customHeight="true" outlineLevel="0" collapsed="false">
      <c r="A33" s="6" t="s">
        <v>119</v>
      </c>
      <c r="B33" s="7" t="s">
        <v>120</v>
      </c>
      <c r="C33" s="7" t="s">
        <v>97</v>
      </c>
      <c r="D33" s="7" t="s">
        <v>121</v>
      </c>
      <c r="E33" s="7" t="s">
        <v>122</v>
      </c>
      <c r="F33" s="7" t="s">
        <v>43</v>
      </c>
      <c r="G33" s="5" t="s">
        <v>15</v>
      </c>
      <c r="H33" s="7"/>
      <c r="I33" s="7"/>
    </row>
    <row r="34" customFormat="false" ht="12.75" hidden="false" customHeight="true" outlineLevel="0" collapsed="false">
      <c r="A34" s="3" t="s">
        <v>119</v>
      </c>
      <c r="B34" s="4" t="s">
        <v>120</v>
      </c>
      <c r="C34" s="4" t="s">
        <v>97</v>
      </c>
      <c r="D34" s="4" t="s">
        <v>121</v>
      </c>
      <c r="E34" s="4" t="s">
        <v>123</v>
      </c>
      <c r="F34" s="4" t="s">
        <v>43</v>
      </c>
      <c r="G34" s="5" t="s">
        <v>15</v>
      </c>
      <c r="H34" s="4"/>
      <c r="I34" s="4"/>
    </row>
    <row r="35" customFormat="false" ht="12.75" hidden="false" customHeight="true" outlineLevel="0" collapsed="false">
      <c r="A35" s="6" t="s">
        <v>119</v>
      </c>
      <c r="B35" s="7" t="s">
        <v>120</v>
      </c>
      <c r="C35" s="7" t="s">
        <v>97</v>
      </c>
      <c r="D35" s="7" t="s">
        <v>121</v>
      </c>
      <c r="E35" s="7" t="s">
        <v>124</v>
      </c>
      <c r="F35" s="7" t="s">
        <v>100</v>
      </c>
      <c r="G35" s="5" t="s">
        <v>15</v>
      </c>
      <c r="H35" s="7"/>
      <c r="I35" s="7"/>
    </row>
    <row r="36" customFormat="false" ht="12.75" hidden="false" customHeight="true" outlineLevel="0" collapsed="false">
      <c r="A36" s="3" t="s">
        <v>125</v>
      </c>
      <c r="B36" s="4" t="s">
        <v>126</v>
      </c>
      <c r="C36" s="4" t="s">
        <v>97</v>
      </c>
      <c r="D36" s="4" t="s">
        <v>127</v>
      </c>
      <c r="E36" s="4" t="s">
        <v>128</v>
      </c>
      <c r="F36" s="4" t="s">
        <v>43</v>
      </c>
      <c r="G36" s="5" t="s">
        <v>15</v>
      </c>
      <c r="H36" s="4"/>
      <c r="I36" s="4"/>
    </row>
    <row r="37" customFormat="false" ht="12.75" hidden="false" customHeight="true" outlineLevel="0" collapsed="false">
      <c r="A37" s="6" t="s">
        <v>129</v>
      </c>
      <c r="B37" s="7" t="s">
        <v>130</v>
      </c>
      <c r="C37" s="7" t="s">
        <v>97</v>
      </c>
      <c r="D37" s="7" t="s">
        <v>131</v>
      </c>
      <c r="E37" s="7" t="s">
        <v>132</v>
      </c>
      <c r="F37" s="7" t="s">
        <v>43</v>
      </c>
      <c r="G37" s="5" t="s">
        <v>15</v>
      </c>
      <c r="H37" s="7"/>
      <c r="I37" s="7"/>
    </row>
    <row r="38" customFormat="false" ht="12.75" hidden="false" customHeight="true" outlineLevel="0" collapsed="false">
      <c r="A38" s="3" t="s">
        <v>133</v>
      </c>
      <c r="B38" s="4" t="s">
        <v>134</v>
      </c>
      <c r="C38" s="4" t="s">
        <v>97</v>
      </c>
      <c r="D38" s="4" t="s">
        <v>135</v>
      </c>
      <c r="E38" s="4" t="s">
        <v>136</v>
      </c>
      <c r="F38" s="4" t="s">
        <v>43</v>
      </c>
      <c r="G38" s="5" t="s">
        <v>15</v>
      </c>
      <c r="H38" s="4"/>
      <c r="I38" s="4"/>
    </row>
    <row r="39" customFormat="false" ht="12.75" hidden="false" customHeight="true" outlineLevel="0" collapsed="false">
      <c r="A39" s="6" t="s">
        <v>137</v>
      </c>
      <c r="B39" s="7" t="s">
        <v>138</v>
      </c>
      <c r="C39" s="7" t="s">
        <v>97</v>
      </c>
      <c r="D39" s="7" t="s">
        <v>139</v>
      </c>
      <c r="E39" s="7" t="s">
        <v>140</v>
      </c>
      <c r="F39" s="7" t="s">
        <v>27</v>
      </c>
      <c r="G39" s="5" t="s">
        <v>15</v>
      </c>
      <c r="H39" s="7"/>
      <c r="I39" s="7"/>
    </row>
    <row r="40" customFormat="false" ht="12.75" hidden="false" customHeight="true" outlineLevel="0" collapsed="false">
      <c r="A40" s="3" t="s">
        <v>141</v>
      </c>
      <c r="B40" s="4" t="s">
        <v>142</v>
      </c>
      <c r="C40" s="4" t="s">
        <v>97</v>
      </c>
      <c r="D40" s="4" t="s">
        <v>143</v>
      </c>
      <c r="E40" s="4" t="s">
        <v>144</v>
      </c>
      <c r="F40" s="4" t="s">
        <v>43</v>
      </c>
      <c r="G40" s="5" t="s">
        <v>15</v>
      </c>
      <c r="H40" s="4"/>
      <c r="I40" s="4"/>
    </row>
    <row r="41" customFormat="false" ht="12.75" hidden="false" customHeight="true" outlineLevel="0" collapsed="false">
      <c r="A41" s="6" t="s">
        <v>145</v>
      </c>
      <c r="B41" s="7" t="s">
        <v>146</v>
      </c>
      <c r="C41" s="7" t="s">
        <v>97</v>
      </c>
      <c r="D41" s="7" t="s">
        <v>147</v>
      </c>
      <c r="E41" s="7" t="s">
        <v>148</v>
      </c>
      <c r="F41" s="7" t="s">
        <v>100</v>
      </c>
      <c r="G41" s="5" t="s">
        <v>15</v>
      </c>
      <c r="H41" s="7"/>
      <c r="I41" s="7"/>
    </row>
    <row r="42" customFormat="false" ht="12.75" hidden="false" customHeight="true" outlineLevel="0" collapsed="false">
      <c r="A42" s="3" t="s">
        <v>149</v>
      </c>
      <c r="B42" s="4" t="s">
        <v>10</v>
      </c>
      <c r="C42" s="4" t="s">
        <v>97</v>
      </c>
      <c r="D42" s="4" t="s">
        <v>150</v>
      </c>
      <c r="E42" s="4" t="s">
        <v>151</v>
      </c>
      <c r="F42" s="4" t="s">
        <v>43</v>
      </c>
      <c r="G42" s="5" t="s">
        <v>15</v>
      </c>
      <c r="H42" s="4"/>
      <c r="I42" s="4"/>
    </row>
    <row r="43" customFormat="false" ht="12.75" hidden="false" customHeight="true" outlineLevel="0" collapsed="false">
      <c r="A43" s="6" t="s">
        <v>149</v>
      </c>
      <c r="B43" s="7" t="s">
        <v>10</v>
      </c>
      <c r="C43" s="7" t="s">
        <v>97</v>
      </c>
      <c r="D43" s="7" t="s">
        <v>150</v>
      </c>
      <c r="E43" s="7" t="s">
        <v>152</v>
      </c>
      <c r="F43" s="7" t="s">
        <v>43</v>
      </c>
      <c r="G43" s="5" t="s">
        <v>15</v>
      </c>
      <c r="H43" s="7"/>
      <c r="I43" s="7"/>
    </row>
    <row r="44" customFormat="false" ht="12.75" hidden="false" customHeight="true" outlineLevel="0" collapsed="false">
      <c r="A44" s="3" t="s">
        <v>153</v>
      </c>
      <c r="B44" s="4" t="s">
        <v>154</v>
      </c>
      <c r="C44" s="4" t="s">
        <v>97</v>
      </c>
      <c r="D44" s="4" t="s">
        <v>155</v>
      </c>
      <c r="E44" s="4" t="s">
        <v>156</v>
      </c>
      <c r="F44" s="4" t="s">
        <v>43</v>
      </c>
      <c r="G44" s="5" t="s">
        <v>15</v>
      </c>
      <c r="H44" s="4"/>
      <c r="I44" s="4"/>
    </row>
    <row r="45" customFormat="false" ht="12.75" hidden="false" customHeight="true" outlineLevel="0" collapsed="false">
      <c r="A45" s="6" t="s">
        <v>157</v>
      </c>
      <c r="B45" s="7" t="s">
        <v>158</v>
      </c>
      <c r="C45" s="7" t="s">
        <v>97</v>
      </c>
      <c r="D45" s="7" t="s">
        <v>159</v>
      </c>
      <c r="E45" s="7" t="s">
        <v>160</v>
      </c>
      <c r="F45" s="7" t="s">
        <v>43</v>
      </c>
      <c r="G45" s="5" t="s">
        <v>15</v>
      </c>
      <c r="H45" s="7"/>
      <c r="I45" s="7"/>
    </row>
    <row r="46" customFormat="false" ht="12.75" hidden="false" customHeight="true" outlineLevel="0" collapsed="false">
      <c r="A46" s="3" t="s">
        <v>157</v>
      </c>
      <c r="B46" s="4" t="s">
        <v>158</v>
      </c>
      <c r="C46" s="4" t="s">
        <v>97</v>
      </c>
      <c r="D46" s="4" t="s">
        <v>159</v>
      </c>
      <c r="E46" s="4" t="s">
        <v>161</v>
      </c>
      <c r="F46" s="4" t="s">
        <v>100</v>
      </c>
      <c r="G46" s="5" t="s">
        <v>15</v>
      </c>
      <c r="H46" s="4"/>
      <c r="I46" s="4"/>
    </row>
    <row r="47" customFormat="false" ht="12.75" hidden="false" customHeight="true" outlineLevel="0" collapsed="false">
      <c r="A47" s="6" t="s">
        <v>162</v>
      </c>
      <c r="B47" s="7" t="s">
        <v>163</v>
      </c>
      <c r="C47" s="7" t="s">
        <v>97</v>
      </c>
      <c r="D47" s="7" t="s">
        <v>164</v>
      </c>
      <c r="E47" s="7" t="s">
        <v>165</v>
      </c>
      <c r="F47" s="7" t="s">
        <v>100</v>
      </c>
      <c r="G47" s="5" t="s">
        <v>15</v>
      </c>
      <c r="H47" s="7"/>
      <c r="I47" s="7"/>
    </row>
    <row r="48" customFormat="false" ht="12.75" hidden="false" customHeight="true" outlineLevel="0" collapsed="false">
      <c r="A48" s="3" t="s">
        <v>162</v>
      </c>
      <c r="B48" s="4" t="s">
        <v>163</v>
      </c>
      <c r="C48" s="4" t="s">
        <v>97</v>
      </c>
      <c r="D48" s="4" t="s">
        <v>164</v>
      </c>
      <c r="E48" s="4" t="s">
        <v>166</v>
      </c>
      <c r="F48" s="4" t="s">
        <v>43</v>
      </c>
      <c r="G48" s="5" t="s">
        <v>15</v>
      </c>
      <c r="H48" s="4"/>
      <c r="I48" s="4"/>
    </row>
    <row r="49" customFormat="false" ht="12.75" hidden="false" customHeight="true" outlineLevel="0" collapsed="false">
      <c r="A49" s="6" t="s">
        <v>167</v>
      </c>
      <c r="B49" s="7" t="s">
        <v>168</v>
      </c>
      <c r="C49" s="7" t="s">
        <v>97</v>
      </c>
      <c r="D49" s="7" t="s">
        <v>169</v>
      </c>
      <c r="E49" s="7" t="s">
        <v>170</v>
      </c>
      <c r="F49" s="7" t="s">
        <v>43</v>
      </c>
      <c r="G49" s="5" t="s">
        <v>15</v>
      </c>
      <c r="H49" s="7"/>
      <c r="I49" s="7"/>
    </row>
    <row r="50" customFormat="false" ht="12.75" hidden="false" customHeight="true" outlineLevel="0" collapsed="false">
      <c r="A50" s="3" t="s">
        <v>171</v>
      </c>
      <c r="B50" s="4" t="s">
        <v>172</v>
      </c>
      <c r="C50" s="4" t="s">
        <v>97</v>
      </c>
      <c r="D50" s="4" t="s">
        <v>173</v>
      </c>
      <c r="E50" s="4" t="s">
        <v>174</v>
      </c>
      <c r="F50" s="4" t="s">
        <v>43</v>
      </c>
      <c r="G50" s="5" t="s">
        <v>15</v>
      </c>
      <c r="H50" s="4"/>
      <c r="I50" s="4"/>
    </row>
    <row r="51" customFormat="false" ht="12.75" hidden="false" customHeight="true" outlineLevel="0" collapsed="false">
      <c r="A51" s="6" t="s">
        <v>175</v>
      </c>
      <c r="B51" s="7" t="s">
        <v>176</v>
      </c>
      <c r="C51" s="7" t="s">
        <v>97</v>
      </c>
      <c r="D51" s="7" t="s">
        <v>177</v>
      </c>
      <c r="E51" s="7" t="s">
        <v>178</v>
      </c>
      <c r="F51" s="7" t="s">
        <v>100</v>
      </c>
      <c r="G51" s="5" t="s">
        <v>15</v>
      </c>
      <c r="H51" s="7"/>
      <c r="I51" s="7"/>
    </row>
    <row r="52" customFormat="false" ht="12.75" hidden="false" customHeight="true" outlineLevel="0" collapsed="false">
      <c r="A52" s="3" t="s">
        <v>175</v>
      </c>
      <c r="B52" s="4" t="s">
        <v>176</v>
      </c>
      <c r="C52" s="4" t="s">
        <v>97</v>
      </c>
      <c r="D52" s="4" t="s">
        <v>177</v>
      </c>
      <c r="E52" s="4" t="s">
        <v>179</v>
      </c>
      <c r="F52" s="4" t="s">
        <v>100</v>
      </c>
      <c r="G52" s="5" t="s">
        <v>15</v>
      </c>
      <c r="H52" s="4"/>
      <c r="I52" s="4"/>
    </row>
    <row r="53" customFormat="false" ht="12.75" hidden="false" customHeight="true" outlineLevel="0" collapsed="false">
      <c r="A53" s="6" t="s">
        <v>180</v>
      </c>
      <c r="B53" s="7" t="s">
        <v>181</v>
      </c>
      <c r="C53" s="7" t="s">
        <v>97</v>
      </c>
      <c r="D53" s="7" t="s">
        <v>182</v>
      </c>
      <c r="E53" s="7" t="s">
        <v>183</v>
      </c>
      <c r="F53" s="7" t="s">
        <v>43</v>
      </c>
      <c r="G53" s="5" t="s">
        <v>15</v>
      </c>
      <c r="H53" s="7"/>
      <c r="I53" s="7"/>
    </row>
    <row r="54" customFormat="false" ht="12.75" hidden="false" customHeight="true" outlineLevel="0" collapsed="false">
      <c r="A54" s="3" t="s">
        <v>184</v>
      </c>
      <c r="B54" s="4" t="s">
        <v>185</v>
      </c>
      <c r="C54" s="4" t="s">
        <v>97</v>
      </c>
      <c r="D54" s="4" t="s">
        <v>186</v>
      </c>
      <c r="E54" s="4" t="s">
        <v>187</v>
      </c>
      <c r="F54" s="4" t="s">
        <v>43</v>
      </c>
      <c r="G54" s="5" t="s">
        <v>15</v>
      </c>
      <c r="H54" s="4"/>
      <c r="I54" s="4"/>
    </row>
    <row r="55" customFormat="false" ht="12.75" hidden="false" customHeight="true" outlineLevel="0" collapsed="false">
      <c r="A55" s="6" t="s">
        <v>188</v>
      </c>
      <c r="B55" s="7" t="s">
        <v>189</v>
      </c>
      <c r="C55" s="7" t="s">
        <v>97</v>
      </c>
      <c r="D55" s="7" t="s">
        <v>190</v>
      </c>
      <c r="E55" s="7" t="s">
        <v>191</v>
      </c>
      <c r="F55" s="7" t="s">
        <v>100</v>
      </c>
      <c r="G55" s="5" t="s">
        <v>15</v>
      </c>
      <c r="H55" s="7"/>
      <c r="I55" s="7"/>
    </row>
    <row r="56" customFormat="false" ht="12.75" hidden="false" customHeight="true" outlineLevel="0" collapsed="false">
      <c r="A56" s="3" t="s">
        <v>188</v>
      </c>
      <c r="B56" s="4" t="s">
        <v>189</v>
      </c>
      <c r="C56" s="4" t="s">
        <v>97</v>
      </c>
      <c r="D56" s="4" t="s">
        <v>190</v>
      </c>
      <c r="E56" s="4" t="s">
        <v>192</v>
      </c>
      <c r="F56" s="4" t="s">
        <v>100</v>
      </c>
      <c r="G56" s="5" t="s">
        <v>15</v>
      </c>
      <c r="H56" s="4"/>
      <c r="I56" s="4"/>
    </row>
    <row r="57" customFormat="false" ht="12.75" hidden="false" customHeight="true" outlineLevel="0" collapsed="false">
      <c r="A57" s="6" t="s">
        <v>193</v>
      </c>
      <c r="B57" s="7" t="s">
        <v>194</v>
      </c>
      <c r="C57" s="7" t="s">
        <v>97</v>
      </c>
      <c r="D57" s="7" t="s">
        <v>195</v>
      </c>
      <c r="E57" s="7" t="s">
        <v>196</v>
      </c>
      <c r="F57" s="7" t="s">
        <v>43</v>
      </c>
      <c r="G57" s="5" t="s">
        <v>15</v>
      </c>
      <c r="H57" s="7"/>
      <c r="I57" s="7"/>
    </row>
    <row r="58" customFormat="false" ht="12.75" hidden="false" customHeight="true" outlineLevel="0" collapsed="false">
      <c r="A58" s="3" t="s">
        <v>193</v>
      </c>
      <c r="B58" s="4" t="s">
        <v>194</v>
      </c>
      <c r="C58" s="4" t="s">
        <v>97</v>
      </c>
      <c r="D58" s="4" t="s">
        <v>195</v>
      </c>
      <c r="E58" s="4" t="s">
        <v>197</v>
      </c>
      <c r="F58" s="4" t="s">
        <v>100</v>
      </c>
      <c r="G58" s="5" t="s">
        <v>15</v>
      </c>
      <c r="H58" s="4"/>
      <c r="I58" s="4"/>
    </row>
    <row r="59" customFormat="false" ht="12.75" hidden="false" customHeight="true" outlineLevel="0" collapsed="false">
      <c r="A59" s="6" t="s">
        <v>198</v>
      </c>
      <c r="B59" s="7" t="s">
        <v>199</v>
      </c>
      <c r="C59" s="7" t="s">
        <v>200</v>
      </c>
      <c r="D59" s="7" t="s">
        <v>201</v>
      </c>
      <c r="E59" s="7" t="s">
        <v>202</v>
      </c>
      <c r="F59" s="7" t="s">
        <v>43</v>
      </c>
      <c r="G59" s="5" t="s">
        <v>15</v>
      </c>
      <c r="H59" s="7"/>
      <c r="I59" s="7"/>
    </row>
    <row r="60" customFormat="false" ht="12.75" hidden="false" customHeight="true" outlineLevel="0" collapsed="false">
      <c r="A60" s="3" t="s">
        <v>203</v>
      </c>
      <c r="B60" s="4" t="s">
        <v>204</v>
      </c>
      <c r="C60" s="4" t="s">
        <v>200</v>
      </c>
      <c r="D60" s="4" t="s">
        <v>205</v>
      </c>
      <c r="E60" s="4" t="s">
        <v>206</v>
      </c>
      <c r="F60" s="4" t="s">
        <v>100</v>
      </c>
      <c r="G60" s="5" t="s">
        <v>15</v>
      </c>
      <c r="H60" s="4"/>
      <c r="I60" s="4"/>
    </row>
    <row r="61" customFormat="false" ht="12.75" hidden="false" customHeight="true" outlineLevel="0" collapsed="false">
      <c r="A61" s="6" t="s">
        <v>207</v>
      </c>
      <c r="B61" s="7" t="s">
        <v>208</v>
      </c>
      <c r="C61" s="7" t="s">
        <v>200</v>
      </c>
      <c r="D61" s="7" t="s">
        <v>209</v>
      </c>
      <c r="E61" s="7" t="s">
        <v>210</v>
      </c>
      <c r="F61" s="7" t="s">
        <v>43</v>
      </c>
      <c r="G61" s="5" t="s">
        <v>15</v>
      </c>
      <c r="H61" s="7"/>
      <c r="I61" s="7"/>
    </row>
    <row r="62" customFormat="false" ht="12.75" hidden="false" customHeight="true" outlineLevel="0" collapsed="false">
      <c r="A62" s="3" t="s">
        <v>211</v>
      </c>
      <c r="B62" s="4" t="s">
        <v>212</v>
      </c>
      <c r="C62" s="4" t="s">
        <v>200</v>
      </c>
      <c r="D62" s="4" t="s">
        <v>213</v>
      </c>
      <c r="E62" s="4" t="s">
        <v>214</v>
      </c>
      <c r="F62" s="4" t="s">
        <v>215</v>
      </c>
      <c r="G62" s="5" t="s">
        <v>15</v>
      </c>
      <c r="H62" s="4"/>
      <c r="I62" s="4"/>
    </row>
    <row r="63" customFormat="false" ht="12.75" hidden="false" customHeight="true" outlineLevel="0" collapsed="false">
      <c r="A63" s="6" t="s">
        <v>211</v>
      </c>
      <c r="B63" s="7" t="s">
        <v>212</v>
      </c>
      <c r="C63" s="7" t="s">
        <v>200</v>
      </c>
      <c r="D63" s="7" t="s">
        <v>213</v>
      </c>
      <c r="E63" s="7" t="s">
        <v>216</v>
      </c>
      <c r="F63" s="7" t="s">
        <v>215</v>
      </c>
      <c r="G63" s="5" t="s">
        <v>15</v>
      </c>
      <c r="H63" s="7"/>
      <c r="I63" s="7"/>
    </row>
    <row r="64" customFormat="false" ht="12.75" hidden="false" customHeight="true" outlineLevel="0" collapsed="false">
      <c r="A64" s="3" t="s">
        <v>217</v>
      </c>
      <c r="B64" s="4" t="s">
        <v>218</v>
      </c>
      <c r="C64" s="4" t="s">
        <v>200</v>
      </c>
      <c r="D64" s="4" t="s">
        <v>219</v>
      </c>
      <c r="E64" s="4" t="s">
        <v>220</v>
      </c>
      <c r="F64" s="4" t="s">
        <v>215</v>
      </c>
      <c r="G64" s="5" t="s">
        <v>15</v>
      </c>
      <c r="H64" s="4"/>
      <c r="I64" s="4"/>
    </row>
    <row r="65" customFormat="false" ht="12.75" hidden="false" customHeight="true" outlineLevel="0" collapsed="false">
      <c r="A65" s="6" t="s">
        <v>221</v>
      </c>
      <c r="B65" s="7" t="s">
        <v>222</v>
      </c>
      <c r="C65" s="7" t="s">
        <v>200</v>
      </c>
      <c r="D65" s="7" t="s">
        <v>223</v>
      </c>
      <c r="E65" s="7" t="s">
        <v>224</v>
      </c>
      <c r="F65" s="7" t="s">
        <v>43</v>
      </c>
      <c r="G65" s="5" t="s">
        <v>15</v>
      </c>
      <c r="H65" s="7"/>
      <c r="I65" s="7"/>
    </row>
    <row r="66" customFormat="false" ht="12.75" hidden="false" customHeight="true" outlineLevel="0" collapsed="false">
      <c r="A66" s="3" t="s">
        <v>225</v>
      </c>
      <c r="B66" s="4" t="s">
        <v>226</v>
      </c>
      <c r="C66" s="4" t="s">
        <v>200</v>
      </c>
      <c r="D66" s="4" t="s">
        <v>227</v>
      </c>
      <c r="E66" s="4" t="s">
        <v>228</v>
      </c>
      <c r="F66" s="4" t="s">
        <v>43</v>
      </c>
      <c r="G66" s="5" t="s">
        <v>15</v>
      </c>
      <c r="H66" s="4"/>
      <c r="I66" s="4"/>
    </row>
    <row r="67" customFormat="false" ht="12.75" hidden="false" customHeight="true" outlineLevel="0" collapsed="false">
      <c r="A67" s="6" t="s">
        <v>225</v>
      </c>
      <c r="B67" s="7" t="s">
        <v>226</v>
      </c>
      <c r="C67" s="7" t="s">
        <v>200</v>
      </c>
      <c r="D67" s="7" t="s">
        <v>227</v>
      </c>
      <c r="E67" s="7" t="s">
        <v>229</v>
      </c>
      <c r="F67" s="7" t="s">
        <v>43</v>
      </c>
      <c r="G67" s="5" t="s">
        <v>15</v>
      </c>
      <c r="H67" s="7"/>
      <c r="I67" s="7"/>
    </row>
    <row r="68" customFormat="false" ht="12.75" hidden="false" customHeight="true" outlineLevel="0" collapsed="false">
      <c r="A68" s="3" t="s">
        <v>225</v>
      </c>
      <c r="B68" s="4" t="s">
        <v>226</v>
      </c>
      <c r="C68" s="4" t="s">
        <v>200</v>
      </c>
      <c r="D68" s="4" t="s">
        <v>227</v>
      </c>
      <c r="E68" s="4" t="s">
        <v>230</v>
      </c>
      <c r="F68" s="4" t="s">
        <v>43</v>
      </c>
      <c r="G68" s="5" t="s">
        <v>15</v>
      </c>
      <c r="H68" s="4"/>
      <c r="I68" s="4"/>
    </row>
    <row r="69" customFormat="false" ht="12.75" hidden="false" customHeight="true" outlineLevel="0" collapsed="false">
      <c r="A69" s="6" t="s">
        <v>225</v>
      </c>
      <c r="B69" s="7" t="s">
        <v>226</v>
      </c>
      <c r="C69" s="7" t="s">
        <v>200</v>
      </c>
      <c r="D69" s="7" t="s">
        <v>227</v>
      </c>
      <c r="E69" s="7" t="s">
        <v>231</v>
      </c>
      <c r="F69" s="7" t="s">
        <v>43</v>
      </c>
      <c r="G69" s="5" t="s">
        <v>15</v>
      </c>
      <c r="H69" s="7"/>
      <c r="I69" s="7"/>
    </row>
    <row r="70" customFormat="false" ht="12.75" hidden="false" customHeight="true" outlineLevel="0" collapsed="false">
      <c r="A70" s="3" t="s">
        <v>225</v>
      </c>
      <c r="B70" s="4" t="s">
        <v>226</v>
      </c>
      <c r="C70" s="4" t="s">
        <v>200</v>
      </c>
      <c r="D70" s="4" t="s">
        <v>227</v>
      </c>
      <c r="E70" s="4" t="s">
        <v>232</v>
      </c>
      <c r="F70" s="4" t="s">
        <v>100</v>
      </c>
      <c r="G70" s="5" t="s">
        <v>15</v>
      </c>
      <c r="H70" s="4"/>
      <c r="I70" s="4"/>
    </row>
    <row r="71" customFormat="false" ht="12.75" hidden="false" customHeight="true" outlineLevel="0" collapsed="false">
      <c r="A71" s="6" t="s">
        <v>225</v>
      </c>
      <c r="B71" s="7" t="s">
        <v>226</v>
      </c>
      <c r="C71" s="7" t="s">
        <v>200</v>
      </c>
      <c r="D71" s="7" t="s">
        <v>227</v>
      </c>
      <c r="E71" s="7" t="s">
        <v>233</v>
      </c>
      <c r="F71" s="7" t="s">
        <v>100</v>
      </c>
      <c r="G71" s="5" t="s">
        <v>15</v>
      </c>
      <c r="H71" s="7"/>
      <c r="I71" s="7"/>
    </row>
    <row r="72" customFormat="false" ht="12.75" hidden="false" customHeight="true" outlineLevel="0" collapsed="false">
      <c r="A72" s="3" t="s">
        <v>225</v>
      </c>
      <c r="B72" s="4" t="s">
        <v>226</v>
      </c>
      <c r="C72" s="4" t="s">
        <v>200</v>
      </c>
      <c r="D72" s="4" t="s">
        <v>227</v>
      </c>
      <c r="E72" s="4" t="s">
        <v>234</v>
      </c>
      <c r="F72" s="4" t="s">
        <v>215</v>
      </c>
      <c r="G72" s="5" t="s">
        <v>15</v>
      </c>
      <c r="H72" s="4"/>
      <c r="I72" s="4"/>
    </row>
    <row r="73" customFormat="false" ht="12.75" hidden="false" customHeight="true" outlineLevel="0" collapsed="false">
      <c r="A73" s="6" t="s">
        <v>225</v>
      </c>
      <c r="B73" s="7" t="s">
        <v>226</v>
      </c>
      <c r="C73" s="7" t="s">
        <v>200</v>
      </c>
      <c r="D73" s="7" t="s">
        <v>227</v>
      </c>
      <c r="E73" s="7" t="s">
        <v>235</v>
      </c>
      <c r="F73" s="7" t="s">
        <v>215</v>
      </c>
      <c r="G73" s="5" t="s">
        <v>15</v>
      </c>
      <c r="H73" s="7"/>
      <c r="I73" s="7"/>
    </row>
    <row r="74" customFormat="false" ht="12.75" hidden="false" customHeight="true" outlineLevel="0" collapsed="false">
      <c r="A74" s="3" t="s">
        <v>225</v>
      </c>
      <c r="B74" s="4" t="s">
        <v>226</v>
      </c>
      <c r="C74" s="4" t="s">
        <v>200</v>
      </c>
      <c r="D74" s="4" t="s">
        <v>227</v>
      </c>
      <c r="E74" s="4" t="s">
        <v>236</v>
      </c>
      <c r="F74" s="4" t="s">
        <v>215</v>
      </c>
      <c r="G74" s="5" t="s">
        <v>15</v>
      </c>
      <c r="H74" s="4"/>
      <c r="I74" s="4"/>
    </row>
    <row r="75" customFormat="false" ht="12.75" hidden="false" customHeight="true" outlineLevel="0" collapsed="false">
      <c r="A75" s="6" t="s">
        <v>237</v>
      </c>
      <c r="B75" s="7" t="s">
        <v>238</v>
      </c>
      <c r="C75" s="7" t="s">
        <v>200</v>
      </c>
      <c r="D75" s="7" t="s">
        <v>239</v>
      </c>
      <c r="E75" s="7" t="s">
        <v>240</v>
      </c>
      <c r="F75" s="7" t="s">
        <v>215</v>
      </c>
      <c r="G75" s="5" t="s">
        <v>15</v>
      </c>
      <c r="H75" s="7"/>
      <c r="I75" s="7"/>
    </row>
    <row r="76" customFormat="false" ht="12.75" hidden="false" customHeight="true" outlineLevel="0" collapsed="false">
      <c r="A76" s="3" t="s">
        <v>237</v>
      </c>
      <c r="B76" s="4" t="s">
        <v>238</v>
      </c>
      <c r="C76" s="4" t="s">
        <v>200</v>
      </c>
      <c r="D76" s="4" t="s">
        <v>239</v>
      </c>
      <c r="E76" s="4" t="s">
        <v>241</v>
      </c>
      <c r="F76" s="4" t="s">
        <v>215</v>
      </c>
      <c r="G76" s="5" t="s">
        <v>15</v>
      </c>
      <c r="H76" s="4"/>
      <c r="I76" s="4"/>
    </row>
    <row r="77" customFormat="false" ht="12.75" hidden="false" customHeight="true" outlineLevel="0" collapsed="false">
      <c r="A77" s="6" t="s">
        <v>237</v>
      </c>
      <c r="B77" s="7" t="s">
        <v>238</v>
      </c>
      <c r="C77" s="7" t="s">
        <v>200</v>
      </c>
      <c r="D77" s="7" t="s">
        <v>239</v>
      </c>
      <c r="E77" s="7" t="s">
        <v>242</v>
      </c>
      <c r="F77" s="7" t="s">
        <v>215</v>
      </c>
      <c r="G77" s="5" t="s">
        <v>15</v>
      </c>
      <c r="H77" s="7"/>
      <c r="I77" s="7"/>
    </row>
    <row r="78" customFormat="false" ht="12.75" hidden="false" customHeight="true" outlineLevel="0" collapsed="false">
      <c r="A78" s="3" t="s">
        <v>243</v>
      </c>
      <c r="B78" s="4" t="s">
        <v>244</v>
      </c>
      <c r="C78" s="4" t="s">
        <v>200</v>
      </c>
      <c r="D78" s="4" t="s">
        <v>245</v>
      </c>
      <c r="E78" s="4" t="s">
        <v>246</v>
      </c>
      <c r="F78" s="4" t="s">
        <v>100</v>
      </c>
      <c r="G78" s="5" t="s">
        <v>15</v>
      </c>
      <c r="H78" s="4"/>
      <c r="I78" s="4"/>
    </row>
    <row r="79" customFormat="false" ht="12.75" hidden="false" customHeight="true" outlineLevel="0" collapsed="false">
      <c r="A79" s="6" t="s">
        <v>247</v>
      </c>
      <c r="B79" s="7" t="s">
        <v>130</v>
      </c>
      <c r="C79" s="7" t="s">
        <v>200</v>
      </c>
      <c r="D79" s="7" t="s">
        <v>248</v>
      </c>
      <c r="E79" s="7" t="s">
        <v>249</v>
      </c>
      <c r="F79" s="7" t="s">
        <v>215</v>
      </c>
      <c r="G79" s="5" t="s">
        <v>15</v>
      </c>
      <c r="H79" s="7"/>
      <c r="I79" s="7"/>
    </row>
    <row r="80" customFormat="false" ht="12.75" hidden="false" customHeight="true" outlineLevel="0" collapsed="false">
      <c r="A80" s="3" t="s">
        <v>250</v>
      </c>
      <c r="B80" s="4" t="s">
        <v>251</v>
      </c>
      <c r="C80" s="4" t="s">
        <v>200</v>
      </c>
      <c r="D80" s="4" t="s">
        <v>252</v>
      </c>
      <c r="E80" s="4" t="s">
        <v>253</v>
      </c>
      <c r="F80" s="4" t="s">
        <v>100</v>
      </c>
      <c r="G80" s="5" t="s">
        <v>15</v>
      </c>
      <c r="H80" s="4"/>
      <c r="I80" s="4"/>
    </row>
    <row r="81" customFormat="false" ht="12.75" hidden="false" customHeight="true" outlineLevel="0" collapsed="false">
      <c r="A81" s="6" t="s">
        <v>254</v>
      </c>
      <c r="B81" s="7" t="s">
        <v>255</v>
      </c>
      <c r="C81" s="7" t="s">
        <v>200</v>
      </c>
      <c r="D81" s="7" t="s">
        <v>256</v>
      </c>
      <c r="E81" s="7" t="s">
        <v>257</v>
      </c>
      <c r="F81" s="7" t="s">
        <v>215</v>
      </c>
      <c r="G81" s="5" t="s">
        <v>15</v>
      </c>
      <c r="H81" s="7"/>
      <c r="I81" s="7"/>
    </row>
    <row r="82" customFormat="false" ht="12.75" hidden="false" customHeight="true" outlineLevel="0" collapsed="false">
      <c r="A82" s="3" t="s">
        <v>258</v>
      </c>
      <c r="B82" s="4" t="s">
        <v>259</v>
      </c>
      <c r="C82" s="4" t="s">
        <v>200</v>
      </c>
      <c r="D82" s="4" t="s">
        <v>260</v>
      </c>
      <c r="E82" s="4" t="s">
        <v>261</v>
      </c>
      <c r="F82" s="4" t="s">
        <v>43</v>
      </c>
      <c r="G82" s="5" t="s">
        <v>15</v>
      </c>
      <c r="H82" s="4"/>
      <c r="I82" s="4"/>
    </row>
    <row r="83" customFormat="false" ht="12.75" hidden="false" customHeight="true" outlineLevel="0" collapsed="false">
      <c r="A83" s="6" t="s">
        <v>262</v>
      </c>
      <c r="B83" s="7" t="s">
        <v>263</v>
      </c>
      <c r="C83" s="7" t="s">
        <v>43</v>
      </c>
      <c r="D83" s="7" t="s">
        <v>264</v>
      </c>
      <c r="E83" s="7" t="s">
        <v>265</v>
      </c>
      <c r="F83" s="7" t="s">
        <v>100</v>
      </c>
      <c r="G83" s="5" t="s">
        <v>15</v>
      </c>
      <c r="H83" s="7"/>
      <c r="I83" s="7"/>
    </row>
    <row r="84" customFormat="false" ht="12.75" hidden="false" customHeight="true" outlineLevel="0" collapsed="false">
      <c r="A84" s="3" t="s">
        <v>266</v>
      </c>
      <c r="B84" s="4" t="s">
        <v>267</v>
      </c>
      <c r="C84" s="4" t="s">
        <v>43</v>
      </c>
      <c r="D84" s="4" t="s">
        <v>268</v>
      </c>
      <c r="E84" s="4" t="s">
        <v>269</v>
      </c>
      <c r="F84" s="4" t="s">
        <v>270</v>
      </c>
      <c r="G84" s="5" t="s">
        <v>15</v>
      </c>
      <c r="H84" s="4"/>
      <c r="I84" s="4"/>
    </row>
    <row r="85" customFormat="false" ht="12.75" hidden="false" customHeight="true" outlineLevel="0" collapsed="false">
      <c r="A85" s="6" t="s">
        <v>266</v>
      </c>
      <c r="B85" s="7" t="s">
        <v>267</v>
      </c>
      <c r="C85" s="7" t="s">
        <v>43</v>
      </c>
      <c r="D85" s="7" t="s">
        <v>268</v>
      </c>
      <c r="E85" s="7" t="s">
        <v>271</v>
      </c>
      <c r="F85" s="7" t="s">
        <v>270</v>
      </c>
      <c r="G85" s="5" t="s">
        <v>15</v>
      </c>
      <c r="H85" s="7"/>
      <c r="I85" s="7"/>
    </row>
    <row r="86" customFormat="false" ht="12.75" hidden="false" customHeight="true" outlineLevel="0" collapsed="false">
      <c r="A86" s="3" t="s">
        <v>272</v>
      </c>
      <c r="B86" s="4" t="s">
        <v>273</v>
      </c>
      <c r="C86" s="4" t="s">
        <v>43</v>
      </c>
      <c r="D86" s="4" t="s">
        <v>274</v>
      </c>
      <c r="E86" s="4" t="s">
        <v>275</v>
      </c>
      <c r="F86" s="4" t="s">
        <v>100</v>
      </c>
      <c r="G86" s="5" t="s">
        <v>15</v>
      </c>
      <c r="H86" s="4"/>
      <c r="I86" s="4"/>
    </row>
    <row r="87" customFormat="false" ht="12.75" hidden="false" customHeight="true" outlineLevel="0" collapsed="false">
      <c r="A87" s="6" t="s">
        <v>276</v>
      </c>
      <c r="B87" s="7" t="s">
        <v>277</v>
      </c>
      <c r="C87" s="7" t="s">
        <v>43</v>
      </c>
      <c r="D87" s="7" t="s">
        <v>278</v>
      </c>
      <c r="E87" s="7" t="s">
        <v>279</v>
      </c>
      <c r="F87" s="7" t="s">
        <v>21</v>
      </c>
      <c r="G87" s="5" t="s">
        <v>15</v>
      </c>
      <c r="H87" s="7"/>
      <c r="I87" s="7"/>
    </row>
    <row r="88" customFormat="false" ht="12.75" hidden="false" customHeight="true" outlineLevel="0" collapsed="false">
      <c r="A88" s="3" t="s">
        <v>276</v>
      </c>
      <c r="B88" s="4" t="s">
        <v>277</v>
      </c>
      <c r="C88" s="4" t="s">
        <v>43</v>
      </c>
      <c r="D88" s="4" t="s">
        <v>278</v>
      </c>
      <c r="E88" s="4" t="s">
        <v>280</v>
      </c>
      <c r="F88" s="4" t="s">
        <v>27</v>
      </c>
      <c r="G88" s="5" t="s">
        <v>15</v>
      </c>
      <c r="H88" s="4"/>
      <c r="I88" s="4"/>
    </row>
    <row r="89" customFormat="false" ht="12.75" hidden="false" customHeight="true" outlineLevel="0" collapsed="false">
      <c r="A89" s="6" t="s">
        <v>281</v>
      </c>
      <c r="B89" s="7" t="s">
        <v>282</v>
      </c>
      <c r="C89" s="7" t="s">
        <v>43</v>
      </c>
      <c r="D89" s="7" t="s">
        <v>283</v>
      </c>
      <c r="E89" s="7" t="s">
        <v>284</v>
      </c>
      <c r="F89" s="7" t="s">
        <v>270</v>
      </c>
      <c r="G89" s="5" t="s">
        <v>15</v>
      </c>
      <c r="H89" s="7"/>
      <c r="I89" s="7"/>
    </row>
    <row r="90" customFormat="false" ht="12.75" hidden="false" customHeight="true" outlineLevel="0" collapsed="false">
      <c r="A90" s="3" t="s">
        <v>285</v>
      </c>
      <c r="B90" s="4" t="s">
        <v>286</v>
      </c>
      <c r="C90" s="4" t="s">
        <v>43</v>
      </c>
      <c r="D90" s="4" t="s">
        <v>287</v>
      </c>
      <c r="E90" s="4" t="s">
        <v>288</v>
      </c>
      <c r="F90" s="4" t="s">
        <v>100</v>
      </c>
      <c r="G90" s="5" t="s">
        <v>15</v>
      </c>
      <c r="H90" s="4"/>
      <c r="I90" s="4"/>
    </row>
    <row r="91" customFormat="false" ht="12.75" hidden="false" customHeight="true" outlineLevel="0" collapsed="false">
      <c r="A91" s="6" t="s">
        <v>285</v>
      </c>
      <c r="B91" s="7" t="s">
        <v>286</v>
      </c>
      <c r="C91" s="7" t="s">
        <v>43</v>
      </c>
      <c r="D91" s="7" t="s">
        <v>287</v>
      </c>
      <c r="E91" s="7" t="s">
        <v>289</v>
      </c>
      <c r="F91" s="7" t="s">
        <v>100</v>
      </c>
      <c r="G91" s="5" t="s">
        <v>15</v>
      </c>
      <c r="H91" s="7"/>
      <c r="I91" s="7"/>
    </row>
    <row r="92" customFormat="false" ht="12.75" hidden="false" customHeight="true" outlineLevel="0" collapsed="false">
      <c r="A92" s="3" t="s">
        <v>285</v>
      </c>
      <c r="B92" s="4" t="s">
        <v>286</v>
      </c>
      <c r="C92" s="4" t="s">
        <v>43</v>
      </c>
      <c r="D92" s="4" t="s">
        <v>287</v>
      </c>
      <c r="E92" s="4" t="s">
        <v>290</v>
      </c>
      <c r="F92" s="4" t="s">
        <v>100</v>
      </c>
      <c r="G92" s="5" t="s">
        <v>15</v>
      </c>
      <c r="H92" s="4"/>
      <c r="I92" s="4"/>
    </row>
    <row r="93" customFormat="false" ht="12.75" hidden="false" customHeight="true" outlineLevel="0" collapsed="false">
      <c r="A93" s="6" t="s">
        <v>285</v>
      </c>
      <c r="B93" s="7" t="s">
        <v>286</v>
      </c>
      <c r="C93" s="7" t="s">
        <v>43</v>
      </c>
      <c r="D93" s="7" t="s">
        <v>287</v>
      </c>
      <c r="E93" s="7" t="s">
        <v>291</v>
      </c>
      <c r="F93" s="7" t="s">
        <v>215</v>
      </c>
      <c r="G93" s="5" t="s">
        <v>15</v>
      </c>
      <c r="H93" s="7"/>
      <c r="I93" s="7"/>
    </row>
    <row r="94" customFormat="false" ht="12.75" hidden="false" customHeight="true" outlineLevel="0" collapsed="false">
      <c r="A94" s="3" t="s">
        <v>285</v>
      </c>
      <c r="B94" s="4" t="s">
        <v>286</v>
      </c>
      <c r="C94" s="4" t="s">
        <v>43</v>
      </c>
      <c r="D94" s="4" t="s">
        <v>287</v>
      </c>
      <c r="E94" s="4" t="s">
        <v>292</v>
      </c>
      <c r="F94" s="4" t="s">
        <v>215</v>
      </c>
      <c r="G94" s="5" t="s">
        <v>15</v>
      </c>
      <c r="H94" s="4"/>
      <c r="I94" s="4"/>
    </row>
    <row r="95" customFormat="false" ht="12.75" hidden="false" customHeight="true" outlineLevel="0" collapsed="false">
      <c r="A95" s="6" t="s">
        <v>293</v>
      </c>
      <c r="B95" s="7" t="s">
        <v>294</v>
      </c>
      <c r="C95" s="7" t="s">
        <v>43</v>
      </c>
      <c r="D95" s="7" t="s">
        <v>295</v>
      </c>
      <c r="E95" s="7" t="s">
        <v>296</v>
      </c>
      <c r="F95" s="7" t="s">
        <v>215</v>
      </c>
      <c r="G95" s="5" t="s">
        <v>15</v>
      </c>
      <c r="H95" s="7"/>
      <c r="I95" s="7"/>
    </row>
    <row r="96" customFormat="false" ht="12.75" hidden="false" customHeight="true" outlineLevel="0" collapsed="false">
      <c r="A96" s="3" t="s">
        <v>293</v>
      </c>
      <c r="B96" s="4" t="s">
        <v>294</v>
      </c>
      <c r="C96" s="4" t="s">
        <v>43</v>
      </c>
      <c r="D96" s="4" t="s">
        <v>295</v>
      </c>
      <c r="E96" s="4" t="s">
        <v>297</v>
      </c>
      <c r="F96" s="4" t="s">
        <v>270</v>
      </c>
      <c r="G96" s="5" t="s">
        <v>15</v>
      </c>
      <c r="H96" s="4"/>
      <c r="I96" s="4"/>
    </row>
    <row r="97" customFormat="false" ht="12.75" hidden="false" customHeight="true" outlineLevel="0" collapsed="false">
      <c r="A97" s="6" t="s">
        <v>298</v>
      </c>
      <c r="B97" s="7" t="s">
        <v>299</v>
      </c>
      <c r="C97" s="7" t="s">
        <v>43</v>
      </c>
      <c r="D97" s="7" t="s">
        <v>300</v>
      </c>
      <c r="E97" s="7" t="s">
        <v>301</v>
      </c>
      <c r="F97" s="7" t="s">
        <v>100</v>
      </c>
      <c r="G97" s="5" t="s">
        <v>15</v>
      </c>
      <c r="H97" s="7"/>
      <c r="I97" s="7"/>
    </row>
    <row r="98" customFormat="false" ht="12.75" hidden="false" customHeight="true" outlineLevel="0" collapsed="false">
      <c r="A98" s="3" t="s">
        <v>298</v>
      </c>
      <c r="B98" s="4" t="s">
        <v>299</v>
      </c>
      <c r="C98" s="4" t="s">
        <v>43</v>
      </c>
      <c r="D98" s="4" t="s">
        <v>300</v>
      </c>
      <c r="E98" s="4" t="s">
        <v>302</v>
      </c>
      <c r="F98" s="4" t="s">
        <v>270</v>
      </c>
      <c r="G98" s="5" t="s">
        <v>15</v>
      </c>
      <c r="H98" s="4"/>
      <c r="I98" s="4"/>
    </row>
    <row r="99" customFormat="false" ht="12.75" hidden="false" customHeight="true" outlineLevel="0" collapsed="false">
      <c r="A99" s="6" t="s">
        <v>298</v>
      </c>
      <c r="B99" s="7" t="s">
        <v>299</v>
      </c>
      <c r="C99" s="7" t="s">
        <v>43</v>
      </c>
      <c r="D99" s="7" t="s">
        <v>300</v>
      </c>
      <c r="E99" s="7" t="s">
        <v>303</v>
      </c>
      <c r="F99" s="7" t="s">
        <v>270</v>
      </c>
      <c r="G99" s="5" t="s">
        <v>15</v>
      </c>
      <c r="H99" s="7"/>
      <c r="I99" s="7"/>
    </row>
    <row r="100" customFormat="false" ht="12.75" hidden="false" customHeight="true" outlineLevel="0" collapsed="false">
      <c r="A100" s="3" t="s">
        <v>304</v>
      </c>
      <c r="B100" s="4" t="s">
        <v>120</v>
      </c>
      <c r="C100" s="4" t="s">
        <v>43</v>
      </c>
      <c r="D100" s="4" t="s">
        <v>305</v>
      </c>
      <c r="E100" s="4" t="s">
        <v>306</v>
      </c>
      <c r="F100" s="4" t="s">
        <v>100</v>
      </c>
      <c r="G100" s="5" t="s">
        <v>15</v>
      </c>
      <c r="H100" s="4"/>
      <c r="I100" s="4"/>
    </row>
    <row r="101" customFormat="false" ht="12.75" hidden="false" customHeight="true" outlineLevel="0" collapsed="false">
      <c r="A101" s="6" t="s">
        <v>304</v>
      </c>
      <c r="B101" s="7" t="s">
        <v>120</v>
      </c>
      <c r="C101" s="7" t="s">
        <v>43</v>
      </c>
      <c r="D101" s="7" t="s">
        <v>305</v>
      </c>
      <c r="E101" s="7" t="s">
        <v>307</v>
      </c>
      <c r="F101" s="7" t="s">
        <v>100</v>
      </c>
      <c r="G101" s="5" t="s">
        <v>15</v>
      </c>
      <c r="H101" s="7"/>
      <c r="I101" s="7"/>
    </row>
    <row r="102" customFormat="false" ht="12.75" hidden="false" customHeight="true" outlineLevel="0" collapsed="false">
      <c r="A102" s="3" t="s">
        <v>304</v>
      </c>
      <c r="B102" s="4" t="s">
        <v>120</v>
      </c>
      <c r="C102" s="4" t="s">
        <v>43</v>
      </c>
      <c r="D102" s="4" t="s">
        <v>305</v>
      </c>
      <c r="E102" s="4" t="s">
        <v>308</v>
      </c>
      <c r="F102" s="4" t="s">
        <v>215</v>
      </c>
      <c r="G102" s="5" t="s">
        <v>15</v>
      </c>
      <c r="H102" s="4"/>
      <c r="I102" s="4"/>
    </row>
    <row r="103" customFormat="false" ht="12.75" hidden="false" customHeight="true" outlineLevel="0" collapsed="false">
      <c r="A103" s="6" t="s">
        <v>304</v>
      </c>
      <c r="B103" s="7" t="s">
        <v>120</v>
      </c>
      <c r="C103" s="7" t="s">
        <v>43</v>
      </c>
      <c r="D103" s="7" t="s">
        <v>305</v>
      </c>
      <c r="E103" s="7" t="s">
        <v>309</v>
      </c>
      <c r="F103" s="7" t="s">
        <v>215</v>
      </c>
      <c r="G103" s="5" t="s">
        <v>15</v>
      </c>
      <c r="H103" s="7"/>
      <c r="I103" s="7"/>
    </row>
    <row r="104" customFormat="false" ht="12.75" hidden="false" customHeight="true" outlineLevel="0" collapsed="false">
      <c r="A104" s="3" t="s">
        <v>304</v>
      </c>
      <c r="B104" s="4" t="s">
        <v>120</v>
      </c>
      <c r="C104" s="4" t="s">
        <v>43</v>
      </c>
      <c r="D104" s="4" t="s">
        <v>305</v>
      </c>
      <c r="E104" s="4" t="s">
        <v>310</v>
      </c>
      <c r="F104" s="4" t="s">
        <v>270</v>
      </c>
      <c r="G104" s="5" t="s">
        <v>15</v>
      </c>
      <c r="H104" s="4"/>
      <c r="I104" s="4"/>
    </row>
    <row r="105" customFormat="false" ht="12.75" hidden="false" customHeight="true" outlineLevel="0" collapsed="false">
      <c r="A105" s="6" t="s">
        <v>304</v>
      </c>
      <c r="B105" s="7" t="s">
        <v>120</v>
      </c>
      <c r="C105" s="7" t="s">
        <v>43</v>
      </c>
      <c r="D105" s="7" t="s">
        <v>305</v>
      </c>
      <c r="E105" s="7" t="s">
        <v>311</v>
      </c>
      <c r="F105" s="7" t="s">
        <v>270</v>
      </c>
      <c r="G105" s="5" t="s">
        <v>15</v>
      </c>
      <c r="H105" s="7"/>
      <c r="I105" s="7"/>
    </row>
    <row r="106" customFormat="false" ht="12.75" hidden="false" customHeight="true" outlineLevel="0" collapsed="false">
      <c r="A106" s="3" t="s">
        <v>304</v>
      </c>
      <c r="B106" s="4" t="s">
        <v>120</v>
      </c>
      <c r="C106" s="4" t="s">
        <v>43</v>
      </c>
      <c r="D106" s="4" t="s">
        <v>305</v>
      </c>
      <c r="E106" s="4" t="s">
        <v>312</v>
      </c>
      <c r="F106" s="4" t="s">
        <v>270</v>
      </c>
      <c r="G106" s="5" t="s">
        <v>15</v>
      </c>
      <c r="H106" s="4"/>
      <c r="I106" s="4"/>
    </row>
    <row r="107" customFormat="false" ht="12.75" hidden="false" customHeight="true" outlineLevel="0" collapsed="false">
      <c r="A107" s="6" t="s">
        <v>313</v>
      </c>
      <c r="B107" s="7" t="s">
        <v>120</v>
      </c>
      <c r="C107" s="7" t="s">
        <v>43</v>
      </c>
      <c r="D107" s="7" t="s">
        <v>314</v>
      </c>
      <c r="E107" s="7" t="s">
        <v>315</v>
      </c>
      <c r="F107" s="7" t="s">
        <v>100</v>
      </c>
      <c r="G107" s="5" t="s">
        <v>15</v>
      </c>
      <c r="H107" s="7"/>
      <c r="I107" s="7"/>
    </row>
    <row r="108" customFormat="false" ht="12.75" hidden="false" customHeight="true" outlineLevel="0" collapsed="false">
      <c r="A108" s="3" t="s">
        <v>316</v>
      </c>
      <c r="B108" s="4" t="s">
        <v>317</v>
      </c>
      <c r="C108" s="4" t="s">
        <v>43</v>
      </c>
      <c r="D108" s="4" t="s">
        <v>318</v>
      </c>
      <c r="E108" s="4" t="s">
        <v>319</v>
      </c>
      <c r="F108" s="4" t="s">
        <v>215</v>
      </c>
      <c r="G108" s="5" t="s">
        <v>15</v>
      </c>
      <c r="H108" s="4"/>
      <c r="I108" s="4"/>
    </row>
    <row r="109" customFormat="false" ht="12.75" hidden="false" customHeight="true" outlineLevel="0" collapsed="false">
      <c r="A109" s="6" t="s">
        <v>316</v>
      </c>
      <c r="B109" s="7" t="s">
        <v>317</v>
      </c>
      <c r="C109" s="7" t="s">
        <v>43</v>
      </c>
      <c r="D109" s="7" t="s">
        <v>318</v>
      </c>
      <c r="E109" s="7" t="s">
        <v>320</v>
      </c>
      <c r="F109" s="7" t="s">
        <v>215</v>
      </c>
      <c r="G109" s="5" t="s">
        <v>15</v>
      </c>
      <c r="H109" s="7"/>
      <c r="I109" s="7"/>
    </row>
    <row r="110" customFormat="false" ht="12.75" hidden="false" customHeight="true" outlineLevel="0" collapsed="false">
      <c r="A110" s="3" t="s">
        <v>316</v>
      </c>
      <c r="B110" s="4" t="s">
        <v>317</v>
      </c>
      <c r="C110" s="4" t="s">
        <v>43</v>
      </c>
      <c r="D110" s="4" t="s">
        <v>318</v>
      </c>
      <c r="E110" s="4" t="s">
        <v>321</v>
      </c>
      <c r="F110" s="4" t="s">
        <v>270</v>
      </c>
      <c r="G110" s="5" t="s">
        <v>15</v>
      </c>
      <c r="H110" s="4"/>
      <c r="I110" s="4"/>
    </row>
    <row r="111" customFormat="false" ht="12.75" hidden="false" customHeight="true" outlineLevel="0" collapsed="false">
      <c r="A111" s="6" t="s">
        <v>316</v>
      </c>
      <c r="B111" s="7" t="s">
        <v>317</v>
      </c>
      <c r="C111" s="7" t="s">
        <v>43</v>
      </c>
      <c r="D111" s="7" t="s">
        <v>318</v>
      </c>
      <c r="E111" s="7" t="s">
        <v>322</v>
      </c>
      <c r="F111" s="7" t="s">
        <v>270</v>
      </c>
      <c r="G111" s="5" t="s">
        <v>15</v>
      </c>
      <c r="H111" s="7"/>
      <c r="I111" s="7"/>
    </row>
    <row r="112" customFormat="false" ht="12.75" hidden="false" customHeight="true" outlineLevel="0" collapsed="false">
      <c r="A112" s="3" t="s">
        <v>323</v>
      </c>
      <c r="B112" s="4" t="s">
        <v>324</v>
      </c>
      <c r="C112" s="4" t="s">
        <v>43</v>
      </c>
      <c r="D112" s="4" t="s">
        <v>325</v>
      </c>
      <c r="E112" s="4" t="s">
        <v>326</v>
      </c>
      <c r="F112" s="4" t="s">
        <v>21</v>
      </c>
      <c r="G112" s="5" t="s">
        <v>15</v>
      </c>
      <c r="H112" s="4"/>
      <c r="I112" s="4"/>
    </row>
    <row r="113" customFormat="false" ht="12.75" hidden="false" customHeight="true" outlineLevel="0" collapsed="false">
      <c r="A113" s="6" t="s">
        <v>327</v>
      </c>
      <c r="B113" s="7" t="s">
        <v>328</v>
      </c>
      <c r="C113" s="7" t="s">
        <v>43</v>
      </c>
      <c r="D113" s="7" t="s">
        <v>329</v>
      </c>
      <c r="E113" s="7" t="s">
        <v>330</v>
      </c>
      <c r="F113" s="7" t="s">
        <v>270</v>
      </c>
      <c r="G113" s="5" t="s">
        <v>15</v>
      </c>
      <c r="H113" s="7"/>
      <c r="I113" s="7"/>
    </row>
    <row r="114" customFormat="false" ht="12.75" hidden="false" customHeight="true" outlineLevel="0" collapsed="false">
      <c r="A114" s="3" t="s">
        <v>331</v>
      </c>
      <c r="B114" s="4" t="s">
        <v>332</v>
      </c>
      <c r="C114" s="4" t="s">
        <v>43</v>
      </c>
      <c r="D114" s="4" t="s">
        <v>333</v>
      </c>
      <c r="E114" s="4" t="s">
        <v>334</v>
      </c>
      <c r="F114" s="4" t="s">
        <v>215</v>
      </c>
      <c r="G114" s="5" t="s">
        <v>15</v>
      </c>
      <c r="H114" s="4"/>
      <c r="I114" s="4"/>
    </row>
    <row r="115" customFormat="false" ht="12.75" hidden="false" customHeight="true" outlineLevel="0" collapsed="false">
      <c r="A115" s="6" t="s">
        <v>331</v>
      </c>
      <c r="B115" s="7" t="s">
        <v>332</v>
      </c>
      <c r="C115" s="7" t="s">
        <v>43</v>
      </c>
      <c r="D115" s="7" t="s">
        <v>333</v>
      </c>
      <c r="E115" s="7" t="s">
        <v>335</v>
      </c>
      <c r="F115" s="7" t="s">
        <v>215</v>
      </c>
      <c r="G115" s="5" t="s">
        <v>15</v>
      </c>
      <c r="H115" s="7"/>
      <c r="I115" s="7"/>
    </row>
    <row r="116" customFormat="false" ht="12.75" hidden="false" customHeight="true" outlineLevel="0" collapsed="false">
      <c r="A116" s="3" t="s">
        <v>331</v>
      </c>
      <c r="B116" s="4" t="s">
        <v>332</v>
      </c>
      <c r="C116" s="4" t="s">
        <v>43</v>
      </c>
      <c r="D116" s="4" t="s">
        <v>333</v>
      </c>
      <c r="E116" s="4" t="s">
        <v>336</v>
      </c>
      <c r="F116" s="4" t="s">
        <v>270</v>
      </c>
      <c r="G116" s="5" t="s">
        <v>15</v>
      </c>
      <c r="H116" s="4"/>
      <c r="I116" s="4"/>
    </row>
    <row r="117" customFormat="false" ht="12.75" hidden="false" customHeight="true" outlineLevel="0" collapsed="false">
      <c r="A117" s="6" t="s">
        <v>331</v>
      </c>
      <c r="B117" s="7" t="s">
        <v>332</v>
      </c>
      <c r="C117" s="7" t="s">
        <v>43</v>
      </c>
      <c r="D117" s="7" t="s">
        <v>333</v>
      </c>
      <c r="E117" s="7" t="s">
        <v>337</v>
      </c>
      <c r="F117" s="7" t="s">
        <v>270</v>
      </c>
      <c r="G117" s="5" t="s">
        <v>15</v>
      </c>
      <c r="H117" s="7"/>
      <c r="I117" s="7"/>
    </row>
    <row r="118" customFormat="false" ht="12.75" hidden="false" customHeight="true" outlineLevel="0" collapsed="false">
      <c r="A118" s="3" t="s">
        <v>338</v>
      </c>
      <c r="B118" s="4" t="s">
        <v>339</v>
      </c>
      <c r="C118" s="4" t="s">
        <v>43</v>
      </c>
      <c r="D118" s="4" t="s">
        <v>340</v>
      </c>
      <c r="E118" s="4" t="s">
        <v>341</v>
      </c>
      <c r="F118" s="4" t="s">
        <v>215</v>
      </c>
      <c r="G118" s="5" t="s">
        <v>15</v>
      </c>
      <c r="H118" s="4"/>
      <c r="I118" s="4"/>
    </row>
    <row r="119" customFormat="false" ht="12.75" hidden="false" customHeight="true" outlineLevel="0" collapsed="false">
      <c r="A119" s="6" t="s">
        <v>338</v>
      </c>
      <c r="B119" s="7" t="s">
        <v>339</v>
      </c>
      <c r="C119" s="7" t="s">
        <v>43</v>
      </c>
      <c r="D119" s="7" t="s">
        <v>340</v>
      </c>
      <c r="E119" s="7" t="s">
        <v>342</v>
      </c>
      <c r="F119" s="7" t="s">
        <v>215</v>
      </c>
      <c r="G119" s="5" t="s">
        <v>15</v>
      </c>
      <c r="H119" s="7"/>
      <c r="I119" s="7"/>
    </row>
    <row r="120" customFormat="false" ht="12.75" hidden="false" customHeight="true" outlineLevel="0" collapsed="false">
      <c r="A120" s="3" t="s">
        <v>343</v>
      </c>
      <c r="B120" s="4" t="s">
        <v>344</v>
      </c>
      <c r="C120" s="4" t="s">
        <v>43</v>
      </c>
      <c r="D120" s="4" t="s">
        <v>345</v>
      </c>
      <c r="E120" s="4" t="s">
        <v>346</v>
      </c>
      <c r="F120" s="4" t="s">
        <v>100</v>
      </c>
      <c r="G120" s="5" t="s">
        <v>15</v>
      </c>
      <c r="H120" s="4"/>
      <c r="I120" s="4"/>
    </row>
    <row r="121" customFormat="false" ht="12.75" hidden="false" customHeight="true" outlineLevel="0" collapsed="false">
      <c r="A121" s="6" t="s">
        <v>343</v>
      </c>
      <c r="B121" s="7" t="s">
        <v>344</v>
      </c>
      <c r="C121" s="7" t="s">
        <v>43</v>
      </c>
      <c r="D121" s="7" t="s">
        <v>345</v>
      </c>
      <c r="E121" s="7" t="s">
        <v>347</v>
      </c>
      <c r="F121" s="7" t="s">
        <v>100</v>
      </c>
      <c r="G121" s="5" t="s">
        <v>15</v>
      </c>
      <c r="H121" s="7"/>
      <c r="I121" s="7"/>
    </row>
    <row r="122" customFormat="false" ht="12.75" hidden="false" customHeight="true" outlineLevel="0" collapsed="false">
      <c r="A122" s="3" t="s">
        <v>343</v>
      </c>
      <c r="B122" s="4" t="s">
        <v>344</v>
      </c>
      <c r="C122" s="4" t="s">
        <v>43</v>
      </c>
      <c r="D122" s="4" t="s">
        <v>345</v>
      </c>
      <c r="E122" s="4" t="s">
        <v>348</v>
      </c>
      <c r="F122" s="4" t="s">
        <v>215</v>
      </c>
      <c r="G122" s="5" t="s">
        <v>15</v>
      </c>
      <c r="H122" s="4"/>
      <c r="I122" s="4"/>
    </row>
    <row r="123" customFormat="false" ht="12.75" hidden="false" customHeight="true" outlineLevel="0" collapsed="false">
      <c r="A123" s="6" t="s">
        <v>343</v>
      </c>
      <c r="B123" s="7" t="s">
        <v>344</v>
      </c>
      <c r="C123" s="7" t="s">
        <v>43</v>
      </c>
      <c r="D123" s="7" t="s">
        <v>345</v>
      </c>
      <c r="E123" s="7" t="s">
        <v>349</v>
      </c>
      <c r="F123" s="7" t="s">
        <v>215</v>
      </c>
      <c r="G123" s="5" t="s">
        <v>15</v>
      </c>
      <c r="H123" s="7"/>
      <c r="I123" s="7"/>
    </row>
    <row r="124" customFormat="false" ht="12.75" hidden="false" customHeight="true" outlineLevel="0" collapsed="false">
      <c r="A124" s="3" t="s">
        <v>343</v>
      </c>
      <c r="B124" s="4" t="s">
        <v>344</v>
      </c>
      <c r="C124" s="4" t="s">
        <v>43</v>
      </c>
      <c r="D124" s="4" t="s">
        <v>345</v>
      </c>
      <c r="E124" s="4" t="s">
        <v>350</v>
      </c>
      <c r="F124" s="4" t="s">
        <v>215</v>
      </c>
      <c r="G124" s="5" t="s">
        <v>15</v>
      </c>
      <c r="H124" s="4"/>
      <c r="I124" s="4"/>
    </row>
    <row r="125" customFormat="false" ht="12.75" hidden="false" customHeight="true" outlineLevel="0" collapsed="false">
      <c r="A125" s="6" t="s">
        <v>343</v>
      </c>
      <c r="B125" s="7" t="s">
        <v>344</v>
      </c>
      <c r="C125" s="7" t="s">
        <v>43</v>
      </c>
      <c r="D125" s="7" t="s">
        <v>345</v>
      </c>
      <c r="E125" s="7" t="s">
        <v>351</v>
      </c>
      <c r="F125" s="7" t="s">
        <v>215</v>
      </c>
      <c r="G125" s="5" t="s">
        <v>15</v>
      </c>
      <c r="H125" s="7"/>
      <c r="I125" s="7"/>
    </row>
    <row r="126" customFormat="false" ht="12.75" hidden="false" customHeight="true" outlineLevel="0" collapsed="false">
      <c r="A126" s="3" t="s">
        <v>343</v>
      </c>
      <c r="B126" s="4" t="s">
        <v>344</v>
      </c>
      <c r="C126" s="4" t="s">
        <v>43</v>
      </c>
      <c r="D126" s="4" t="s">
        <v>345</v>
      </c>
      <c r="E126" s="4" t="s">
        <v>352</v>
      </c>
      <c r="F126" s="4" t="s">
        <v>215</v>
      </c>
      <c r="G126" s="5" t="s">
        <v>15</v>
      </c>
      <c r="H126" s="4"/>
      <c r="I126" s="4"/>
    </row>
    <row r="127" customFormat="false" ht="12.75" hidden="false" customHeight="true" outlineLevel="0" collapsed="false">
      <c r="A127" s="6" t="s">
        <v>353</v>
      </c>
      <c r="B127" s="7" t="s">
        <v>77</v>
      </c>
      <c r="C127" s="7" t="s">
        <v>43</v>
      </c>
      <c r="D127" s="7" t="s">
        <v>354</v>
      </c>
      <c r="E127" s="7" t="s">
        <v>355</v>
      </c>
      <c r="F127" s="7" t="s">
        <v>100</v>
      </c>
      <c r="G127" s="5" t="s">
        <v>15</v>
      </c>
      <c r="H127" s="7"/>
      <c r="I127" s="7"/>
    </row>
    <row r="128" customFormat="false" ht="12.75" hidden="false" customHeight="true" outlineLevel="0" collapsed="false">
      <c r="A128" s="3" t="s">
        <v>356</v>
      </c>
      <c r="B128" s="4" t="s">
        <v>357</v>
      </c>
      <c r="C128" s="4" t="s">
        <v>43</v>
      </c>
      <c r="D128" s="4" t="s">
        <v>358</v>
      </c>
      <c r="E128" s="4" t="s">
        <v>359</v>
      </c>
      <c r="F128" s="4" t="s">
        <v>215</v>
      </c>
      <c r="G128" s="5" t="s">
        <v>15</v>
      </c>
      <c r="H128" s="4"/>
      <c r="I128" s="4"/>
    </row>
    <row r="129" customFormat="false" ht="12.75" hidden="false" customHeight="true" outlineLevel="0" collapsed="false">
      <c r="A129" s="6" t="s">
        <v>356</v>
      </c>
      <c r="B129" s="7" t="s">
        <v>357</v>
      </c>
      <c r="C129" s="7" t="s">
        <v>43</v>
      </c>
      <c r="D129" s="7" t="s">
        <v>358</v>
      </c>
      <c r="E129" s="7" t="s">
        <v>360</v>
      </c>
      <c r="F129" s="7" t="s">
        <v>270</v>
      </c>
      <c r="G129" s="5" t="s">
        <v>15</v>
      </c>
      <c r="H129" s="7"/>
      <c r="I129" s="7"/>
    </row>
    <row r="130" customFormat="false" ht="12.75" hidden="false" customHeight="true" outlineLevel="0" collapsed="false">
      <c r="A130" s="3" t="s">
        <v>356</v>
      </c>
      <c r="B130" s="4" t="s">
        <v>357</v>
      </c>
      <c r="C130" s="4" t="s">
        <v>43</v>
      </c>
      <c r="D130" s="4" t="s">
        <v>358</v>
      </c>
      <c r="E130" s="4" t="s">
        <v>361</v>
      </c>
      <c r="F130" s="4" t="s">
        <v>270</v>
      </c>
      <c r="G130" s="5" t="s">
        <v>15</v>
      </c>
      <c r="H130" s="4"/>
      <c r="I130" s="4"/>
    </row>
    <row r="131" customFormat="false" ht="12.75" hidden="false" customHeight="true" outlineLevel="0" collapsed="false">
      <c r="A131" s="6" t="s">
        <v>356</v>
      </c>
      <c r="B131" s="7" t="s">
        <v>357</v>
      </c>
      <c r="C131" s="7" t="s">
        <v>43</v>
      </c>
      <c r="D131" s="7" t="s">
        <v>358</v>
      </c>
      <c r="E131" s="7" t="s">
        <v>362</v>
      </c>
      <c r="F131" s="7" t="s">
        <v>270</v>
      </c>
      <c r="G131" s="5" t="s">
        <v>15</v>
      </c>
      <c r="H131" s="7"/>
      <c r="I131" s="7"/>
    </row>
    <row r="132" customFormat="false" ht="12.75" hidden="false" customHeight="true" outlineLevel="0" collapsed="false">
      <c r="A132" s="3" t="s">
        <v>356</v>
      </c>
      <c r="B132" s="4" t="s">
        <v>357</v>
      </c>
      <c r="C132" s="4" t="s">
        <v>43</v>
      </c>
      <c r="D132" s="4" t="s">
        <v>358</v>
      </c>
      <c r="E132" s="4" t="s">
        <v>363</v>
      </c>
      <c r="F132" s="4" t="s">
        <v>270</v>
      </c>
      <c r="G132" s="5" t="s">
        <v>15</v>
      </c>
      <c r="H132" s="4"/>
      <c r="I132" s="4"/>
    </row>
    <row r="133" customFormat="false" ht="12.75" hidden="false" customHeight="true" outlineLevel="0" collapsed="false">
      <c r="A133" s="6" t="s">
        <v>364</v>
      </c>
      <c r="B133" s="7" t="s">
        <v>365</v>
      </c>
      <c r="C133" s="7" t="s">
        <v>43</v>
      </c>
      <c r="D133" s="7" t="s">
        <v>366</v>
      </c>
      <c r="E133" s="7" t="s">
        <v>367</v>
      </c>
      <c r="F133" s="7" t="s">
        <v>100</v>
      </c>
      <c r="G133" s="5" t="s">
        <v>15</v>
      </c>
      <c r="H133" s="7"/>
      <c r="I133" s="7"/>
    </row>
    <row r="134" customFormat="false" ht="12.75" hidden="false" customHeight="true" outlineLevel="0" collapsed="false">
      <c r="A134" s="3" t="s">
        <v>368</v>
      </c>
      <c r="B134" s="4" t="s">
        <v>369</v>
      </c>
      <c r="C134" s="4" t="s">
        <v>43</v>
      </c>
      <c r="D134" s="4" t="s">
        <v>370</v>
      </c>
      <c r="E134" s="4" t="s">
        <v>371</v>
      </c>
      <c r="F134" s="4" t="s">
        <v>14</v>
      </c>
      <c r="G134" s="5" t="s">
        <v>15</v>
      </c>
      <c r="H134" s="4"/>
      <c r="I134" s="4"/>
    </row>
    <row r="135" customFormat="false" ht="12.75" hidden="false" customHeight="true" outlineLevel="0" collapsed="false">
      <c r="A135" s="6" t="s">
        <v>372</v>
      </c>
      <c r="B135" s="7" t="s">
        <v>373</v>
      </c>
      <c r="C135" s="7" t="s">
        <v>43</v>
      </c>
      <c r="D135" s="7" t="s">
        <v>374</v>
      </c>
      <c r="E135" s="7" t="s">
        <v>375</v>
      </c>
      <c r="F135" s="7" t="s">
        <v>270</v>
      </c>
      <c r="G135" s="5" t="s">
        <v>15</v>
      </c>
      <c r="H135" s="7"/>
      <c r="I135" s="7"/>
    </row>
    <row r="136" customFormat="false" ht="12.75" hidden="false" customHeight="true" outlineLevel="0" collapsed="false">
      <c r="A136" s="3" t="s">
        <v>376</v>
      </c>
      <c r="B136" s="4" t="s">
        <v>377</v>
      </c>
      <c r="C136" s="4" t="s">
        <v>43</v>
      </c>
      <c r="D136" s="4" t="s">
        <v>378</v>
      </c>
      <c r="E136" s="4" t="s">
        <v>379</v>
      </c>
      <c r="F136" s="4" t="s">
        <v>100</v>
      </c>
      <c r="G136" s="5" t="s">
        <v>15</v>
      </c>
      <c r="H136" s="4"/>
      <c r="I136" s="4"/>
    </row>
    <row r="137" customFormat="false" ht="12.75" hidden="false" customHeight="true" outlineLevel="0" collapsed="false">
      <c r="A137" s="6" t="s">
        <v>376</v>
      </c>
      <c r="B137" s="7" t="s">
        <v>377</v>
      </c>
      <c r="C137" s="7" t="s">
        <v>43</v>
      </c>
      <c r="D137" s="7" t="s">
        <v>378</v>
      </c>
      <c r="E137" s="7" t="s">
        <v>380</v>
      </c>
      <c r="F137" s="7" t="s">
        <v>215</v>
      </c>
      <c r="G137" s="5" t="s">
        <v>15</v>
      </c>
      <c r="H137" s="7"/>
      <c r="I137" s="7"/>
    </row>
    <row r="138" customFormat="false" ht="12.75" hidden="false" customHeight="true" outlineLevel="0" collapsed="false">
      <c r="A138" s="3" t="s">
        <v>376</v>
      </c>
      <c r="B138" s="4" t="s">
        <v>377</v>
      </c>
      <c r="C138" s="4" t="s">
        <v>43</v>
      </c>
      <c r="D138" s="4" t="s">
        <v>378</v>
      </c>
      <c r="E138" s="4" t="s">
        <v>381</v>
      </c>
      <c r="F138" s="4" t="s">
        <v>270</v>
      </c>
      <c r="G138" s="5" t="s">
        <v>15</v>
      </c>
      <c r="H138" s="4"/>
      <c r="I138" s="4"/>
    </row>
    <row r="139" customFormat="false" ht="12.75" hidden="false" customHeight="true" outlineLevel="0" collapsed="false">
      <c r="A139" s="6" t="s">
        <v>376</v>
      </c>
      <c r="B139" s="7" t="s">
        <v>377</v>
      </c>
      <c r="C139" s="7" t="s">
        <v>43</v>
      </c>
      <c r="D139" s="7" t="s">
        <v>378</v>
      </c>
      <c r="E139" s="7" t="s">
        <v>382</v>
      </c>
      <c r="F139" s="7" t="s">
        <v>270</v>
      </c>
      <c r="G139" s="5" t="s">
        <v>15</v>
      </c>
      <c r="H139" s="7"/>
      <c r="I139" s="7"/>
    </row>
    <row r="140" customFormat="false" ht="12.75" hidden="false" customHeight="true" outlineLevel="0" collapsed="false">
      <c r="A140" s="3" t="s">
        <v>376</v>
      </c>
      <c r="B140" s="4" t="s">
        <v>377</v>
      </c>
      <c r="C140" s="4" t="s">
        <v>43</v>
      </c>
      <c r="D140" s="4" t="s">
        <v>378</v>
      </c>
      <c r="E140" s="4" t="s">
        <v>383</v>
      </c>
      <c r="F140" s="4" t="s">
        <v>270</v>
      </c>
      <c r="G140" s="5" t="s">
        <v>15</v>
      </c>
      <c r="H140" s="4"/>
      <c r="I140" s="4"/>
    </row>
    <row r="141" customFormat="false" ht="12.75" hidden="false" customHeight="true" outlineLevel="0" collapsed="false">
      <c r="A141" s="6" t="s">
        <v>384</v>
      </c>
      <c r="B141" s="7" t="s">
        <v>385</v>
      </c>
      <c r="C141" s="7" t="s">
        <v>43</v>
      </c>
      <c r="D141" s="7" t="s">
        <v>386</v>
      </c>
      <c r="E141" s="7" t="s">
        <v>387</v>
      </c>
      <c r="F141" s="7" t="s">
        <v>100</v>
      </c>
      <c r="G141" s="5" t="s">
        <v>15</v>
      </c>
      <c r="H141" s="7"/>
      <c r="I141" s="7"/>
    </row>
    <row r="142" customFormat="false" ht="12.75" hidden="false" customHeight="true" outlineLevel="0" collapsed="false">
      <c r="A142" s="3" t="s">
        <v>384</v>
      </c>
      <c r="B142" s="4" t="s">
        <v>385</v>
      </c>
      <c r="C142" s="4" t="s">
        <v>43</v>
      </c>
      <c r="D142" s="4" t="s">
        <v>386</v>
      </c>
      <c r="E142" s="4" t="s">
        <v>388</v>
      </c>
      <c r="F142" s="4" t="s">
        <v>100</v>
      </c>
      <c r="G142" s="5" t="s">
        <v>15</v>
      </c>
      <c r="H142" s="4"/>
      <c r="I142" s="4"/>
    </row>
    <row r="143" customFormat="false" ht="12.75" hidden="false" customHeight="true" outlineLevel="0" collapsed="false">
      <c r="A143" s="6" t="s">
        <v>384</v>
      </c>
      <c r="B143" s="7" t="s">
        <v>385</v>
      </c>
      <c r="C143" s="7" t="s">
        <v>43</v>
      </c>
      <c r="D143" s="7" t="s">
        <v>386</v>
      </c>
      <c r="E143" s="7" t="s">
        <v>389</v>
      </c>
      <c r="F143" s="7" t="s">
        <v>100</v>
      </c>
      <c r="G143" s="5" t="s">
        <v>15</v>
      </c>
      <c r="H143" s="7"/>
      <c r="I143" s="7"/>
    </row>
    <row r="144" customFormat="false" ht="12.75" hidden="false" customHeight="true" outlineLevel="0" collapsed="false">
      <c r="A144" s="3" t="s">
        <v>384</v>
      </c>
      <c r="B144" s="4" t="s">
        <v>385</v>
      </c>
      <c r="C144" s="4" t="s">
        <v>43</v>
      </c>
      <c r="D144" s="4" t="s">
        <v>386</v>
      </c>
      <c r="E144" s="4" t="s">
        <v>390</v>
      </c>
      <c r="F144" s="4" t="s">
        <v>100</v>
      </c>
      <c r="G144" s="5" t="s">
        <v>15</v>
      </c>
      <c r="H144" s="4"/>
      <c r="I144" s="4"/>
    </row>
    <row r="145" customFormat="false" ht="12.75" hidden="false" customHeight="true" outlineLevel="0" collapsed="false">
      <c r="A145" s="6" t="s">
        <v>391</v>
      </c>
      <c r="B145" s="7" t="s">
        <v>365</v>
      </c>
      <c r="C145" s="7" t="s">
        <v>43</v>
      </c>
      <c r="D145" s="7" t="s">
        <v>392</v>
      </c>
      <c r="E145" s="7" t="s">
        <v>393</v>
      </c>
      <c r="F145" s="7" t="s">
        <v>270</v>
      </c>
      <c r="G145" s="5" t="s">
        <v>15</v>
      </c>
      <c r="H145" s="7"/>
      <c r="I145" s="7"/>
    </row>
    <row r="146" customFormat="false" ht="12.75" hidden="false" customHeight="true" outlineLevel="0" collapsed="false">
      <c r="A146" s="3" t="s">
        <v>394</v>
      </c>
      <c r="B146" s="4" t="s">
        <v>395</v>
      </c>
      <c r="C146" s="4" t="s">
        <v>43</v>
      </c>
      <c r="D146" s="4" t="s">
        <v>396</v>
      </c>
      <c r="E146" s="4" t="s">
        <v>397</v>
      </c>
      <c r="F146" s="4" t="s">
        <v>215</v>
      </c>
      <c r="G146" s="5" t="s">
        <v>15</v>
      </c>
      <c r="H146" s="4"/>
      <c r="I146" s="4"/>
    </row>
    <row r="147" customFormat="false" ht="12.75" hidden="false" customHeight="true" outlineLevel="0" collapsed="false">
      <c r="A147" s="6" t="s">
        <v>394</v>
      </c>
      <c r="B147" s="7" t="s">
        <v>395</v>
      </c>
      <c r="C147" s="7" t="s">
        <v>43</v>
      </c>
      <c r="D147" s="7" t="s">
        <v>396</v>
      </c>
      <c r="E147" s="7" t="s">
        <v>398</v>
      </c>
      <c r="F147" s="7" t="s">
        <v>215</v>
      </c>
      <c r="G147" s="5" t="s">
        <v>15</v>
      </c>
      <c r="H147" s="7"/>
      <c r="I147" s="7"/>
    </row>
    <row r="148" customFormat="false" ht="12.75" hidden="false" customHeight="true" outlineLevel="0" collapsed="false">
      <c r="A148" s="3" t="s">
        <v>394</v>
      </c>
      <c r="B148" s="4" t="s">
        <v>395</v>
      </c>
      <c r="C148" s="4" t="s">
        <v>43</v>
      </c>
      <c r="D148" s="4" t="s">
        <v>396</v>
      </c>
      <c r="E148" s="4" t="s">
        <v>399</v>
      </c>
      <c r="F148" s="4" t="s">
        <v>270</v>
      </c>
      <c r="G148" s="5" t="s">
        <v>15</v>
      </c>
      <c r="H148" s="4"/>
      <c r="I148" s="4"/>
    </row>
    <row r="149" customFormat="false" ht="12.75" hidden="false" customHeight="true" outlineLevel="0" collapsed="false">
      <c r="A149" s="6" t="s">
        <v>400</v>
      </c>
      <c r="B149" s="7" t="s">
        <v>401</v>
      </c>
      <c r="C149" s="7" t="s">
        <v>43</v>
      </c>
      <c r="D149" s="7" t="s">
        <v>402</v>
      </c>
      <c r="E149" s="7" t="s">
        <v>403</v>
      </c>
      <c r="F149" s="7" t="s">
        <v>215</v>
      </c>
      <c r="G149" s="5" t="s">
        <v>15</v>
      </c>
      <c r="H149" s="7"/>
      <c r="I149" s="7"/>
    </row>
    <row r="150" customFormat="false" ht="12.75" hidden="false" customHeight="true" outlineLevel="0" collapsed="false">
      <c r="A150" s="3" t="s">
        <v>404</v>
      </c>
      <c r="B150" s="4" t="s">
        <v>405</v>
      </c>
      <c r="C150" s="4" t="s">
        <v>43</v>
      </c>
      <c r="D150" s="4" t="s">
        <v>406</v>
      </c>
      <c r="E150" s="4" t="s">
        <v>407</v>
      </c>
      <c r="F150" s="4" t="s">
        <v>270</v>
      </c>
      <c r="G150" s="5" t="s">
        <v>15</v>
      </c>
      <c r="H150" s="4"/>
      <c r="I150" s="4"/>
    </row>
    <row r="151" customFormat="false" ht="12.75" hidden="false" customHeight="true" outlineLevel="0" collapsed="false">
      <c r="A151" s="6" t="s">
        <v>408</v>
      </c>
      <c r="B151" s="7" t="s">
        <v>409</v>
      </c>
      <c r="C151" s="7" t="s">
        <v>100</v>
      </c>
      <c r="D151" s="7" t="s">
        <v>410</v>
      </c>
      <c r="E151" s="7" t="s">
        <v>411</v>
      </c>
      <c r="F151" s="7" t="s">
        <v>215</v>
      </c>
      <c r="G151" s="5" t="s">
        <v>15</v>
      </c>
      <c r="H151" s="7"/>
      <c r="I151" s="7"/>
    </row>
    <row r="152" customFormat="false" ht="12.75" hidden="false" customHeight="true" outlineLevel="0" collapsed="false">
      <c r="A152" s="3" t="s">
        <v>408</v>
      </c>
      <c r="B152" s="4" t="s">
        <v>409</v>
      </c>
      <c r="C152" s="4" t="s">
        <v>100</v>
      </c>
      <c r="D152" s="4" t="s">
        <v>410</v>
      </c>
      <c r="E152" s="4" t="s">
        <v>412</v>
      </c>
      <c r="F152" s="4" t="s">
        <v>14</v>
      </c>
      <c r="G152" s="5" t="s">
        <v>15</v>
      </c>
      <c r="H152" s="4"/>
      <c r="I152" s="4"/>
    </row>
    <row r="153" customFormat="false" ht="12.75" hidden="false" customHeight="true" outlineLevel="0" collapsed="false">
      <c r="A153" s="6" t="s">
        <v>413</v>
      </c>
      <c r="B153" s="7" t="s">
        <v>414</v>
      </c>
      <c r="C153" s="7" t="s">
        <v>100</v>
      </c>
      <c r="D153" s="7" t="s">
        <v>415</v>
      </c>
      <c r="E153" s="7" t="s">
        <v>416</v>
      </c>
      <c r="F153" s="7" t="s">
        <v>14</v>
      </c>
      <c r="G153" s="5" t="s">
        <v>15</v>
      </c>
      <c r="H153" s="7"/>
      <c r="I153" s="7"/>
    </row>
    <row r="154" customFormat="false" ht="12.75" hidden="false" customHeight="true" outlineLevel="0" collapsed="false">
      <c r="A154" s="3" t="s">
        <v>417</v>
      </c>
      <c r="B154" s="4" t="s">
        <v>46</v>
      </c>
      <c r="C154" s="4" t="s">
        <v>100</v>
      </c>
      <c r="D154" s="4" t="s">
        <v>418</v>
      </c>
      <c r="E154" s="4" t="s">
        <v>419</v>
      </c>
      <c r="F154" s="4" t="s">
        <v>14</v>
      </c>
      <c r="G154" s="5" t="s">
        <v>15</v>
      </c>
      <c r="H154" s="4"/>
      <c r="I154" s="4"/>
    </row>
    <row r="155" customFormat="false" ht="12.75" hidden="false" customHeight="true" outlineLevel="0" collapsed="false">
      <c r="A155" s="6" t="s">
        <v>420</v>
      </c>
      <c r="B155" s="7" t="s">
        <v>421</v>
      </c>
      <c r="C155" s="7" t="s">
        <v>100</v>
      </c>
      <c r="D155" s="7" t="s">
        <v>422</v>
      </c>
      <c r="E155" s="7" t="s">
        <v>423</v>
      </c>
      <c r="F155" s="7" t="s">
        <v>270</v>
      </c>
      <c r="G155" s="5" t="s">
        <v>15</v>
      </c>
      <c r="H155" s="7"/>
      <c r="I155" s="7"/>
    </row>
    <row r="156" customFormat="false" ht="12.75" hidden="false" customHeight="true" outlineLevel="0" collapsed="false">
      <c r="A156" s="3" t="s">
        <v>424</v>
      </c>
      <c r="B156" s="4" t="s">
        <v>425</v>
      </c>
      <c r="C156" s="4" t="s">
        <v>100</v>
      </c>
      <c r="D156" s="4" t="s">
        <v>426</v>
      </c>
      <c r="E156" s="4" t="s">
        <v>427</v>
      </c>
      <c r="F156" s="4" t="s">
        <v>270</v>
      </c>
      <c r="G156" s="5" t="s">
        <v>15</v>
      </c>
      <c r="H156" s="4"/>
      <c r="I156" s="4"/>
    </row>
    <row r="157" customFormat="false" ht="12.75" hidden="false" customHeight="true" outlineLevel="0" collapsed="false">
      <c r="A157" s="6" t="s">
        <v>424</v>
      </c>
      <c r="B157" s="7" t="s">
        <v>425</v>
      </c>
      <c r="C157" s="7" t="s">
        <v>100</v>
      </c>
      <c r="D157" s="7" t="s">
        <v>426</v>
      </c>
      <c r="E157" s="7" t="s">
        <v>428</v>
      </c>
      <c r="F157" s="7" t="s">
        <v>14</v>
      </c>
      <c r="G157" s="5" t="s">
        <v>15</v>
      </c>
      <c r="H157" s="7"/>
      <c r="I157" s="7"/>
    </row>
    <row r="158" customFormat="false" ht="12.75" hidden="false" customHeight="true" outlineLevel="0" collapsed="false">
      <c r="A158" s="3" t="s">
        <v>429</v>
      </c>
      <c r="B158" s="4" t="s">
        <v>430</v>
      </c>
      <c r="C158" s="4" t="s">
        <v>100</v>
      </c>
      <c r="D158" s="4" t="s">
        <v>431</v>
      </c>
      <c r="E158" s="4" t="s">
        <v>432</v>
      </c>
      <c r="F158" s="4" t="s">
        <v>215</v>
      </c>
      <c r="G158" s="5" t="s">
        <v>15</v>
      </c>
      <c r="H158" s="4"/>
      <c r="I158" s="4"/>
    </row>
    <row r="159" customFormat="false" ht="12.75" hidden="false" customHeight="true" outlineLevel="0" collapsed="false">
      <c r="A159" s="6" t="s">
        <v>429</v>
      </c>
      <c r="B159" s="7" t="s">
        <v>430</v>
      </c>
      <c r="C159" s="7" t="s">
        <v>100</v>
      </c>
      <c r="D159" s="7" t="s">
        <v>431</v>
      </c>
      <c r="E159" s="7" t="s">
        <v>433</v>
      </c>
      <c r="F159" s="7" t="s">
        <v>14</v>
      </c>
      <c r="G159" s="5" t="s">
        <v>15</v>
      </c>
      <c r="H159" s="7"/>
      <c r="I159" s="7"/>
    </row>
    <row r="160" customFormat="false" ht="12.75" hidden="false" customHeight="true" outlineLevel="0" collapsed="false">
      <c r="A160" s="3" t="s">
        <v>434</v>
      </c>
      <c r="B160" s="4" t="s">
        <v>226</v>
      </c>
      <c r="C160" s="4" t="s">
        <v>100</v>
      </c>
      <c r="D160" s="4" t="s">
        <v>435</v>
      </c>
      <c r="E160" s="4" t="s">
        <v>436</v>
      </c>
      <c r="F160" s="4" t="s">
        <v>14</v>
      </c>
      <c r="G160" s="5" t="s">
        <v>15</v>
      </c>
      <c r="H160" s="4"/>
      <c r="I160" s="4"/>
    </row>
    <row r="161" customFormat="false" ht="12.75" hidden="false" customHeight="true" outlineLevel="0" collapsed="false">
      <c r="A161" s="6" t="s">
        <v>434</v>
      </c>
      <c r="B161" s="7" t="s">
        <v>226</v>
      </c>
      <c r="C161" s="7" t="s">
        <v>100</v>
      </c>
      <c r="D161" s="7" t="s">
        <v>435</v>
      </c>
      <c r="E161" s="7" t="s">
        <v>437</v>
      </c>
      <c r="F161" s="7" t="s">
        <v>14</v>
      </c>
      <c r="G161" s="5" t="s">
        <v>15</v>
      </c>
      <c r="H161" s="7"/>
      <c r="I161" s="7"/>
    </row>
    <row r="162" customFormat="false" ht="12.75" hidden="false" customHeight="true" outlineLevel="0" collapsed="false">
      <c r="A162" s="3" t="s">
        <v>438</v>
      </c>
      <c r="B162" s="4" t="s">
        <v>439</v>
      </c>
      <c r="C162" s="4" t="s">
        <v>100</v>
      </c>
      <c r="D162" s="4" t="s">
        <v>440</v>
      </c>
      <c r="E162" s="4" t="s">
        <v>441</v>
      </c>
      <c r="F162" s="4" t="s">
        <v>270</v>
      </c>
      <c r="G162" s="5" t="s">
        <v>15</v>
      </c>
      <c r="H162" s="4"/>
      <c r="I162" s="4"/>
    </row>
    <row r="163" customFormat="false" ht="12.75" hidden="false" customHeight="true" outlineLevel="0" collapsed="false">
      <c r="A163" s="6" t="s">
        <v>442</v>
      </c>
      <c r="B163" s="7" t="s">
        <v>443</v>
      </c>
      <c r="C163" s="7" t="s">
        <v>100</v>
      </c>
      <c r="D163" s="7" t="s">
        <v>444</v>
      </c>
      <c r="E163" s="7" t="s">
        <v>445</v>
      </c>
      <c r="F163" s="7" t="s">
        <v>14</v>
      </c>
      <c r="G163" s="5" t="s">
        <v>15</v>
      </c>
      <c r="H163" s="7"/>
      <c r="I163" s="7"/>
    </row>
    <row r="164" customFormat="false" ht="12.75" hidden="false" customHeight="true" outlineLevel="0" collapsed="false">
      <c r="A164" s="3" t="s">
        <v>446</v>
      </c>
      <c r="B164" s="4" t="s">
        <v>447</v>
      </c>
      <c r="C164" s="4" t="s">
        <v>100</v>
      </c>
      <c r="D164" s="4" t="s">
        <v>448</v>
      </c>
      <c r="E164" s="4" t="s">
        <v>449</v>
      </c>
      <c r="F164" s="4" t="s">
        <v>14</v>
      </c>
      <c r="G164" s="5" t="s">
        <v>15</v>
      </c>
      <c r="H164" s="4"/>
      <c r="I164" s="4"/>
    </row>
    <row r="165" customFormat="false" ht="12.75" hidden="false" customHeight="true" outlineLevel="0" collapsed="false">
      <c r="A165" s="6" t="s">
        <v>450</v>
      </c>
      <c r="B165" s="7" t="s">
        <v>451</v>
      </c>
      <c r="C165" s="7" t="s">
        <v>100</v>
      </c>
      <c r="D165" s="7" t="s">
        <v>452</v>
      </c>
      <c r="E165" s="7" t="s">
        <v>453</v>
      </c>
      <c r="F165" s="7" t="s">
        <v>14</v>
      </c>
      <c r="G165" s="5" t="s">
        <v>15</v>
      </c>
      <c r="H165" s="7"/>
      <c r="I165" s="7"/>
    </row>
    <row r="166" customFormat="false" ht="12.75" hidden="false" customHeight="true" outlineLevel="0" collapsed="false">
      <c r="A166" s="3" t="s">
        <v>450</v>
      </c>
      <c r="B166" s="4" t="s">
        <v>451</v>
      </c>
      <c r="C166" s="4" t="s">
        <v>100</v>
      </c>
      <c r="D166" s="4" t="s">
        <v>452</v>
      </c>
      <c r="E166" s="4" t="s">
        <v>454</v>
      </c>
      <c r="F166" s="4" t="s">
        <v>14</v>
      </c>
      <c r="G166" s="5" t="s">
        <v>15</v>
      </c>
      <c r="H166" s="4"/>
      <c r="I166" s="4"/>
    </row>
    <row r="167" customFormat="false" ht="12.75" hidden="false" customHeight="true" outlineLevel="0" collapsed="false">
      <c r="A167" s="6" t="s">
        <v>455</v>
      </c>
      <c r="B167" s="7" t="s">
        <v>456</v>
      </c>
      <c r="C167" s="7" t="s">
        <v>100</v>
      </c>
      <c r="D167" s="7" t="s">
        <v>457</v>
      </c>
      <c r="E167" s="7" t="s">
        <v>458</v>
      </c>
      <c r="F167" s="7" t="s">
        <v>270</v>
      </c>
      <c r="G167" s="5" t="s">
        <v>15</v>
      </c>
      <c r="H167" s="7"/>
      <c r="I167" s="7"/>
    </row>
    <row r="168" customFormat="false" ht="12.75" hidden="false" customHeight="true" outlineLevel="0" collapsed="false">
      <c r="A168" s="3" t="s">
        <v>455</v>
      </c>
      <c r="B168" s="4" t="s">
        <v>456</v>
      </c>
      <c r="C168" s="4" t="s">
        <v>100</v>
      </c>
      <c r="D168" s="4" t="s">
        <v>457</v>
      </c>
      <c r="E168" s="4" t="s">
        <v>459</v>
      </c>
      <c r="F168" s="4" t="s">
        <v>270</v>
      </c>
      <c r="G168" s="5" t="s">
        <v>15</v>
      </c>
      <c r="H168" s="4"/>
      <c r="I168" s="4"/>
    </row>
    <row r="169" customFormat="false" ht="12.75" hidden="false" customHeight="true" outlineLevel="0" collapsed="false">
      <c r="A169" s="6" t="s">
        <v>460</v>
      </c>
      <c r="B169" s="7" t="s">
        <v>65</v>
      </c>
      <c r="C169" s="7" t="s">
        <v>100</v>
      </c>
      <c r="D169" s="7" t="s">
        <v>461</v>
      </c>
      <c r="E169" s="7" t="s">
        <v>462</v>
      </c>
      <c r="F169" s="7" t="s">
        <v>215</v>
      </c>
      <c r="G169" s="5" t="s">
        <v>15</v>
      </c>
      <c r="H169" s="7"/>
      <c r="I169" s="7"/>
    </row>
    <row r="170" customFormat="false" ht="12.75" hidden="false" customHeight="true" outlineLevel="0" collapsed="false">
      <c r="A170" s="3" t="s">
        <v>460</v>
      </c>
      <c r="B170" s="4" t="s">
        <v>65</v>
      </c>
      <c r="C170" s="4" t="s">
        <v>100</v>
      </c>
      <c r="D170" s="4" t="s">
        <v>461</v>
      </c>
      <c r="E170" s="4" t="s">
        <v>463</v>
      </c>
      <c r="F170" s="4" t="s">
        <v>27</v>
      </c>
      <c r="G170" s="5" t="s">
        <v>15</v>
      </c>
      <c r="H170" s="4"/>
      <c r="I170" s="4"/>
    </row>
    <row r="171" customFormat="false" ht="12.75" hidden="false" customHeight="true" outlineLevel="0" collapsed="false">
      <c r="A171" s="6" t="s">
        <v>464</v>
      </c>
      <c r="B171" s="7" t="s">
        <v>465</v>
      </c>
      <c r="C171" s="7" t="s">
        <v>100</v>
      </c>
      <c r="D171" s="7" t="s">
        <v>466</v>
      </c>
      <c r="E171" s="7" t="s">
        <v>467</v>
      </c>
      <c r="F171" s="7" t="s">
        <v>215</v>
      </c>
      <c r="G171" s="5" t="s">
        <v>15</v>
      </c>
      <c r="H171" s="7"/>
      <c r="I171" s="7"/>
    </row>
    <row r="172" customFormat="false" ht="12.75" hidden="false" customHeight="true" outlineLevel="0" collapsed="false">
      <c r="A172" s="3" t="s">
        <v>468</v>
      </c>
      <c r="B172" s="4" t="s">
        <v>469</v>
      </c>
      <c r="C172" s="4" t="s">
        <v>100</v>
      </c>
      <c r="D172" s="4" t="s">
        <v>470</v>
      </c>
      <c r="E172" s="4" t="s">
        <v>471</v>
      </c>
      <c r="F172" s="4" t="s">
        <v>14</v>
      </c>
      <c r="G172" s="5" t="s">
        <v>15</v>
      </c>
      <c r="H172" s="4"/>
      <c r="I172" s="4"/>
    </row>
    <row r="173" customFormat="false" ht="12.75" hidden="false" customHeight="true" outlineLevel="0" collapsed="false">
      <c r="A173" s="6" t="s">
        <v>468</v>
      </c>
      <c r="B173" s="7" t="s">
        <v>469</v>
      </c>
      <c r="C173" s="7" t="s">
        <v>100</v>
      </c>
      <c r="D173" s="7" t="s">
        <v>470</v>
      </c>
      <c r="E173" s="7" t="s">
        <v>472</v>
      </c>
      <c r="F173" s="7" t="s">
        <v>14</v>
      </c>
      <c r="G173" s="5" t="s">
        <v>15</v>
      </c>
      <c r="H173" s="7"/>
      <c r="I173" s="7"/>
    </row>
    <row r="174" customFormat="false" ht="12.75" hidden="false" customHeight="true" outlineLevel="0" collapsed="false">
      <c r="A174" s="3" t="s">
        <v>473</v>
      </c>
      <c r="B174" s="4" t="s">
        <v>474</v>
      </c>
      <c r="C174" s="4" t="s">
        <v>100</v>
      </c>
      <c r="D174" s="4" t="s">
        <v>475</v>
      </c>
      <c r="E174" s="4" t="s">
        <v>476</v>
      </c>
      <c r="F174" s="4" t="s">
        <v>215</v>
      </c>
      <c r="G174" s="5" t="s">
        <v>15</v>
      </c>
      <c r="H174" s="4"/>
      <c r="I174" s="4"/>
    </row>
    <row r="175" customFormat="false" ht="12.75" hidden="false" customHeight="true" outlineLevel="0" collapsed="false">
      <c r="A175" s="6" t="s">
        <v>473</v>
      </c>
      <c r="B175" s="7" t="s">
        <v>474</v>
      </c>
      <c r="C175" s="7" t="s">
        <v>100</v>
      </c>
      <c r="D175" s="7" t="s">
        <v>475</v>
      </c>
      <c r="E175" s="7" t="s">
        <v>477</v>
      </c>
      <c r="F175" s="7" t="s">
        <v>215</v>
      </c>
      <c r="G175" s="5" t="s">
        <v>15</v>
      </c>
      <c r="H175" s="7"/>
      <c r="I175" s="7"/>
    </row>
    <row r="176" customFormat="false" ht="12.75" hidden="false" customHeight="true" outlineLevel="0" collapsed="false">
      <c r="A176" s="3" t="s">
        <v>478</v>
      </c>
      <c r="B176" s="4" t="s">
        <v>39</v>
      </c>
      <c r="C176" s="4" t="s">
        <v>100</v>
      </c>
      <c r="D176" s="4" t="s">
        <v>479</v>
      </c>
      <c r="E176" s="4" t="s">
        <v>480</v>
      </c>
      <c r="F176" s="4" t="s">
        <v>14</v>
      </c>
      <c r="G176" s="5" t="s">
        <v>15</v>
      </c>
      <c r="H176" s="4"/>
      <c r="I176" s="4"/>
    </row>
    <row r="177" customFormat="false" ht="12.75" hidden="false" customHeight="true" outlineLevel="0" collapsed="false">
      <c r="A177" s="6" t="s">
        <v>481</v>
      </c>
      <c r="B177" s="7" t="s">
        <v>482</v>
      </c>
      <c r="C177" s="7" t="s">
        <v>100</v>
      </c>
      <c r="D177" s="7" t="s">
        <v>483</v>
      </c>
      <c r="E177" s="7" t="s">
        <v>484</v>
      </c>
      <c r="F177" s="7" t="s">
        <v>215</v>
      </c>
      <c r="G177" s="5" t="s">
        <v>15</v>
      </c>
      <c r="H177" s="7"/>
      <c r="I177" s="7"/>
    </row>
    <row r="178" customFormat="false" ht="12.75" hidden="false" customHeight="true" outlineLevel="0" collapsed="false">
      <c r="A178" s="3" t="s">
        <v>481</v>
      </c>
      <c r="B178" s="4" t="s">
        <v>482</v>
      </c>
      <c r="C178" s="4" t="s">
        <v>100</v>
      </c>
      <c r="D178" s="4" t="s">
        <v>483</v>
      </c>
      <c r="E178" s="4" t="s">
        <v>485</v>
      </c>
      <c r="F178" s="4" t="s">
        <v>215</v>
      </c>
      <c r="G178" s="5" t="s">
        <v>15</v>
      </c>
      <c r="H178" s="4"/>
      <c r="I178" s="4"/>
    </row>
    <row r="179" customFormat="false" ht="12.75" hidden="false" customHeight="true" outlineLevel="0" collapsed="false">
      <c r="A179" s="6" t="s">
        <v>481</v>
      </c>
      <c r="B179" s="7" t="s">
        <v>482</v>
      </c>
      <c r="C179" s="7" t="s">
        <v>100</v>
      </c>
      <c r="D179" s="7" t="s">
        <v>483</v>
      </c>
      <c r="E179" s="7" t="s">
        <v>486</v>
      </c>
      <c r="F179" s="7" t="s">
        <v>14</v>
      </c>
      <c r="G179" s="5" t="s">
        <v>15</v>
      </c>
      <c r="H179" s="7"/>
      <c r="I179" s="7"/>
    </row>
    <row r="180" customFormat="false" ht="12.75" hidden="false" customHeight="true" outlineLevel="0" collapsed="false">
      <c r="A180" s="3" t="s">
        <v>481</v>
      </c>
      <c r="B180" s="4" t="s">
        <v>482</v>
      </c>
      <c r="C180" s="4" t="s">
        <v>100</v>
      </c>
      <c r="D180" s="4" t="s">
        <v>483</v>
      </c>
      <c r="E180" s="4" t="s">
        <v>487</v>
      </c>
      <c r="F180" s="4" t="s">
        <v>270</v>
      </c>
      <c r="G180" s="5" t="s">
        <v>15</v>
      </c>
      <c r="H180" s="4"/>
      <c r="I180" s="4"/>
    </row>
    <row r="181" customFormat="false" ht="12.75" hidden="false" customHeight="true" outlineLevel="0" collapsed="false">
      <c r="A181" s="6" t="s">
        <v>481</v>
      </c>
      <c r="B181" s="7" t="s">
        <v>482</v>
      </c>
      <c r="C181" s="7" t="s">
        <v>100</v>
      </c>
      <c r="D181" s="7" t="s">
        <v>483</v>
      </c>
      <c r="E181" s="7" t="s">
        <v>488</v>
      </c>
      <c r="F181" s="7" t="s">
        <v>14</v>
      </c>
      <c r="G181" s="5" t="s">
        <v>15</v>
      </c>
      <c r="H181" s="7"/>
      <c r="I181" s="7"/>
    </row>
    <row r="182" customFormat="false" ht="12.75" hidden="false" customHeight="true" outlineLevel="0" collapsed="false">
      <c r="A182" s="3" t="s">
        <v>481</v>
      </c>
      <c r="B182" s="4" t="s">
        <v>482</v>
      </c>
      <c r="C182" s="4" t="s">
        <v>100</v>
      </c>
      <c r="D182" s="4" t="s">
        <v>483</v>
      </c>
      <c r="E182" s="4" t="s">
        <v>489</v>
      </c>
      <c r="F182" s="4" t="s">
        <v>14</v>
      </c>
      <c r="G182" s="5" t="s">
        <v>15</v>
      </c>
      <c r="H182" s="4"/>
      <c r="I182" s="4"/>
    </row>
    <row r="183" customFormat="false" ht="12.75" hidden="false" customHeight="true" outlineLevel="0" collapsed="false">
      <c r="A183" s="6" t="s">
        <v>490</v>
      </c>
      <c r="B183" s="7" t="s">
        <v>491</v>
      </c>
      <c r="C183" s="7" t="s">
        <v>215</v>
      </c>
      <c r="D183" s="7" t="s">
        <v>492</v>
      </c>
      <c r="E183" s="7" t="s">
        <v>493</v>
      </c>
      <c r="F183" s="7" t="s">
        <v>270</v>
      </c>
      <c r="G183" s="5" t="s">
        <v>15</v>
      </c>
      <c r="H183" s="7"/>
      <c r="I183" s="7"/>
    </row>
    <row r="184" customFormat="false" ht="12.75" hidden="false" customHeight="true" outlineLevel="0" collapsed="false">
      <c r="A184" s="3" t="s">
        <v>494</v>
      </c>
      <c r="B184" s="4" t="s">
        <v>495</v>
      </c>
      <c r="C184" s="4" t="s">
        <v>215</v>
      </c>
      <c r="D184" s="4" t="s">
        <v>496</v>
      </c>
      <c r="E184" s="4" t="s">
        <v>497</v>
      </c>
      <c r="F184" s="4" t="s">
        <v>43</v>
      </c>
      <c r="G184" s="5" t="s">
        <v>15</v>
      </c>
      <c r="H184" s="4"/>
      <c r="I184" s="4"/>
    </row>
    <row r="185" customFormat="false" ht="12.75" hidden="false" customHeight="true" outlineLevel="0" collapsed="false">
      <c r="A185" s="6" t="s">
        <v>494</v>
      </c>
      <c r="B185" s="7" t="s">
        <v>495</v>
      </c>
      <c r="C185" s="7" t="s">
        <v>215</v>
      </c>
      <c r="D185" s="7" t="s">
        <v>496</v>
      </c>
      <c r="E185" s="7" t="s">
        <v>498</v>
      </c>
      <c r="F185" s="7" t="s">
        <v>100</v>
      </c>
      <c r="G185" s="5" t="s">
        <v>15</v>
      </c>
      <c r="H185" s="7"/>
      <c r="I185" s="7"/>
    </row>
    <row r="186" customFormat="false" ht="12.75" hidden="false" customHeight="true" outlineLevel="0" collapsed="false">
      <c r="A186" s="3" t="s">
        <v>494</v>
      </c>
      <c r="B186" s="4" t="s">
        <v>495</v>
      </c>
      <c r="C186" s="4" t="s">
        <v>215</v>
      </c>
      <c r="D186" s="4" t="s">
        <v>496</v>
      </c>
      <c r="E186" s="4" t="s">
        <v>499</v>
      </c>
      <c r="F186" s="4" t="s">
        <v>215</v>
      </c>
      <c r="G186" s="5" t="s">
        <v>15</v>
      </c>
      <c r="H186" s="4"/>
      <c r="I186" s="4"/>
    </row>
    <row r="187" customFormat="false" ht="12.75" hidden="false" customHeight="true" outlineLevel="0" collapsed="false">
      <c r="A187" s="6" t="s">
        <v>500</v>
      </c>
      <c r="B187" s="7" t="s">
        <v>501</v>
      </c>
      <c r="C187" s="7" t="s">
        <v>215</v>
      </c>
      <c r="D187" s="7" t="s">
        <v>502</v>
      </c>
      <c r="E187" s="7" t="s">
        <v>503</v>
      </c>
      <c r="F187" s="7" t="s">
        <v>270</v>
      </c>
      <c r="G187" s="5" t="s">
        <v>15</v>
      </c>
      <c r="H187" s="7"/>
      <c r="I187" s="7"/>
    </row>
    <row r="188" customFormat="false" ht="12.75" hidden="false" customHeight="true" outlineLevel="0" collapsed="false">
      <c r="A188" s="3" t="s">
        <v>504</v>
      </c>
      <c r="B188" s="4" t="s">
        <v>505</v>
      </c>
      <c r="C188" s="4" t="s">
        <v>215</v>
      </c>
      <c r="D188" s="4" t="s">
        <v>506</v>
      </c>
      <c r="E188" s="4" t="s">
        <v>507</v>
      </c>
      <c r="F188" s="4" t="s">
        <v>270</v>
      </c>
      <c r="G188" s="5" t="s">
        <v>15</v>
      </c>
      <c r="H188" s="4"/>
      <c r="I188" s="4"/>
    </row>
    <row r="189" customFormat="false" ht="12.75" hidden="false" customHeight="true" outlineLevel="0" collapsed="false">
      <c r="A189" s="6" t="s">
        <v>508</v>
      </c>
      <c r="B189" s="7" t="s">
        <v>509</v>
      </c>
      <c r="C189" s="7" t="s">
        <v>215</v>
      </c>
      <c r="D189" s="7" t="s">
        <v>510</v>
      </c>
      <c r="E189" s="7" t="s">
        <v>511</v>
      </c>
      <c r="F189" s="7" t="s">
        <v>27</v>
      </c>
      <c r="G189" s="5" t="s">
        <v>15</v>
      </c>
      <c r="H189" s="7"/>
      <c r="I189" s="7"/>
    </row>
    <row r="190" customFormat="false" ht="12.75" hidden="false" customHeight="true" outlineLevel="0" collapsed="false">
      <c r="A190" s="3" t="s">
        <v>512</v>
      </c>
      <c r="B190" s="4" t="s">
        <v>513</v>
      </c>
      <c r="C190" s="4" t="s">
        <v>215</v>
      </c>
      <c r="D190" s="4" t="s">
        <v>514</v>
      </c>
      <c r="E190" s="4" t="s">
        <v>515</v>
      </c>
      <c r="F190" s="4" t="s">
        <v>270</v>
      </c>
      <c r="G190" s="5" t="s">
        <v>15</v>
      </c>
      <c r="H190" s="4"/>
      <c r="I190" s="4"/>
    </row>
    <row r="191" customFormat="false" ht="12.75" hidden="false" customHeight="true" outlineLevel="0" collapsed="false">
      <c r="A191" s="6" t="s">
        <v>512</v>
      </c>
      <c r="B191" s="7" t="s">
        <v>513</v>
      </c>
      <c r="C191" s="7" t="s">
        <v>215</v>
      </c>
      <c r="D191" s="7" t="s">
        <v>514</v>
      </c>
      <c r="E191" s="7" t="s">
        <v>516</v>
      </c>
      <c r="F191" s="7" t="s">
        <v>14</v>
      </c>
      <c r="G191" s="5" t="s">
        <v>15</v>
      </c>
      <c r="H191" s="7"/>
      <c r="I191" s="7"/>
    </row>
    <row r="192" customFormat="false" ht="12.75" hidden="false" customHeight="true" outlineLevel="0" collapsed="false">
      <c r="A192" s="3" t="s">
        <v>517</v>
      </c>
      <c r="B192" s="4" t="s">
        <v>518</v>
      </c>
      <c r="C192" s="4" t="s">
        <v>215</v>
      </c>
      <c r="D192" s="4" t="s">
        <v>519</v>
      </c>
      <c r="E192" s="4" t="s">
        <v>520</v>
      </c>
      <c r="F192" s="4" t="s">
        <v>270</v>
      </c>
      <c r="G192" s="5" t="s">
        <v>15</v>
      </c>
      <c r="H192" s="4"/>
      <c r="I192" s="4"/>
    </row>
    <row r="193" customFormat="false" ht="12.75" hidden="false" customHeight="true" outlineLevel="0" collapsed="false">
      <c r="A193" s="6" t="s">
        <v>517</v>
      </c>
      <c r="B193" s="7" t="s">
        <v>518</v>
      </c>
      <c r="C193" s="7" t="s">
        <v>215</v>
      </c>
      <c r="D193" s="7" t="s">
        <v>519</v>
      </c>
      <c r="E193" s="7" t="s">
        <v>521</v>
      </c>
      <c r="F193" s="7" t="s">
        <v>21</v>
      </c>
      <c r="G193" s="5" t="s">
        <v>15</v>
      </c>
      <c r="H193" s="7"/>
      <c r="I193" s="7"/>
    </row>
    <row r="194" customFormat="false" ht="12.75" hidden="false" customHeight="true" outlineLevel="0" collapsed="false">
      <c r="A194" s="3" t="s">
        <v>517</v>
      </c>
      <c r="B194" s="4" t="s">
        <v>518</v>
      </c>
      <c r="C194" s="4" t="s">
        <v>215</v>
      </c>
      <c r="D194" s="4" t="s">
        <v>519</v>
      </c>
      <c r="E194" s="4" t="s">
        <v>522</v>
      </c>
      <c r="F194" s="4" t="s">
        <v>21</v>
      </c>
      <c r="G194" s="5" t="s">
        <v>15</v>
      </c>
      <c r="H194" s="4"/>
      <c r="I194" s="4"/>
    </row>
    <row r="195" customFormat="false" ht="12.75" hidden="false" customHeight="true" outlineLevel="0" collapsed="false">
      <c r="A195" s="6" t="s">
        <v>523</v>
      </c>
      <c r="B195" s="7" t="s">
        <v>524</v>
      </c>
      <c r="C195" s="7" t="s">
        <v>215</v>
      </c>
      <c r="D195" s="7" t="s">
        <v>525</v>
      </c>
      <c r="E195" s="7" t="s">
        <v>526</v>
      </c>
      <c r="F195" s="7" t="s">
        <v>14</v>
      </c>
      <c r="G195" s="5" t="s">
        <v>15</v>
      </c>
      <c r="H195" s="7"/>
      <c r="I195" s="7"/>
    </row>
    <row r="196" customFormat="false" ht="12.75" hidden="false" customHeight="true" outlineLevel="0" collapsed="false">
      <c r="A196" s="3" t="s">
        <v>523</v>
      </c>
      <c r="B196" s="4" t="s">
        <v>524</v>
      </c>
      <c r="C196" s="4" t="s">
        <v>215</v>
      </c>
      <c r="D196" s="4" t="s">
        <v>525</v>
      </c>
      <c r="E196" s="4" t="s">
        <v>527</v>
      </c>
      <c r="F196" s="4" t="s">
        <v>21</v>
      </c>
      <c r="G196" s="5" t="s">
        <v>15</v>
      </c>
      <c r="H196" s="4"/>
      <c r="I196" s="4"/>
    </row>
    <row r="197" customFormat="false" ht="12.75" hidden="false" customHeight="true" outlineLevel="0" collapsed="false">
      <c r="A197" s="6" t="s">
        <v>523</v>
      </c>
      <c r="B197" s="7" t="s">
        <v>524</v>
      </c>
      <c r="C197" s="7" t="s">
        <v>215</v>
      </c>
      <c r="D197" s="7" t="s">
        <v>525</v>
      </c>
      <c r="E197" s="7" t="s">
        <v>528</v>
      </c>
      <c r="F197" s="7" t="s">
        <v>21</v>
      </c>
      <c r="G197" s="5" t="s">
        <v>15</v>
      </c>
      <c r="H197" s="7"/>
      <c r="I197" s="7"/>
    </row>
    <row r="198" customFormat="false" ht="12.75" hidden="false" customHeight="true" outlineLevel="0" collapsed="false">
      <c r="A198" s="3" t="s">
        <v>523</v>
      </c>
      <c r="B198" s="4" t="s">
        <v>524</v>
      </c>
      <c r="C198" s="4" t="s">
        <v>215</v>
      </c>
      <c r="D198" s="4" t="s">
        <v>525</v>
      </c>
      <c r="E198" s="4" t="s">
        <v>529</v>
      </c>
      <c r="F198" s="4" t="s">
        <v>21</v>
      </c>
      <c r="G198" s="5" t="s">
        <v>15</v>
      </c>
      <c r="H198" s="4"/>
      <c r="I198" s="4"/>
    </row>
    <row r="199" customFormat="false" ht="12.75" hidden="false" customHeight="true" outlineLevel="0" collapsed="false">
      <c r="A199" s="6" t="s">
        <v>530</v>
      </c>
      <c r="B199" s="7" t="s">
        <v>531</v>
      </c>
      <c r="C199" s="7" t="s">
        <v>215</v>
      </c>
      <c r="D199" s="7" t="s">
        <v>532</v>
      </c>
      <c r="E199" s="7" t="s">
        <v>533</v>
      </c>
      <c r="F199" s="7" t="s">
        <v>21</v>
      </c>
      <c r="G199" s="5" t="s">
        <v>15</v>
      </c>
      <c r="H199" s="7"/>
      <c r="I199" s="7"/>
    </row>
    <row r="200" customFormat="false" ht="12.75" hidden="false" customHeight="true" outlineLevel="0" collapsed="false">
      <c r="A200" s="3" t="s">
        <v>530</v>
      </c>
      <c r="B200" s="4" t="s">
        <v>531</v>
      </c>
      <c r="C200" s="4" t="s">
        <v>215</v>
      </c>
      <c r="D200" s="4" t="s">
        <v>532</v>
      </c>
      <c r="E200" s="4" t="s">
        <v>534</v>
      </c>
      <c r="F200" s="4" t="s">
        <v>27</v>
      </c>
      <c r="G200" s="5" t="s">
        <v>15</v>
      </c>
      <c r="H200" s="4"/>
      <c r="I200" s="4"/>
    </row>
    <row r="201" customFormat="false" ht="12.75" hidden="false" customHeight="true" outlineLevel="0" collapsed="false">
      <c r="A201" s="6" t="s">
        <v>535</v>
      </c>
      <c r="B201" s="7" t="s">
        <v>226</v>
      </c>
      <c r="C201" s="7" t="s">
        <v>215</v>
      </c>
      <c r="D201" s="7" t="s">
        <v>536</v>
      </c>
      <c r="E201" s="7" t="s">
        <v>537</v>
      </c>
      <c r="F201" s="7" t="s">
        <v>270</v>
      </c>
      <c r="G201" s="5" t="s">
        <v>15</v>
      </c>
      <c r="H201" s="7"/>
      <c r="I201" s="7"/>
    </row>
    <row r="202" customFormat="false" ht="12.75" hidden="false" customHeight="true" outlineLevel="0" collapsed="false">
      <c r="A202" s="3" t="s">
        <v>538</v>
      </c>
      <c r="B202" s="4" t="s">
        <v>539</v>
      </c>
      <c r="C202" s="4" t="s">
        <v>215</v>
      </c>
      <c r="D202" s="4" t="s">
        <v>540</v>
      </c>
      <c r="E202" s="4" t="s">
        <v>541</v>
      </c>
      <c r="F202" s="4" t="s">
        <v>14</v>
      </c>
      <c r="G202" s="5" t="s">
        <v>15</v>
      </c>
      <c r="H202" s="4"/>
      <c r="I202" s="4"/>
    </row>
    <row r="203" customFormat="false" ht="12.75" hidden="false" customHeight="true" outlineLevel="0" collapsed="false">
      <c r="A203" s="6" t="s">
        <v>542</v>
      </c>
      <c r="B203" s="7" t="s">
        <v>543</v>
      </c>
      <c r="C203" s="7" t="s">
        <v>215</v>
      </c>
      <c r="D203" s="7" t="s">
        <v>544</v>
      </c>
      <c r="E203" s="7" t="s">
        <v>545</v>
      </c>
      <c r="F203" s="7" t="s">
        <v>270</v>
      </c>
      <c r="G203" s="5" t="s">
        <v>15</v>
      </c>
      <c r="H203" s="7"/>
      <c r="I203" s="7"/>
    </row>
    <row r="204" customFormat="false" ht="12.75" hidden="false" customHeight="true" outlineLevel="0" collapsed="false">
      <c r="A204" s="3" t="s">
        <v>542</v>
      </c>
      <c r="B204" s="4" t="s">
        <v>543</v>
      </c>
      <c r="C204" s="4" t="s">
        <v>215</v>
      </c>
      <c r="D204" s="4" t="s">
        <v>544</v>
      </c>
      <c r="E204" s="4" t="s">
        <v>546</v>
      </c>
      <c r="F204" s="4" t="s">
        <v>270</v>
      </c>
      <c r="G204" s="5" t="s">
        <v>15</v>
      </c>
      <c r="H204" s="4"/>
      <c r="I204" s="4"/>
    </row>
    <row r="205" customFormat="false" ht="12.75" hidden="false" customHeight="true" outlineLevel="0" collapsed="false">
      <c r="A205" s="6" t="s">
        <v>542</v>
      </c>
      <c r="B205" s="7" t="s">
        <v>543</v>
      </c>
      <c r="C205" s="7" t="s">
        <v>215</v>
      </c>
      <c r="D205" s="7" t="s">
        <v>544</v>
      </c>
      <c r="E205" s="7" t="s">
        <v>547</v>
      </c>
      <c r="F205" s="7" t="s">
        <v>14</v>
      </c>
      <c r="G205" s="5" t="s">
        <v>15</v>
      </c>
      <c r="H205" s="7"/>
      <c r="I205" s="7"/>
    </row>
    <row r="206" customFormat="false" ht="12.75" hidden="false" customHeight="true" outlineLevel="0" collapsed="false">
      <c r="A206" s="3" t="s">
        <v>542</v>
      </c>
      <c r="B206" s="4" t="s">
        <v>543</v>
      </c>
      <c r="C206" s="4" t="s">
        <v>215</v>
      </c>
      <c r="D206" s="4" t="s">
        <v>544</v>
      </c>
      <c r="E206" s="4" t="s">
        <v>548</v>
      </c>
      <c r="F206" s="4" t="s">
        <v>14</v>
      </c>
      <c r="G206" s="5" t="s">
        <v>15</v>
      </c>
      <c r="H206" s="4"/>
      <c r="I206" s="4"/>
    </row>
    <row r="207" customFormat="false" ht="12.75" hidden="false" customHeight="true" outlineLevel="0" collapsed="false">
      <c r="A207" s="6" t="s">
        <v>542</v>
      </c>
      <c r="B207" s="7" t="s">
        <v>543</v>
      </c>
      <c r="C207" s="7" t="s">
        <v>215</v>
      </c>
      <c r="D207" s="7" t="s">
        <v>544</v>
      </c>
      <c r="E207" s="7" t="s">
        <v>549</v>
      </c>
      <c r="F207" s="7" t="s">
        <v>21</v>
      </c>
      <c r="G207" s="5" t="s">
        <v>15</v>
      </c>
      <c r="H207" s="7"/>
      <c r="I207" s="7"/>
    </row>
    <row r="208" customFormat="false" ht="12.75" hidden="false" customHeight="true" outlineLevel="0" collapsed="false">
      <c r="A208" s="3" t="s">
        <v>542</v>
      </c>
      <c r="B208" s="4" t="s">
        <v>543</v>
      </c>
      <c r="C208" s="4" t="s">
        <v>215</v>
      </c>
      <c r="D208" s="4" t="s">
        <v>544</v>
      </c>
      <c r="E208" s="4" t="s">
        <v>550</v>
      </c>
      <c r="F208" s="4" t="s">
        <v>21</v>
      </c>
      <c r="G208" s="5" t="s">
        <v>15</v>
      </c>
      <c r="H208" s="4"/>
      <c r="I208" s="4"/>
    </row>
    <row r="209" customFormat="false" ht="12.75" hidden="false" customHeight="true" outlineLevel="0" collapsed="false">
      <c r="A209" s="6" t="s">
        <v>542</v>
      </c>
      <c r="B209" s="7" t="s">
        <v>543</v>
      </c>
      <c r="C209" s="7" t="s">
        <v>215</v>
      </c>
      <c r="D209" s="7" t="s">
        <v>544</v>
      </c>
      <c r="E209" s="7" t="s">
        <v>551</v>
      </c>
      <c r="F209" s="7" t="s">
        <v>21</v>
      </c>
      <c r="G209" s="5" t="s">
        <v>15</v>
      </c>
      <c r="H209" s="7"/>
      <c r="I209" s="7"/>
    </row>
    <row r="210" customFormat="false" ht="12.75" hidden="false" customHeight="true" outlineLevel="0" collapsed="false">
      <c r="A210" s="3" t="s">
        <v>542</v>
      </c>
      <c r="B210" s="4" t="s">
        <v>543</v>
      </c>
      <c r="C210" s="4" t="s">
        <v>215</v>
      </c>
      <c r="D210" s="4" t="s">
        <v>544</v>
      </c>
      <c r="E210" s="4" t="s">
        <v>552</v>
      </c>
      <c r="F210" s="4" t="s">
        <v>21</v>
      </c>
      <c r="G210" s="5" t="s">
        <v>15</v>
      </c>
      <c r="H210" s="4"/>
      <c r="I210" s="4"/>
    </row>
    <row r="211" customFormat="false" ht="12.75" hidden="false" customHeight="true" outlineLevel="0" collapsed="false">
      <c r="A211" s="6" t="s">
        <v>553</v>
      </c>
      <c r="B211" s="7" t="s">
        <v>554</v>
      </c>
      <c r="C211" s="7" t="s">
        <v>215</v>
      </c>
      <c r="D211" s="7" t="s">
        <v>555</v>
      </c>
      <c r="E211" s="7" t="s">
        <v>556</v>
      </c>
      <c r="F211" s="7" t="s">
        <v>270</v>
      </c>
      <c r="G211" s="5" t="s">
        <v>15</v>
      </c>
      <c r="H211" s="7"/>
      <c r="I211" s="7"/>
    </row>
    <row r="212" customFormat="false" ht="12.75" hidden="false" customHeight="true" outlineLevel="0" collapsed="false">
      <c r="A212" s="3" t="s">
        <v>553</v>
      </c>
      <c r="B212" s="4" t="s">
        <v>554</v>
      </c>
      <c r="C212" s="4" t="s">
        <v>215</v>
      </c>
      <c r="D212" s="4" t="s">
        <v>555</v>
      </c>
      <c r="E212" s="4" t="s">
        <v>557</v>
      </c>
      <c r="F212" s="4" t="s">
        <v>14</v>
      </c>
      <c r="G212" s="5" t="s">
        <v>15</v>
      </c>
      <c r="H212" s="4"/>
      <c r="I212" s="4"/>
    </row>
    <row r="213" customFormat="false" ht="12.75" hidden="false" customHeight="true" outlineLevel="0" collapsed="false">
      <c r="A213" s="6" t="s">
        <v>558</v>
      </c>
      <c r="B213" s="7" t="s">
        <v>559</v>
      </c>
      <c r="C213" s="7" t="s">
        <v>215</v>
      </c>
      <c r="D213" s="7" t="s">
        <v>560</v>
      </c>
      <c r="E213" s="7" t="s">
        <v>561</v>
      </c>
      <c r="F213" s="7" t="s">
        <v>21</v>
      </c>
      <c r="G213" s="5" t="s">
        <v>15</v>
      </c>
      <c r="H213" s="7"/>
      <c r="I213" s="7"/>
    </row>
    <row r="214" customFormat="false" ht="12.75" hidden="false" customHeight="true" outlineLevel="0" collapsed="false">
      <c r="A214" s="3" t="s">
        <v>558</v>
      </c>
      <c r="B214" s="4" t="s">
        <v>559</v>
      </c>
      <c r="C214" s="4" t="s">
        <v>215</v>
      </c>
      <c r="D214" s="4" t="s">
        <v>560</v>
      </c>
      <c r="E214" s="4" t="s">
        <v>562</v>
      </c>
      <c r="F214" s="4" t="s">
        <v>21</v>
      </c>
      <c r="G214" s="5" t="s">
        <v>15</v>
      </c>
      <c r="H214" s="4"/>
      <c r="I214" s="4"/>
    </row>
    <row r="215" customFormat="false" ht="12.75" hidden="false" customHeight="true" outlineLevel="0" collapsed="false">
      <c r="A215" s="6" t="s">
        <v>563</v>
      </c>
      <c r="B215" s="7" t="s">
        <v>564</v>
      </c>
      <c r="C215" s="7" t="s">
        <v>215</v>
      </c>
      <c r="D215" s="7" t="s">
        <v>565</v>
      </c>
      <c r="E215" s="7" t="s">
        <v>566</v>
      </c>
      <c r="F215" s="7" t="s">
        <v>14</v>
      </c>
      <c r="G215" s="5" t="s">
        <v>15</v>
      </c>
      <c r="H215" s="7"/>
      <c r="I215" s="7"/>
    </row>
    <row r="216" customFormat="false" ht="12.75" hidden="false" customHeight="true" outlineLevel="0" collapsed="false">
      <c r="A216" s="3" t="s">
        <v>563</v>
      </c>
      <c r="B216" s="4" t="s">
        <v>564</v>
      </c>
      <c r="C216" s="4" t="s">
        <v>215</v>
      </c>
      <c r="D216" s="4" t="s">
        <v>565</v>
      </c>
      <c r="E216" s="4" t="s">
        <v>567</v>
      </c>
      <c r="F216" s="4" t="s">
        <v>568</v>
      </c>
      <c r="G216" s="5" t="s">
        <v>15</v>
      </c>
      <c r="H216" s="4"/>
      <c r="I216" s="4"/>
    </row>
    <row r="217" customFormat="false" ht="12.75" hidden="false" customHeight="true" outlineLevel="0" collapsed="false">
      <c r="A217" s="6" t="s">
        <v>563</v>
      </c>
      <c r="B217" s="7" t="s">
        <v>564</v>
      </c>
      <c r="C217" s="7" t="s">
        <v>215</v>
      </c>
      <c r="D217" s="7" t="s">
        <v>565</v>
      </c>
      <c r="E217" s="7" t="s">
        <v>569</v>
      </c>
      <c r="F217" s="7" t="s">
        <v>21</v>
      </c>
      <c r="G217" s="5" t="s">
        <v>15</v>
      </c>
      <c r="H217" s="7"/>
      <c r="I217" s="7"/>
    </row>
    <row r="218" customFormat="false" ht="12.75" hidden="false" customHeight="true" outlineLevel="0" collapsed="false">
      <c r="A218" s="3" t="s">
        <v>570</v>
      </c>
      <c r="B218" s="4" t="s">
        <v>401</v>
      </c>
      <c r="C218" s="4" t="s">
        <v>215</v>
      </c>
      <c r="D218" s="4" t="s">
        <v>571</v>
      </c>
      <c r="E218" s="4" t="s">
        <v>572</v>
      </c>
      <c r="F218" s="4" t="s">
        <v>270</v>
      </c>
      <c r="G218" s="5" t="s">
        <v>15</v>
      </c>
      <c r="H218" s="4"/>
      <c r="I218" s="4"/>
    </row>
    <row r="219" customFormat="false" ht="12.75" hidden="false" customHeight="true" outlineLevel="0" collapsed="false">
      <c r="A219" s="6" t="s">
        <v>573</v>
      </c>
      <c r="B219" s="7" t="s">
        <v>574</v>
      </c>
      <c r="C219" s="7" t="s">
        <v>215</v>
      </c>
      <c r="D219" s="7" t="s">
        <v>575</v>
      </c>
      <c r="E219" s="7" t="s">
        <v>576</v>
      </c>
      <c r="F219" s="7" t="s">
        <v>21</v>
      </c>
      <c r="G219" s="5" t="s">
        <v>15</v>
      </c>
      <c r="H219" s="7"/>
      <c r="I219" s="7"/>
    </row>
    <row r="220" customFormat="false" ht="12.75" hidden="false" customHeight="true" outlineLevel="0" collapsed="false">
      <c r="A220" s="3" t="s">
        <v>577</v>
      </c>
      <c r="B220" s="4" t="s">
        <v>65</v>
      </c>
      <c r="C220" s="4" t="s">
        <v>215</v>
      </c>
      <c r="D220" s="4" t="s">
        <v>578</v>
      </c>
      <c r="E220" s="4" t="s">
        <v>579</v>
      </c>
      <c r="F220" s="4" t="s">
        <v>21</v>
      </c>
      <c r="G220" s="5" t="s">
        <v>15</v>
      </c>
      <c r="H220" s="4"/>
      <c r="I220" s="4"/>
    </row>
    <row r="221" customFormat="false" ht="12.75" hidden="false" customHeight="true" outlineLevel="0" collapsed="false">
      <c r="A221" s="6" t="s">
        <v>580</v>
      </c>
      <c r="B221" s="7" t="s">
        <v>581</v>
      </c>
      <c r="C221" s="7" t="s">
        <v>215</v>
      </c>
      <c r="D221" s="7" t="s">
        <v>582</v>
      </c>
      <c r="E221" s="7" t="s">
        <v>583</v>
      </c>
      <c r="F221" s="7" t="s">
        <v>270</v>
      </c>
      <c r="G221" s="5" t="s">
        <v>15</v>
      </c>
      <c r="H221" s="7"/>
      <c r="I221" s="7"/>
    </row>
    <row r="222" customFormat="false" ht="12.75" hidden="false" customHeight="true" outlineLevel="0" collapsed="false">
      <c r="A222" s="3" t="s">
        <v>584</v>
      </c>
      <c r="B222" s="4" t="s">
        <v>585</v>
      </c>
      <c r="C222" s="4" t="s">
        <v>215</v>
      </c>
      <c r="D222" s="4" t="s">
        <v>586</v>
      </c>
      <c r="E222" s="4" t="s">
        <v>587</v>
      </c>
      <c r="F222" s="4" t="s">
        <v>14</v>
      </c>
      <c r="G222" s="5" t="s">
        <v>15</v>
      </c>
      <c r="H222" s="4"/>
      <c r="I222" s="4"/>
    </row>
    <row r="223" customFormat="false" ht="12.75" hidden="false" customHeight="true" outlineLevel="0" collapsed="false">
      <c r="A223" s="6" t="s">
        <v>584</v>
      </c>
      <c r="B223" s="7" t="s">
        <v>585</v>
      </c>
      <c r="C223" s="7" t="s">
        <v>215</v>
      </c>
      <c r="D223" s="7" t="s">
        <v>586</v>
      </c>
      <c r="E223" s="7" t="s">
        <v>588</v>
      </c>
      <c r="F223" s="7" t="s">
        <v>21</v>
      </c>
      <c r="G223" s="5" t="s">
        <v>15</v>
      </c>
      <c r="H223" s="7"/>
      <c r="I223" s="7"/>
    </row>
    <row r="224" customFormat="false" ht="12.75" hidden="false" customHeight="true" outlineLevel="0" collapsed="false">
      <c r="A224" s="3" t="s">
        <v>584</v>
      </c>
      <c r="B224" s="4" t="s">
        <v>585</v>
      </c>
      <c r="C224" s="4" t="s">
        <v>215</v>
      </c>
      <c r="D224" s="4" t="s">
        <v>586</v>
      </c>
      <c r="E224" s="4" t="s">
        <v>589</v>
      </c>
      <c r="F224" s="4" t="s">
        <v>21</v>
      </c>
      <c r="G224" s="5" t="s">
        <v>15</v>
      </c>
      <c r="H224" s="4"/>
      <c r="I224" s="4"/>
    </row>
    <row r="225" customFormat="false" ht="12.75" hidden="false" customHeight="true" outlineLevel="0" collapsed="false">
      <c r="A225" s="6" t="s">
        <v>584</v>
      </c>
      <c r="B225" s="7" t="s">
        <v>585</v>
      </c>
      <c r="C225" s="7" t="s">
        <v>215</v>
      </c>
      <c r="D225" s="7" t="s">
        <v>586</v>
      </c>
      <c r="E225" s="7" t="s">
        <v>590</v>
      </c>
      <c r="F225" s="7" t="s">
        <v>21</v>
      </c>
      <c r="G225" s="5" t="s">
        <v>15</v>
      </c>
      <c r="H225" s="7"/>
      <c r="I225" s="7"/>
    </row>
    <row r="226" customFormat="false" ht="12.75" hidden="false" customHeight="true" outlineLevel="0" collapsed="false">
      <c r="A226" s="3" t="s">
        <v>584</v>
      </c>
      <c r="B226" s="4" t="s">
        <v>585</v>
      </c>
      <c r="C226" s="4" t="s">
        <v>215</v>
      </c>
      <c r="D226" s="4" t="s">
        <v>586</v>
      </c>
      <c r="E226" s="4" t="s">
        <v>591</v>
      </c>
      <c r="F226" s="4" t="s">
        <v>21</v>
      </c>
      <c r="G226" s="5" t="s">
        <v>15</v>
      </c>
      <c r="H226" s="4"/>
      <c r="I226" s="4"/>
    </row>
    <row r="227" customFormat="false" ht="12.75" hidden="false" customHeight="true" outlineLevel="0" collapsed="false">
      <c r="A227" s="6" t="s">
        <v>592</v>
      </c>
      <c r="B227" s="7" t="s">
        <v>593</v>
      </c>
      <c r="C227" s="7" t="s">
        <v>215</v>
      </c>
      <c r="D227" s="7" t="s">
        <v>252</v>
      </c>
      <c r="E227" s="7" t="s">
        <v>594</v>
      </c>
      <c r="F227" s="7" t="s">
        <v>21</v>
      </c>
      <c r="G227" s="5" t="s">
        <v>15</v>
      </c>
      <c r="H227" s="7"/>
      <c r="I227" s="7"/>
    </row>
    <row r="228" customFormat="false" ht="12.75" hidden="false" customHeight="true" outlineLevel="0" collapsed="false">
      <c r="A228" s="3" t="s">
        <v>595</v>
      </c>
      <c r="B228" s="4" t="s">
        <v>596</v>
      </c>
      <c r="C228" s="4" t="s">
        <v>215</v>
      </c>
      <c r="D228" s="4" t="s">
        <v>597</v>
      </c>
      <c r="E228" s="4" t="s">
        <v>598</v>
      </c>
      <c r="F228" s="4" t="s">
        <v>43</v>
      </c>
      <c r="G228" s="5" t="s">
        <v>15</v>
      </c>
      <c r="H228" s="4"/>
      <c r="I228" s="4"/>
    </row>
    <row r="229" customFormat="false" ht="12.75" hidden="false" customHeight="true" outlineLevel="0" collapsed="false">
      <c r="A229" s="6" t="s">
        <v>595</v>
      </c>
      <c r="B229" s="7" t="s">
        <v>596</v>
      </c>
      <c r="C229" s="7" t="s">
        <v>215</v>
      </c>
      <c r="D229" s="7" t="s">
        <v>597</v>
      </c>
      <c r="E229" s="7" t="s">
        <v>599</v>
      </c>
      <c r="F229" s="7" t="s">
        <v>43</v>
      </c>
      <c r="G229" s="5" t="s">
        <v>15</v>
      </c>
      <c r="H229" s="7"/>
      <c r="I229" s="7"/>
    </row>
    <row r="230" customFormat="false" ht="12.75" hidden="false" customHeight="true" outlineLevel="0" collapsed="false">
      <c r="A230" s="3" t="s">
        <v>595</v>
      </c>
      <c r="B230" s="4" t="s">
        <v>596</v>
      </c>
      <c r="C230" s="4" t="s">
        <v>215</v>
      </c>
      <c r="D230" s="4" t="s">
        <v>597</v>
      </c>
      <c r="E230" s="4" t="s">
        <v>600</v>
      </c>
      <c r="F230" s="4" t="s">
        <v>43</v>
      </c>
      <c r="G230" s="5" t="s">
        <v>15</v>
      </c>
      <c r="H230" s="4"/>
      <c r="I230" s="4"/>
    </row>
    <row r="231" customFormat="false" ht="12.75" hidden="false" customHeight="true" outlineLevel="0" collapsed="false">
      <c r="A231" s="6" t="s">
        <v>595</v>
      </c>
      <c r="B231" s="7" t="s">
        <v>596</v>
      </c>
      <c r="C231" s="7" t="s">
        <v>215</v>
      </c>
      <c r="D231" s="7" t="s">
        <v>597</v>
      </c>
      <c r="E231" s="7" t="s">
        <v>601</v>
      </c>
      <c r="F231" s="7" t="s">
        <v>270</v>
      </c>
      <c r="G231" s="5" t="s">
        <v>15</v>
      </c>
      <c r="H231" s="7"/>
      <c r="I231" s="7"/>
    </row>
    <row r="232" customFormat="false" ht="12.75" hidden="false" customHeight="true" outlineLevel="0" collapsed="false">
      <c r="A232" s="3" t="s">
        <v>595</v>
      </c>
      <c r="B232" s="4" t="s">
        <v>596</v>
      </c>
      <c r="C232" s="4" t="s">
        <v>215</v>
      </c>
      <c r="D232" s="4" t="s">
        <v>597</v>
      </c>
      <c r="E232" s="4" t="s">
        <v>602</v>
      </c>
      <c r="F232" s="4" t="s">
        <v>270</v>
      </c>
      <c r="G232" s="5" t="s">
        <v>15</v>
      </c>
      <c r="H232" s="4"/>
      <c r="I232" s="4"/>
    </row>
    <row r="233" customFormat="false" ht="12.75" hidden="false" customHeight="true" outlineLevel="0" collapsed="false">
      <c r="A233" s="6" t="s">
        <v>595</v>
      </c>
      <c r="B233" s="7" t="s">
        <v>596</v>
      </c>
      <c r="C233" s="7" t="s">
        <v>215</v>
      </c>
      <c r="D233" s="7" t="s">
        <v>597</v>
      </c>
      <c r="E233" s="7" t="s">
        <v>603</v>
      </c>
      <c r="F233" s="7" t="s">
        <v>14</v>
      </c>
      <c r="G233" s="5" t="s">
        <v>15</v>
      </c>
      <c r="H233" s="7"/>
      <c r="I233" s="7"/>
    </row>
    <row r="234" customFormat="false" ht="12.75" hidden="false" customHeight="true" outlineLevel="0" collapsed="false">
      <c r="A234" s="3" t="s">
        <v>595</v>
      </c>
      <c r="B234" s="4" t="s">
        <v>596</v>
      </c>
      <c r="C234" s="4" t="s">
        <v>215</v>
      </c>
      <c r="D234" s="4" t="s">
        <v>597</v>
      </c>
      <c r="E234" s="4" t="s">
        <v>604</v>
      </c>
      <c r="F234" s="4" t="s">
        <v>14</v>
      </c>
      <c r="G234" s="5" t="s">
        <v>15</v>
      </c>
      <c r="H234" s="4"/>
      <c r="I234" s="4"/>
    </row>
    <row r="235" customFormat="false" ht="12.75" hidden="false" customHeight="true" outlineLevel="0" collapsed="false">
      <c r="A235" s="6" t="s">
        <v>595</v>
      </c>
      <c r="B235" s="7" t="s">
        <v>596</v>
      </c>
      <c r="C235" s="7" t="s">
        <v>215</v>
      </c>
      <c r="D235" s="7" t="s">
        <v>597</v>
      </c>
      <c r="E235" s="7" t="s">
        <v>605</v>
      </c>
      <c r="F235" s="7" t="s">
        <v>21</v>
      </c>
      <c r="G235" s="5" t="s">
        <v>15</v>
      </c>
      <c r="H235" s="7"/>
      <c r="I235" s="7"/>
    </row>
    <row r="236" customFormat="false" ht="12.75" hidden="false" customHeight="true" outlineLevel="0" collapsed="false">
      <c r="A236" s="3" t="s">
        <v>595</v>
      </c>
      <c r="B236" s="4" t="s">
        <v>596</v>
      </c>
      <c r="C236" s="4" t="s">
        <v>215</v>
      </c>
      <c r="D236" s="4" t="s">
        <v>597</v>
      </c>
      <c r="E236" s="4" t="s">
        <v>606</v>
      </c>
      <c r="F236" s="4" t="s">
        <v>14</v>
      </c>
      <c r="G236" s="5" t="s">
        <v>15</v>
      </c>
      <c r="H236" s="4"/>
      <c r="I236" s="4"/>
    </row>
    <row r="237" customFormat="false" ht="12.75" hidden="false" customHeight="true" outlineLevel="0" collapsed="false">
      <c r="A237" s="6" t="s">
        <v>607</v>
      </c>
      <c r="B237" s="7" t="s">
        <v>608</v>
      </c>
      <c r="C237" s="7" t="s">
        <v>215</v>
      </c>
      <c r="D237" s="7" t="s">
        <v>609</v>
      </c>
      <c r="E237" s="7" t="s">
        <v>610</v>
      </c>
      <c r="F237" s="7" t="s">
        <v>270</v>
      </c>
      <c r="G237" s="5" t="s">
        <v>15</v>
      </c>
      <c r="H237" s="7"/>
      <c r="I237" s="7"/>
    </row>
    <row r="238" customFormat="false" ht="12.75" hidden="false" customHeight="true" outlineLevel="0" collapsed="false">
      <c r="A238" s="3" t="s">
        <v>611</v>
      </c>
      <c r="B238" s="4" t="s">
        <v>612</v>
      </c>
      <c r="C238" s="4" t="s">
        <v>215</v>
      </c>
      <c r="D238" s="4" t="s">
        <v>613</v>
      </c>
      <c r="E238" s="4" t="s">
        <v>614</v>
      </c>
      <c r="F238" s="4" t="s">
        <v>21</v>
      </c>
      <c r="G238" s="5" t="s">
        <v>15</v>
      </c>
      <c r="H238" s="4"/>
      <c r="I238" s="4"/>
    </row>
    <row r="239" customFormat="false" ht="12.75" hidden="false" customHeight="true" outlineLevel="0" collapsed="false">
      <c r="A239" s="6" t="s">
        <v>615</v>
      </c>
      <c r="B239" s="7" t="s">
        <v>616</v>
      </c>
      <c r="C239" s="7" t="s">
        <v>215</v>
      </c>
      <c r="D239" s="7" t="s">
        <v>617</v>
      </c>
      <c r="E239" s="7" t="s">
        <v>618</v>
      </c>
      <c r="F239" s="7" t="s">
        <v>270</v>
      </c>
      <c r="G239" s="5" t="s">
        <v>15</v>
      </c>
      <c r="H239" s="7"/>
      <c r="I239" s="7"/>
    </row>
    <row r="240" customFormat="false" ht="12.75" hidden="false" customHeight="true" outlineLevel="0" collapsed="false">
      <c r="A240" s="3" t="s">
        <v>615</v>
      </c>
      <c r="B240" s="4" t="s">
        <v>616</v>
      </c>
      <c r="C240" s="4" t="s">
        <v>215</v>
      </c>
      <c r="D240" s="4" t="s">
        <v>617</v>
      </c>
      <c r="E240" s="4" t="s">
        <v>619</v>
      </c>
      <c r="F240" s="4" t="s">
        <v>14</v>
      </c>
      <c r="G240" s="5" t="s">
        <v>15</v>
      </c>
      <c r="H240" s="4"/>
      <c r="I240" s="4"/>
    </row>
    <row r="241" customFormat="false" ht="12.75" hidden="false" customHeight="true" outlineLevel="0" collapsed="false">
      <c r="A241" s="6" t="s">
        <v>615</v>
      </c>
      <c r="B241" s="7" t="s">
        <v>616</v>
      </c>
      <c r="C241" s="7" t="s">
        <v>215</v>
      </c>
      <c r="D241" s="7" t="s">
        <v>617</v>
      </c>
      <c r="E241" s="7" t="s">
        <v>620</v>
      </c>
      <c r="F241" s="7" t="s">
        <v>14</v>
      </c>
      <c r="G241" s="5" t="s">
        <v>15</v>
      </c>
      <c r="H241" s="7"/>
      <c r="I241" s="7"/>
    </row>
    <row r="242" customFormat="false" ht="12.75" hidden="false" customHeight="true" outlineLevel="0" collapsed="false">
      <c r="A242" s="3" t="s">
        <v>615</v>
      </c>
      <c r="B242" s="4" t="s">
        <v>616</v>
      </c>
      <c r="C242" s="4" t="s">
        <v>215</v>
      </c>
      <c r="D242" s="4" t="s">
        <v>617</v>
      </c>
      <c r="E242" s="4" t="s">
        <v>621</v>
      </c>
      <c r="F242" s="4" t="s">
        <v>14</v>
      </c>
      <c r="G242" s="5" t="s">
        <v>15</v>
      </c>
      <c r="H242" s="4"/>
      <c r="I242" s="4"/>
    </row>
    <row r="243" customFormat="false" ht="12.75" hidden="false" customHeight="true" outlineLevel="0" collapsed="false">
      <c r="A243" s="6" t="s">
        <v>615</v>
      </c>
      <c r="B243" s="7" t="s">
        <v>616</v>
      </c>
      <c r="C243" s="7" t="s">
        <v>215</v>
      </c>
      <c r="D243" s="7" t="s">
        <v>617</v>
      </c>
      <c r="E243" s="7" t="s">
        <v>622</v>
      </c>
      <c r="F243" s="7" t="s">
        <v>21</v>
      </c>
      <c r="G243" s="5" t="s">
        <v>15</v>
      </c>
      <c r="H243" s="7"/>
      <c r="I243" s="7"/>
    </row>
    <row r="244" customFormat="false" ht="12.75" hidden="false" customHeight="true" outlineLevel="0" collapsed="false">
      <c r="A244" s="3" t="s">
        <v>623</v>
      </c>
      <c r="B244" s="4" t="s">
        <v>624</v>
      </c>
      <c r="C244" s="4" t="s">
        <v>215</v>
      </c>
      <c r="D244" s="4" t="s">
        <v>625</v>
      </c>
      <c r="E244" s="4" t="s">
        <v>626</v>
      </c>
      <c r="F244" s="4" t="s">
        <v>43</v>
      </c>
      <c r="G244" s="5" t="s">
        <v>15</v>
      </c>
      <c r="H244" s="4"/>
      <c r="I244" s="4"/>
    </row>
    <row r="245" customFormat="false" ht="12.75" hidden="false" customHeight="true" outlineLevel="0" collapsed="false">
      <c r="A245" s="6" t="s">
        <v>623</v>
      </c>
      <c r="B245" s="7" t="s">
        <v>624</v>
      </c>
      <c r="C245" s="7" t="s">
        <v>215</v>
      </c>
      <c r="D245" s="7" t="s">
        <v>625</v>
      </c>
      <c r="E245" s="7" t="s">
        <v>627</v>
      </c>
      <c r="F245" s="7" t="s">
        <v>270</v>
      </c>
      <c r="G245" s="5" t="s">
        <v>15</v>
      </c>
      <c r="H245" s="7"/>
      <c r="I245" s="7"/>
    </row>
    <row r="246" customFormat="false" ht="12.75" hidden="false" customHeight="true" outlineLevel="0" collapsed="false">
      <c r="A246" s="3" t="s">
        <v>623</v>
      </c>
      <c r="B246" s="4" t="s">
        <v>624</v>
      </c>
      <c r="C246" s="4" t="s">
        <v>215</v>
      </c>
      <c r="D246" s="4" t="s">
        <v>625</v>
      </c>
      <c r="E246" s="4" t="s">
        <v>628</v>
      </c>
      <c r="F246" s="4" t="s">
        <v>14</v>
      </c>
      <c r="G246" s="5" t="s">
        <v>15</v>
      </c>
      <c r="H246" s="4"/>
      <c r="I246" s="4"/>
    </row>
    <row r="247" customFormat="false" ht="12.75" hidden="false" customHeight="true" outlineLevel="0" collapsed="false">
      <c r="A247" s="6" t="s">
        <v>623</v>
      </c>
      <c r="B247" s="7" t="s">
        <v>624</v>
      </c>
      <c r="C247" s="7" t="s">
        <v>215</v>
      </c>
      <c r="D247" s="7" t="s">
        <v>625</v>
      </c>
      <c r="E247" s="7" t="s">
        <v>629</v>
      </c>
      <c r="F247" s="7" t="s">
        <v>21</v>
      </c>
      <c r="G247" s="5" t="s">
        <v>15</v>
      </c>
      <c r="H247" s="7"/>
      <c r="I247" s="7"/>
    </row>
    <row r="248" customFormat="false" ht="12.75" hidden="false" customHeight="true" outlineLevel="0" collapsed="false">
      <c r="A248" s="3" t="s">
        <v>623</v>
      </c>
      <c r="B248" s="4" t="s">
        <v>624</v>
      </c>
      <c r="C248" s="4" t="s">
        <v>215</v>
      </c>
      <c r="D248" s="4" t="s">
        <v>625</v>
      </c>
      <c r="E248" s="4" t="s">
        <v>630</v>
      </c>
      <c r="F248" s="4" t="s">
        <v>21</v>
      </c>
      <c r="G248" s="5" t="s">
        <v>15</v>
      </c>
      <c r="H248" s="4"/>
      <c r="I248" s="4"/>
    </row>
    <row r="249" customFormat="false" ht="12.75" hidden="false" customHeight="true" outlineLevel="0" collapsed="false">
      <c r="A249" s="6" t="s">
        <v>631</v>
      </c>
      <c r="B249" s="7" t="s">
        <v>632</v>
      </c>
      <c r="C249" s="7" t="s">
        <v>215</v>
      </c>
      <c r="D249" s="7" t="s">
        <v>633</v>
      </c>
      <c r="E249" s="7" t="s">
        <v>634</v>
      </c>
      <c r="F249" s="7" t="s">
        <v>270</v>
      </c>
      <c r="G249" s="5" t="s">
        <v>15</v>
      </c>
      <c r="H249" s="7"/>
      <c r="I249" s="7"/>
    </row>
    <row r="250" customFormat="false" ht="12.75" hidden="false" customHeight="true" outlineLevel="0" collapsed="false">
      <c r="A250" s="3" t="s">
        <v>635</v>
      </c>
      <c r="B250" s="4" t="s">
        <v>636</v>
      </c>
      <c r="C250" s="4" t="s">
        <v>215</v>
      </c>
      <c r="D250" s="4" t="s">
        <v>637</v>
      </c>
      <c r="E250" s="4" t="s">
        <v>638</v>
      </c>
      <c r="F250" s="4" t="s">
        <v>14</v>
      </c>
      <c r="G250" s="5" t="s">
        <v>15</v>
      </c>
      <c r="H250" s="4"/>
      <c r="I250" s="4"/>
    </row>
    <row r="251" customFormat="false" ht="12.75" hidden="false" customHeight="true" outlineLevel="0" collapsed="false">
      <c r="A251" s="6" t="s">
        <v>639</v>
      </c>
      <c r="B251" s="7" t="s">
        <v>640</v>
      </c>
      <c r="C251" s="7" t="s">
        <v>215</v>
      </c>
      <c r="D251" s="7" t="s">
        <v>641</v>
      </c>
      <c r="E251" s="7" t="s">
        <v>642</v>
      </c>
      <c r="F251" s="7" t="s">
        <v>21</v>
      </c>
      <c r="G251" s="5" t="s">
        <v>15</v>
      </c>
      <c r="H251" s="7"/>
      <c r="I251" s="7"/>
    </row>
    <row r="252" customFormat="false" ht="12.75" hidden="false" customHeight="true" outlineLevel="0" collapsed="false">
      <c r="A252" s="3" t="s">
        <v>643</v>
      </c>
      <c r="B252" s="4" t="s">
        <v>644</v>
      </c>
      <c r="C252" s="4" t="s">
        <v>270</v>
      </c>
      <c r="D252" s="4" t="s">
        <v>645</v>
      </c>
      <c r="E252" s="4" t="s">
        <v>646</v>
      </c>
      <c r="F252" s="4" t="s">
        <v>21</v>
      </c>
      <c r="G252" s="5" t="s">
        <v>15</v>
      </c>
      <c r="H252" s="4"/>
      <c r="I252" s="4"/>
    </row>
    <row r="253" customFormat="false" ht="12.75" hidden="false" customHeight="true" outlineLevel="0" collapsed="false">
      <c r="A253" s="6" t="s">
        <v>643</v>
      </c>
      <c r="B253" s="7" t="s">
        <v>644</v>
      </c>
      <c r="C253" s="7" t="s">
        <v>270</v>
      </c>
      <c r="D253" s="7" t="s">
        <v>645</v>
      </c>
      <c r="E253" s="7" t="s">
        <v>647</v>
      </c>
      <c r="F253" s="7" t="s">
        <v>21</v>
      </c>
      <c r="G253" s="5" t="s">
        <v>15</v>
      </c>
      <c r="H253" s="7"/>
      <c r="I253" s="7"/>
    </row>
    <row r="254" customFormat="false" ht="12.75" hidden="false" customHeight="true" outlineLevel="0" collapsed="false">
      <c r="A254" s="3" t="s">
        <v>643</v>
      </c>
      <c r="B254" s="4" t="s">
        <v>644</v>
      </c>
      <c r="C254" s="4" t="s">
        <v>270</v>
      </c>
      <c r="D254" s="4" t="s">
        <v>645</v>
      </c>
      <c r="E254" s="4" t="s">
        <v>648</v>
      </c>
      <c r="F254" s="4" t="s">
        <v>21</v>
      </c>
      <c r="G254" s="5" t="s">
        <v>15</v>
      </c>
      <c r="H254" s="4"/>
      <c r="I254" s="4"/>
    </row>
    <row r="255" customFormat="false" ht="12.75" hidden="false" customHeight="true" outlineLevel="0" collapsed="false">
      <c r="A255" s="6" t="s">
        <v>643</v>
      </c>
      <c r="B255" s="7" t="s">
        <v>644</v>
      </c>
      <c r="C255" s="7" t="s">
        <v>270</v>
      </c>
      <c r="D255" s="7" t="s">
        <v>645</v>
      </c>
      <c r="E255" s="7" t="s">
        <v>649</v>
      </c>
      <c r="F255" s="7" t="s">
        <v>21</v>
      </c>
      <c r="G255" s="5" t="s">
        <v>15</v>
      </c>
      <c r="H255" s="7"/>
      <c r="I255" s="7"/>
    </row>
    <row r="256" customFormat="false" ht="12.75" hidden="false" customHeight="true" outlineLevel="0" collapsed="false">
      <c r="A256" s="3" t="s">
        <v>643</v>
      </c>
      <c r="B256" s="4" t="s">
        <v>644</v>
      </c>
      <c r="C256" s="4" t="s">
        <v>270</v>
      </c>
      <c r="D256" s="4" t="s">
        <v>645</v>
      </c>
      <c r="E256" s="4" t="s">
        <v>650</v>
      </c>
      <c r="F256" s="4" t="s">
        <v>21</v>
      </c>
      <c r="G256" s="5" t="s">
        <v>15</v>
      </c>
      <c r="H256" s="4"/>
      <c r="I256" s="4"/>
    </row>
    <row r="257" customFormat="false" ht="12.75" hidden="false" customHeight="true" outlineLevel="0" collapsed="false">
      <c r="A257" s="6" t="s">
        <v>651</v>
      </c>
      <c r="B257" s="7" t="s">
        <v>652</v>
      </c>
      <c r="C257" s="7" t="s">
        <v>270</v>
      </c>
      <c r="D257" s="7" t="s">
        <v>653</v>
      </c>
      <c r="E257" s="7" t="s">
        <v>654</v>
      </c>
      <c r="F257" s="7" t="s">
        <v>14</v>
      </c>
      <c r="G257" s="5" t="s">
        <v>15</v>
      </c>
      <c r="H257" s="7"/>
      <c r="I257" s="7"/>
    </row>
    <row r="258" customFormat="false" ht="12.75" hidden="false" customHeight="true" outlineLevel="0" collapsed="false">
      <c r="A258" s="3" t="s">
        <v>651</v>
      </c>
      <c r="B258" s="4" t="s">
        <v>652</v>
      </c>
      <c r="C258" s="4" t="s">
        <v>270</v>
      </c>
      <c r="D258" s="4" t="s">
        <v>653</v>
      </c>
      <c r="E258" s="4" t="s">
        <v>655</v>
      </c>
      <c r="F258" s="4" t="s">
        <v>21</v>
      </c>
      <c r="G258" s="5" t="s">
        <v>15</v>
      </c>
      <c r="H258" s="4"/>
      <c r="I258" s="4"/>
    </row>
    <row r="259" customFormat="false" ht="12.75" hidden="false" customHeight="true" outlineLevel="0" collapsed="false">
      <c r="A259" s="6" t="s">
        <v>656</v>
      </c>
      <c r="B259" s="7" t="s">
        <v>85</v>
      </c>
      <c r="C259" s="7" t="s">
        <v>270</v>
      </c>
      <c r="D259" s="7" t="s">
        <v>657</v>
      </c>
      <c r="E259" s="7" t="s">
        <v>658</v>
      </c>
      <c r="F259" s="7" t="s">
        <v>100</v>
      </c>
      <c r="G259" s="5" t="s">
        <v>15</v>
      </c>
      <c r="H259" s="7"/>
      <c r="I259" s="7"/>
    </row>
    <row r="260" customFormat="false" ht="12.75" hidden="false" customHeight="true" outlineLevel="0" collapsed="false">
      <c r="A260" s="3" t="s">
        <v>656</v>
      </c>
      <c r="B260" s="4" t="s">
        <v>85</v>
      </c>
      <c r="C260" s="4" t="s">
        <v>270</v>
      </c>
      <c r="D260" s="4" t="s">
        <v>657</v>
      </c>
      <c r="E260" s="4" t="s">
        <v>659</v>
      </c>
      <c r="F260" s="4" t="s">
        <v>100</v>
      </c>
      <c r="G260" s="5" t="s">
        <v>15</v>
      </c>
      <c r="H260" s="4"/>
      <c r="I260" s="4"/>
    </row>
    <row r="261" customFormat="false" ht="12.75" hidden="false" customHeight="true" outlineLevel="0" collapsed="false">
      <c r="A261" s="6" t="s">
        <v>656</v>
      </c>
      <c r="B261" s="7" t="s">
        <v>85</v>
      </c>
      <c r="C261" s="7" t="s">
        <v>270</v>
      </c>
      <c r="D261" s="7" t="s">
        <v>657</v>
      </c>
      <c r="E261" s="7" t="s">
        <v>660</v>
      </c>
      <c r="F261" s="7" t="s">
        <v>100</v>
      </c>
      <c r="G261" s="5" t="s">
        <v>15</v>
      </c>
      <c r="H261" s="7"/>
      <c r="I261" s="7"/>
    </row>
    <row r="262" customFormat="false" ht="12.75" hidden="false" customHeight="true" outlineLevel="0" collapsed="false">
      <c r="A262" s="3" t="s">
        <v>656</v>
      </c>
      <c r="B262" s="4" t="s">
        <v>85</v>
      </c>
      <c r="C262" s="4" t="s">
        <v>270</v>
      </c>
      <c r="D262" s="4" t="s">
        <v>657</v>
      </c>
      <c r="E262" s="4" t="s">
        <v>661</v>
      </c>
      <c r="F262" s="4" t="s">
        <v>14</v>
      </c>
      <c r="G262" s="5" t="s">
        <v>15</v>
      </c>
      <c r="H262" s="4"/>
      <c r="I262" s="4"/>
    </row>
    <row r="263" customFormat="false" ht="12.75" hidden="false" customHeight="true" outlineLevel="0" collapsed="false">
      <c r="A263" s="6" t="s">
        <v>656</v>
      </c>
      <c r="B263" s="7" t="s">
        <v>85</v>
      </c>
      <c r="C263" s="7" t="s">
        <v>270</v>
      </c>
      <c r="D263" s="7" t="s">
        <v>657</v>
      </c>
      <c r="E263" s="7" t="s">
        <v>662</v>
      </c>
      <c r="F263" s="7" t="s">
        <v>14</v>
      </c>
      <c r="G263" s="5" t="s">
        <v>15</v>
      </c>
      <c r="H263" s="7"/>
      <c r="I263" s="7"/>
    </row>
    <row r="264" customFormat="false" ht="12.75" hidden="false" customHeight="true" outlineLevel="0" collapsed="false">
      <c r="A264" s="3" t="s">
        <v>656</v>
      </c>
      <c r="B264" s="4" t="s">
        <v>85</v>
      </c>
      <c r="C264" s="4" t="s">
        <v>270</v>
      </c>
      <c r="D264" s="4" t="s">
        <v>657</v>
      </c>
      <c r="E264" s="4" t="s">
        <v>663</v>
      </c>
      <c r="F264" s="4" t="s">
        <v>14</v>
      </c>
      <c r="G264" s="5" t="s">
        <v>15</v>
      </c>
      <c r="H264" s="4"/>
      <c r="I264" s="4"/>
    </row>
    <row r="265" customFormat="false" ht="12.75" hidden="false" customHeight="true" outlineLevel="0" collapsed="false">
      <c r="A265" s="6" t="s">
        <v>656</v>
      </c>
      <c r="B265" s="7" t="s">
        <v>85</v>
      </c>
      <c r="C265" s="7" t="s">
        <v>270</v>
      </c>
      <c r="D265" s="7" t="s">
        <v>657</v>
      </c>
      <c r="E265" s="7" t="s">
        <v>664</v>
      </c>
      <c r="F265" s="7" t="s">
        <v>14</v>
      </c>
      <c r="G265" s="5" t="s">
        <v>15</v>
      </c>
      <c r="H265" s="7"/>
      <c r="I265" s="7"/>
    </row>
    <row r="266" customFormat="false" ht="12.75" hidden="false" customHeight="true" outlineLevel="0" collapsed="false">
      <c r="A266" s="3" t="s">
        <v>656</v>
      </c>
      <c r="B266" s="4" t="s">
        <v>85</v>
      </c>
      <c r="C266" s="4" t="s">
        <v>270</v>
      </c>
      <c r="D266" s="4" t="s">
        <v>657</v>
      </c>
      <c r="E266" s="4" t="s">
        <v>665</v>
      </c>
      <c r="F266" s="4" t="s">
        <v>27</v>
      </c>
      <c r="G266" s="5" t="s">
        <v>15</v>
      </c>
      <c r="H266" s="4"/>
      <c r="I266" s="4"/>
    </row>
    <row r="267" customFormat="false" ht="12.75" hidden="false" customHeight="true" outlineLevel="0" collapsed="false">
      <c r="A267" s="6" t="s">
        <v>656</v>
      </c>
      <c r="B267" s="7" t="s">
        <v>85</v>
      </c>
      <c r="C267" s="7" t="s">
        <v>270</v>
      </c>
      <c r="D267" s="7" t="s">
        <v>657</v>
      </c>
      <c r="E267" s="7" t="s">
        <v>666</v>
      </c>
      <c r="F267" s="7" t="s">
        <v>21</v>
      </c>
      <c r="G267" s="5" t="s">
        <v>15</v>
      </c>
      <c r="H267" s="7"/>
      <c r="I267" s="7"/>
    </row>
    <row r="268" customFormat="false" ht="12.75" hidden="false" customHeight="true" outlineLevel="0" collapsed="false">
      <c r="A268" s="3" t="s">
        <v>656</v>
      </c>
      <c r="B268" s="4" t="s">
        <v>85</v>
      </c>
      <c r="C268" s="4" t="s">
        <v>270</v>
      </c>
      <c r="D268" s="4" t="s">
        <v>657</v>
      </c>
      <c r="E268" s="4" t="s">
        <v>667</v>
      </c>
      <c r="F268" s="4" t="s">
        <v>27</v>
      </c>
      <c r="G268" s="5" t="s">
        <v>15</v>
      </c>
      <c r="H268" s="4"/>
      <c r="I268" s="4"/>
    </row>
    <row r="269" customFormat="false" ht="12.75" hidden="false" customHeight="true" outlineLevel="0" collapsed="false">
      <c r="A269" s="6" t="s">
        <v>656</v>
      </c>
      <c r="B269" s="7" t="s">
        <v>85</v>
      </c>
      <c r="C269" s="7" t="s">
        <v>270</v>
      </c>
      <c r="D269" s="7" t="s">
        <v>657</v>
      </c>
      <c r="E269" s="7" t="s">
        <v>668</v>
      </c>
      <c r="F269" s="7" t="s">
        <v>27</v>
      </c>
      <c r="G269" s="5" t="s">
        <v>15</v>
      </c>
      <c r="H269" s="7"/>
      <c r="I269" s="7"/>
    </row>
    <row r="270" customFormat="false" ht="12.75" hidden="false" customHeight="true" outlineLevel="0" collapsed="false">
      <c r="A270" s="3" t="s">
        <v>656</v>
      </c>
      <c r="B270" s="4" t="s">
        <v>85</v>
      </c>
      <c r="C270" s="4" t="s">
        <v>270</v>
      </c>
      <c r="D270" s="4" t="s">
        <v>657</v>
      </c>
      <c r="E270" s="4" t="s">
        <v>669</v>
      </c>
      <c r="F270" s="4" t="s">
        <v>27</v>
      </c>
      <c r="G270" s="5" t="s">
        <v>15</v>
      </c>
      <c r="H270" s="4"/>
      <c r="I270" s="4"/>
    </row>
    <row r="271" customFormat="false" ht="12.75" hidden="false" customHeight="true" outlineLevel="0" collapsed="false">
      <c r="A271" s="6" t="s">
        <v>656</v>
      </c>
      <c r="B271" s="7" t="s">
        <v>85</v>
      </c>
      <c r="C271" s="7" t="s">
        <v>270</v>
      </c>
      <c r="D271" s="7" t="s">
        <v>657</v>
      </c>
      <c r="E271" s="7" t="s">
        <v>670</v>
      </c>
      <c r="F271" s="7" t="s">
        <v>27</v>
      </c>
      <c r="G271" s="5" t="s">
        <v>15</v>
      </c>
      <c r="H271" s="7"/>
      <c r="I271" s="7"/>
    </row>
    <row r="272" customFormat="false" ht="12.75" hidden="false" customHeight="true" outlineLevel="0" collapsed="false">
      <c r="A272" s="3" t="s">
        <v>656</v>
      </c>
      <c r="B272" s="4" t="s">
        <v>85</v>
      </c>
      <c r="C272" s="4" t="s">
        <v>270</v>
      </c>
      <c r="D272" s="4" t="s">
        <v>657</v>
      </c>
      <c r="E272" s="4" t="s">
        <v>671</v>
      </c>
      <c r="F272" s="4" t="s">
        <v>27</v>
      </c>
      <c r="G272" s="5" t="s">
        <v>15</v>
      </c>
      <c r="H272" s="4"/>
      <c r="I272" s="4"/>
    </row>
    <row r="273" customFormat="false" ht="12.75" hidden="false" customHeight="true" outlineLevel="0" collapsed="false">
      <c r="A273" s="6" t="s">
        <v>672</v>
      </c>
      <c r="B273" s="7" t="s">
        <v>158</v>
      </c>
      <c r="C273" s="7" t="s">
        <v>270</v>
      </c>
      <c r="D273" s="7" t="s">
        <v>673</v>
      </c>
      <c r="E273" s="7" t="s">
        <v>674</v>
      </c>
      <c r="F273" s="7" t="s">
        <v>27</v>
      </c>
      <c r="G273" s="5" t="s">
        <v>15</v>
      </c>
      <c r="H273" s="7"/>
      <c r="I273" s="7"/>
    </row>
    <row r="274" customFormat="false" ht="12.75" hidden="false" customHeight="true" outlineLevel="0" collapsed="false">
      <c r="A274" s="3" t="s">
        <v>672</v>
      </c>
      <c r="B274" s="4" t="s">
        <v>158</v>
      </c>
      <c r="C274" s="4" t="s">
        <v>270</v>
      </c>
      <c r="D274" s="4" t="s">
        <v>673</v>
      </c>
      <c r="E274" s="4" t="s">
        <v>675</v>
      </c>
      <c r="F274" s="4" t="s">
        <v>27</v>
      </c>
      <c r="G274" s="5" t="s">
        <v>15</v>
      </c>
      <c r="H274" s="4"/>
      <c r="I274" s="4"/>
    </row>
    <row r="275" customFormat="false" ht="12.75" hidden="false" customHeight="true" outlineLevel="0" collapsed="false">
      <c r="A275" s="6" t="s">
        <v>676</v>
      </c>
      <c r="B275" s="7" t="s">
        <v>677</v>
      </c>
      <c r="C275" s="7" t="s">
        <v>270</v>
      </c>
      <c r="D275" s="7" t="s">
        <v>678</v>
      </c>
      <c r="E275" s="7" t="s">
        <v>679</v>
      </c>
      <c r="F275" s="7" t="s">
        <v>21</v>
      </c>
      <c r="G275" s="5" t="s">
        <v>15</v>
      </c>
      <c r="H275" s="7"/>
      <c r="I275" s="7"/>
    </row>
    <row r="276" customFormat="false" ht="12.75" hidden="false" customHeight="true" outlineLevel="0" collapsed="false">
      <c r="A276" s="3" t="s">
        <v>676</v>
      </c>
      <c r="B276" s="4" t="s">
        <v>677</v>
      </c>
      <c r="C276" s="4" t="s">
        <v>270</v>
      </c>
      <c r="D276" s="4" t="s">
        <v>678</v>
      </c>
      <c r="E276" s="4" t="s">
        <v>680</v>
      </c>
      <c r="F276" s="4" t="s">
        <v>21</v>
      </c>
      <c r="G276" s="5" t="s">
        <v>15</v>
      </c>
      <c r="H276" s="4"/>
      <c r="I276" s="4"/>
    </row>
    <row r="277" customFormat="false" ht="12.75" hidden="false" customHeight="true" outlineLevel="0" collapsed="false">
      <c r="A277" s="6" t="s">
        <v>676</v>
      </c>
      <c r="B277" s="7" t="s">
        <v>677</v>
      </c>
      <c r="C277" s="7" t="s">
        <v>270</v>
      </c>
      <c r="D277" s="7" t="s">
        <v>678</v>
      </c>
      <c r="E277" s="7" t="s">
        <v>681</v>
      </c>
      <c r="F277" s="7" t="s">
        <v>27</v>
      </c>
      <c r="G277" s="5" t="s">
        <v>15</v>
      </c>
      <c r="H277" s="7"/>
      <c r="I277" s="7"/>
    </row>
    <row r="278" customFormat="false" ht="12.75" hidden="false" customHeight="true" outlineLevel="0" collapsed="false">
      <c r="A278" s="3" t="s">
        <v>676</v>
      </c>
      <c r="B278" s="4" t="s">
        <v>677</v>
      </c>
      <c r="C278" s="4" t="s">
        <v>270</v>
      </c>
      <c r="D278" s="4" t="s">
        <v>678</v>
      </c>
      <c r="E278" s="4" t="s">
        <v>682</v>
      </c>
      <c r="F278" s="4" t="s">
        <v>27</v>
      </c>
      <c r="G278" s="5" t="s">
        <v>15</v>
      </c>
      <c r="H278" s="4"/>
      <c r="I278" s="4"/>
    </row>
    <row r="279" customFormat="false" ht="12.75" hidden="false" customHeight="true" outlineLevel="0" collapsed="false">
      <c r="A279" s="6" t="s">
        <v>676</v>
      </c>
      <c r="B279" s="7" t="s">
        <v>677</v>
      </c>
      <c r="C279" s="7" t="s">
        <v>270</v>
      </c>
      <c r="D279" s="7" t="s">
        <v>678</v>
      </c>
      <c r="E279" s="7" t="s">
        <v>683</v>
      </c>
      <c r="F279" s="7" t="s">
        <v>27</v>
      </c>
      <c r="G279" s="5" t="s">
        <v>15</v>
      </c>
      <c r="H279" s="7"/>
      <c r="I279" s="7"/>
    </row>
    <row r="280" customFormat="false" ht="12.75" hidden="false" customHeight="true" outlineLevel="0" collapsed="false">
      <c r="A280" s="3" t="s">
        <v>676</v>
      </c>
      <c r="B280" s="4" t="s">
        <v>677</v>
      </c>
      <c r="C280" s="4" t="s">
        <v>270</v>
      </c>
      <c r="D280" s="4" t="s">
        <v>678</v>
      </c>
      <c r="E280" s="4" t="s">
        <v>684</v>
      </c>
      <c r="F280" s="4" t="s">
        <v>27</v>
      </c>
      <c r="G280" s="5" t="s">
        <v>15</v>
      </c>
      <c r="H280" s="4"/>
      <c r="I280" s="4"/>
    </row>
    <row r="281" customFormat="false" ht="12.75" hidden="false" customHeight="true" outlineLevel="0" collapsed="false">
      <c r="A281" s="6" t="s">
        <v>685</v>
      </c>
      <c r="B281" s="7" t="s">
        <v>134</v>
      </c>
      <c r="C281" s="7" t="s">
        <v>270</v>
      </c>
      <c r="D281" s="7" t="s">
        <v>686</v>
      </c>
      <c r="E281" s="7" t="s">
        <v>687</v>
      </c>
      <c r="F281" s="7" t="s">
        <v>21</v>
      </c>
      <c r="G281" s="5" t="s">
        <v>15</v>
      </c>
      <c r="H281" s="7"/>
      <c r="I281" s="7"/>
    </row>
    <row r="282" customFormat="false" ht="12.75" hidden="false" customHeight="true" outlineLevel="0" collapsed="false">
      <c r="A282" s="3" t="s">
        <v>688</v>
      </c>
      <c r="B282" s="4" t="s">
        <v>689</v>
      </c>
      <c r="C282" s="4" t="s">
        <v>270</v>
      </c>
      <c r="D282" s="4" t="s">
        <v>690</v>
      </c>
      <c r="E282" s="4" t="s">
        <v>691</v>
      </c>
      <c r="F282" s="4" t="s">
        <v>14</v>
      </c>
      <c r="G282" s="5" t="s">
        <v>15</v>
      </c>
      <c r="H282" s="4"/>
      <c r="I282" s="4"/>
    </row>
    <row r="283" customFormat="false" ht="12.75" hidden="false" customHeight="true" outlineLevel="0" collapsed="false">
      <c r="A283" s="6" t="s">
        <v>688</v>
      </c>
      <c r="B283" s="7" t="s">
        <v>689</v>
      </c>
      <c r="C283" s="7" t="s">
        <v>270</v>
      </c>
      <c r="D283" s="7" t="s">
        <v>690</v>
      </c>
      <c r="E283" s="7" t="s">
        <v>692</v>
      </c>
      <c r="F283" s="7" t="s">
        <v>27</v>
      </c>
      <c r="G283" s="5" t="s">
        <v>15</v>
      </c>
      <c r="H283" s="7"/>
      <c r="I283" s="7"/>
    </row>
    <row r="284" customFormat="false" ht="12.75" hidden="false" customHeight="true" outlineLevel="0" collapsed="false">
      <c r="A284" s="3" t="s">
        <v>693</v>
      </c>
      <c r="B284" s="4" t="s">
        <v>694</v>
      </c>
      <c r="C284" s="4" t="s">
        <v>270</v>
      </c>
      <c r="D284" s="4" t="s">
        <v>695</v>
      </c>
      <c r="E284" s="4" t="s">
        <v>696</v>
      </c>
      <c r="F284" s="4" t="s">
        <v>100</v>
      </c>
      <c r="G284" s="5" t="s">
        <v>15</v>
      </c>
      <c r="H284" s="4"/>
      <c r="I284" s="4"/>
    </row>
    <row r="285" customFormat="false" ht="12.75" hidden="false" customHeight="true" outlineLevel="0" collapsed="false">
      <c r="A285" s="6" t="s">
        <v>693</v>
      </c>
      <c r="B285" s="7" t="s">
        <v>694</v>
      </c>
      <c r="C285" s="7" t="s">
        <v>270</v>
      </c>
      <c r="D285" s="7" t="s">
        <v>695</v>
      </c>
      <c r="E285" s="7" t="s">
        <v>697</v>
      </c>
      <c r="F285" s="7" t="s">
        <v>100</v>
      </c>
      <c r="G285" s="5" t="s">
        <v>15</v>
      </c>
      <c r="H285" s="7"/>
      <c r="I285" s="7"/>
    </row>
    <row r="286" customFormat="false" ht="12.75" hidden="false" customHeight="true" outlineLevel="0" collapsed="false">
      <c r="A286" s="3" t="s">
        <v>693</v>
      </c>
      <c r="B286" s="4" t="s">
        <v>694</v>
      </c>
      <c r="C286" s="4" t="s">
        <v>270</v>
      </c>
      <c r="D286" s="4" t="s">
        <v>695</v>
      </c>
      <c r="E286" s="4" t="s">
        <v>698</v>
      </c>
      <c r="F286" s="4" t="s">
        <v>215</v>
      </c>
      <c r="G286" s="5" t="s">
        <v>15</v>
      </c>
      <c r="H286" s="4"/>
      <c r="I286" s="4"/>
    </row>
    <row r="287" customFormat="false" ht="12.75" hidden="false" customHeight="true" outlineLevel="0" collapsed="false">
      <c r="A287" s="6" t="s">
        <v>693</v>
      </c>
      <c r="B287" s="7" t="s">
        <v>694</v>
      </c>
      <c r="C287" s="7" t="s">
        <v>270</v>
      </c>
      <c r="D287" s="7" t="s">
        <v>695</v>
      </c>
      <c r="E287" s="7" t="s">
        <v>699</v>
      </c>
      <c r="F287" s="7" t="s">
        <v>14</v>
      </c>
      <c r="G287" s="5" t="s">
        <v>15</v>
      </c>
      <c r="H287" s="7"/>
      <c r="I287" s="7"/>
    </row>
    <row r="288" customFormat="false" ht="12.75" hidden="false" customHeight="true" outlineLevel="0" collapsed="false">
      <c r="A288" s="3" t="s">
        <v>693</v>
      </c>
      <c r="B288" s="4" t="s">
        <v>694</v>
      </c>
      <c r="C288" s="4" t="s">
        <v>270</v>
      </c>
      <c r="D288" s="4" t="s">
        <v>695</v>
      </c>
      <c r="E288" s="4" t="s">
        <v>700</v>
      </c>
      <c r="F288" s="4" t="s">
        <v>14</v>
      </c>
      <c r="G288" s="5" t="s">
        <v>15</v>
      </c>
      <c r="H288" s="4"/>
      <c r="I288" s="4"/>
    </row>
    <row r="289" customFormat="false" ht="12.75" hidden="false" customHeight="true" outlineLevel="0" collapsed="false">
      <c r="A289" s="6" t="s">
        <v>693</v>
      </c>
      <c r="B289" s="7" t="s">
        <v>694</v>
      </c>
      <c r="C289" s="7" t="s">
        <v>270</v>
      </c>
      <c r="D289" s="7" t="s">
        <v>695</v>
      </c>
      <c r="E289" s="7" t="s">
        <v>701</v>
      </c>
      <c r="F289" s="7" t="s">
        <v>14</v>
      </c>
      <c r="G289" s="5" t="s">
        <v>15</v>
      </c>
      <c r="H289" s="7"/>
      <c r="I289" s="7"/>
    </row>
    <row r="290" customFormat="false" ht="12.75" hidden="false" customHeight="true" outlineLevel="0" collapsed="false">
      <c r="A290" s="3" t="s">
        <v>693</v>
      </c>
      <c r="B290" s="4" t="s">
        <v>694</v>
      </c>
      <c r="C290" s="4" t="s">
        <v>270</v>
      </c>
      <c r="D290" s="4" t="s">
        <v>695</v>
      </c>
      <c r="E290" s="4" t="s">
        <v>702</v>
      </c>
      <c r="F290" s="4" t="s">
        <v>568</v>
      </c>
      <c r="G290" s="5" t="s">
        <v>15</v>
      </c>
      <c r="H290" s="4"/>
      <c r="I290" s="4"/>
    </row>
    <row r="291" customFormat="false" ht="12.75" hidden="false" customHeight="true" outlineLevel="0" collapsed="false">
      <c r="A291" s="6" t="s">
        <v>703</v>
      </c>
      <c r="B291" s="7" t="s">
        <v>704</v>
      </c>
      <c r="C291" s="7" t="s">
        <v>270</v>
      </c>
      <c r="D291" s="7" t="s">
        <v>705</v>
      </c>
      <c r="E291" s="7" t="s">
        <v>706</v>
      </c>
      <c r="F291" s="7" t="s">
        <v>27</v>
      </c>
      <c r="G291" s="5" t="s">
        <v>15</v>
      </c>
      <c r="H291" s="7"/>
      <c r="I291" s="7"/>
    </row>
    <row r="292" customFormat="false" ht="12.75" hidden="false" customHeight="true" outlineLevel="0" collapsed="false">
      <c r="A292" s="3" t="s">
        <v>703</v>
      </c>
      <c r="B292" s="4" t="s">
        <v>704</v>
      </c>
      <c r="C292" s="4" t="s">
        <v>270</v>
      </c>
      <c r="D292" s="4" t="s">
        <v>705</v>
      </c>
      <c r="E292" s="4" t="s">
        <v>707</v>
      </c>
      <c r="F292" s="4" t="s">
        <v>27</v>
      </c>
      <c r="G292" s="5" t="s">
        <v>15</v>
      </c>
      <c r="H292" s="4"/>
      <c r="I292" s="4"/>
    </row>
    <row r="293" customFormat="false" ht="12.75" hidden="false" customHeight="true" outlineLevel="0" collapsed="false">
      <c r="A293" s="6" t="s">
        <v>708</v>
      </c>
      <c r="B293" s="7" t="s">
        <v>709</v>
      </c>
      <c r="C293" s="7" t="s">
        <v>270</v>
      </c>
      <c r="D293" s="7" t="s">
        <v>710</v>
      </c>
      <c r="E293" s="7" t="s">
        <v>711</v>
      </c>
      <c r="F293" s="7" t="s">
        <v>21</v>
      </c>
      <c r="G293" s="5" t="s">
        <v>15</v>
      </c>
      <c r="H293" s="7"/>
      <c r="I293" s="7"/>
    </row>
    <row r="294" customFormat="false" ht="12.75" hidden="false" customHeight="true" outlineLevel="0" collapsed="false">
      <c r="A294" s="3" t="s">
        <v>708</v>
      </c>
      <c r="B294" s="4" t="s">
        <v>709</v>
      </c>
      <c r="C294" s="4" t="s">
        <v>270</v>
      </c>
      <c r="D294" s="4" t="s">
        <v>710</v>
      </c>
      <c r="E294" s="4" t="s">
        <v>712</v>
      </c>
      <c r="F294" s="4" t="s">
        <v>21</v>
      </c>
      <c r="G294" s="5" t="s">
        <v>15</v>
      </c>
      <c r="H294" s="4"/>
      <c r="I294" s="4"/>
    </row>
    <row r="295" customFormat="false" ht="12.75" hidden="false" customHeight="true" outlineLevel="0" collapsed="false">
      <c r="A295" s="6" t="s">
        <v>708</v>
      </c>
      <c r="B295" s="7" t="s">
        <v>709</v>
      </c>
      <c r="C295" s="7" t="s">
        <v>270</v>
      </c>
      <c r="D295" s="7" t="s">
        <v>710</v>
      </c>
      <c r="E295" s="7" t="s">
        <v>713</v>
      </c>
      <c r="F295" s="7" t="s">
        <v>27</v>
      </c>
      <c r="G295" s="5" t="s">
        <v>15</v>
      </c>
      <c r="H295" s="7"/>
      <c r="I295" s="7"/>
    </row>
    <row r="296" customFormat="false" ht="12.75" hidden="false" customHeight="true" outlineLevel="0" collapsed="false">
      <c r="A296" s="3" t="s">
        <v>714</v>
      </c>
      <c r="B296" s="4" t="s">
        <v>715</v>
      </c>
      <c r="C296" s="4" t="s">
        <v>270</v>
      </c>
      <c r="D296" s="4" t="s">
        <v>716</v>
      </c>
      <c r="E296" s="4" t="s">
        <v>717</v>
      </c>
      <c r="F296" s="4" t="s">
        <v>14</v>
      </c>
      <c r="G296" s="5" t="s">
        <v>15</v>
      </c>
      <c r="H296" s="4"/>
      <c r="I296" s="4"/>
    </row>
    <row r="297" customFormat="false" ht="12.75" hidden="false" customHeight="true" outlineLevel="0" collapsed="false">
      <c r="A297" s="6" t="s">
        <v>714</v>
      </c>
      <c r="B297" s="7" t="s">
        <v>715</v>
      </c>
      <c r="C297" s="7" t="s">
        <v>270</v>
      </c>
      <c r="D297" s="7" t="s">
        <v>716</v>
      </c>
      <c r="E297" s="7" t="s">
        <v>718</v>
      </c>
      <c r="F297" s="7" t="s">
        <v>14</v>
      </c>
      <c r="G297" s="5" t="s">
        <v>15</v>
      </c>
      <c r="H297" s="7"/>
      <c r="I297" s="7"/>
    </row>
    <row r="298" customFormat="false" ht="12.75" hidden="false" customHeight="true" outlineLevel="0" collapsed="false">
      <c r="A298" s="3" t="s">
        <v>714</v>
      </c>
      <c r="B298" s="4" t="s">
        <v>715</v>
      </c>
      <c r="C298" s="4" t="s">
        <v>270</v>
      </c>
      <c r="D298" s="4" t="s">
        <v>716</v>
      </c>
      <c r="E298" s="4" t="s">
        <v>719</v>
      </c>
      <c r="F298" s="4" t="s">
        <v>14</v>
      </c>
      <c r="G298" s="5" t="s">
        <v>15</v>
      </c>
      <c r="H298" s="4"/>
      <c r="I298" s="4"/>
    </row>
    <row r="299" customFormat="false" ht="12.75" hidden="false" customHeight="true" outlineLevel="0" collapsed="false">
      <c r="A299" s="6" t="s">
        <v>714</v>
      </c>
      <c r="B299" s="7" t="s">
        <v>715</v>
      </c>
      <c r="C299" s="7" t="s">
        <v>270</v>
      </c>
      <c r="D299" s="7" t="s">
        <v>716</v>
      </c>
      <c r="E299" s="7" t="s">
        <v>720</v>
      </c>
      <c r="F299" s="7" t="s">
        <v>21</v>
      </c>
      <c r="G299" s="5" t="s">
        <v>15</v>
      </c>
      <c r="H299" s="7"/>
      <c r="I299" s="7"/>
    </row>
    <row r="300" customFormat="false" ht="12.75" hidden="false" customHeight="true" outlineLevel="0" collapsed="false">
      <c r="A300" s="3" t="s">
        <v>714</v>
      </c>
      <c r="B300" s="4" t="s">
        <v>715</v>
      </c>
      <c r="C300" s="4" t="s">
        <v>270</v>
      </c>
      <c r="D300" s="4" t="s">
        <v>716</v>
      </c>
      <c r="E300" s="4" t="s">
        <v>721</v>
      </c>
      <c r="F300" s="4" t="s">
        <v>27</v>
      </c>
      <c r="G300" s="5" t="s">
        <v>15</v>
      </c>
      <c r="H300" s="4"/>
      <c r="I300" s="4"/>
    </row>
    <row r="301" customFormat="false" ht="12.75" hidden="false" customHeight="true" outlineLevel="0" collapsed="false">
      <c r="A301" s="6" t="s">
        <v>714</v>
      </c>
      <c r="B301" s="7" t="s">
        <v>715</v>
      </c>
      <c r="C301" s="7" t="s">
        <v>270</v>
      </c>
      <c r="D301" s="7" t="s">
        <v>716</v>
      </c>
      <c r="E301" s="7" t="s">
        <v>722</v>
      </c>
      <c r="F301" s="7" t="s">
        <v>27</v>
      </c>
      <c r="G301" s="5" t="s">
        <v>15</v>
      </c>
      <c r="H301" s="7"/>
      <c r="I301" s="7"/>
    </row>
    <row r="302" customFormat="false" ht="12.75" hidden="false" customHeight="true" outlineLevel="0" collapsed="false">
      <c r="A302" s="3" t="s">
        <v>714</v>
      </c>
      <c r="B302" s="4" t="s">
        <v>715</v>
      </c>
      <c r="C302" s="4" t="s">
        <v>270</v>
      </c>
      <c r="D302" s="4" t="s">
        <v>716</v>
      </c>
      <c r="E302" s="4" t="s">
        <v>723</v>
      </c>
      <c r="F302" s="4" t="s">
        <v>21</v>
      </c>
      <c r="G302" s="5" t="s">
        <v>15</v>
      </c>
      <c r="H302" s="4"/>
      <c r="I302" s="4"/>
    </row>
    <row r="303" customFormat="false" ht="12.75" hidden="false" customHeight="true" outlineLevel="0" collapsed="false">
      <c r="A303" s="6" t="s">
        <v>714</v>
      </c>
      <c r="B303" s="7" t="s">
        <v>715</v>
      </c>
      <c r="C303" s="7" t="s">
        <v>270</v>
      </c>
      <c r="D303" s="7" t="s">
        <v>716</v>
      </c>
      <c r="E303" s="7" t="s">
        <v>724</v>
      </c>
      <c r="F303" s="7" t="s">
        <v>21</v>
      </c>
      <c r="G303" s="5" t="s">
        <v>15</v>
      </c>
      <c r="H303" s="7"/>
      <c r="I303" s="7"/>
    </row>
    <row r="304" customFormat="false" ht="12.75" hidden="false" customHeight="true" outlineLevel="0" collapsed="false">
      <c r="A304" s="3" t="s">
        <v>714</v>
      </c>
      <c r="B304" s="4" t="s">
        <v>715</v>
      </c>
      <c r="C304" s="4" t="s">
        <v>270</v>
      </c>
      <c r="D304" s="4" t="s">
        <v>716</v>
      </c>
      <c r="E304" s="4" t="s">
        <v>725</v>
      </c>
      <c r="F304" s="4" t="s">
        <v>27</v>
      </c>
      <c r="G304" s="5" t="s">
        <v>15</v>
      </c>
      <c r="H304" s="4"/>
      <c r="I304" s="4"/>
    </row>
    <row r="305" customFormat="false" ht="12.75" hidden="false" customHeight="true" outlineLevel="0" collapsed="false">
      <c r="A305" s="6" t="s">
        <v>714</v>
      </c>
      <c r="B305" s="7" t="s">
        <v>715</v>
      </c>
      <c r="C305" s="7" t="s">
        <v>270</v>
      </c>
      <c r="D305" s="7" t="s">
        <v>716</v>
      </c>
      <c r="E305" s="7" t="s">
        <v>726</v>
      </c>
      <c r="F305" s="7" t="s">
        <v>27</v>
      </c>
      <c r="G305" s="5" t="s">
        <v>15</v>
      </c>
      <c r="H305" s="7"/>
      <c r="I305" s="7"/>
    </row>
    <row r="306" customFormat="false" ht="12.75" hidden="false" customHeight="true" outlineLevel="0" collapsed="false">
      <c r="A306" s="3" t="s">
        <v>714</v>
      </c>
      <c r="B306" s="4" t="s">
        <v>715</v>
      </c>
      <c r="C306" s="4" t="s">
        <v>270</v>
      </c>
      <c r="D306" s="4" t="s">
        <v>716</v>
      </c>
      <c r="E306" s="4" t="s">
        <v>727</v>
      </c>
      <c r="F306" s="4" t="s">
        <v>27</v>
      </c>
      <c r="G306" s="5" t="s">
        <v>15</v>
      </c>
      <c r="H306" s="4"/>
      <c r="I306" s="4"/>
    </row>
    <row r="307" customFormat="false" ht="12.75" hidden="false" customHeight="true" outlineLevel="0" collapsed="false">
      <c r="A307" s="6" t="s">
        <v>714</v>
      </c>
      <c r="B307" s="7" t="s">
        <v>715</v>
      </c>
      <c r="C307" s="7" t="s">
        <v>270</v>
      </c>
      <c r="D307" s="7" t="s">
        <v>716</v>
      </c>
      <c r="E307" s="7" t="s">
        <v>728</v>
      </c>
      <c r="F307" s="7" t="s">
        <v>27</v>
      </c>
      <c r="G307" s="5" t="s">
        <v>15</v>
      </c>
      <c r="H307" s="7"/>
      <c r="I307" s="7"/>
    </row>
    <row r="308" customFormat="false" ht="12.75" hidden="false" customHeight="true" outlineLevel="0" collapsed="false">
      <c r="A308" s="3" t="s">
        <v>714</v>
      </c>
      <c r="B308" s="4" t="s">
        <v>715</v>
      </c>
      <c r="C308" s="4" t="s">
        <v>270</v>
      </c>
      <c r="D308" s="4" t="s">
        <v>716</v>
      </c>
      <c r="E308" s="4" t="s">
        <v>729</v>
      </c>
      <c r="F308" s="4" t="s">
        <v>27</v>
      </c>
      <c r="G308" s="5" t="s">
        <v>15</v>
      </c>
      <c r="H308" s="4"/>
      <c r="I308" s="4"/>
    </row>
    <row r="309" customFormat="false" ht="12.75" hidden="false" customHeight="true" outlineLevel="0" collapsed="false">
      <c r="A309" s="6" t="s">
        <v>730</v>
      </c>
      <c r="B309" s="7" t="s">
        <v>731</v>
      </c>
      <c r="C309" s="7" t="s">
        <v>270</v>
      </c>
      <c r="D309" s="7" t="s">
        <v>732</v>
      </c>
      <c r="E309" s="7" t="s">
        <v>733</v>
      </c>
      <c r="F309" s="7" t="s">
        <v>100</v>
      </c>
      <c r="G309" s="5" t="s">
        <v>15</v>
      </c>
      <c r="H309" s="7"/>
      <c r="I309" s="7"/>
    </row>
    <row r="310" customFormat="false" ht="12.75" hidden="false" customHeight="true" outlineLevel="0" collapsed="false">
      <c r="A310" s="3" t="s">
        <v>734</v>
      </c>
      <c r="B310" s="4" t="s">
        <v>735</v>
      </c>
      <c r="C310" s="4" t="s">
        <v>270</v>
      </c>
      <c r="D310" s="4" t="s">
        <v>736</v>
      </c>
      <c r="E310" s="4" t="s">
        <v>737</v>
      </c>
      <c r="F310" s="4" t="s">
        <v>21</v>
      </c>
      <c r="G310" s="5" t="s">
        <v>15</v>
      </c>
      <c r="H310" s="4"/>
      <c r="I310" s="4"/>
    </row>
    <row r="311" customFormat="false" ht="12.75" hidden="false" customHeight="true" outlineLevel="0" collapsed="false">
      <c r="A311" s="6" t="s">
        <v>734</v>
      </c>
      <c r="B311" s="7" t="s">
        <v>735</v>
      </c>
      <c r="C311" s="7" t="s">
        <v>270</v>
      </c>
      <c r="D311" s="7" t="s">
        <v>736</v>
      </c>
      <c r="E311" s="7" t="s">
        <v>738</v>
      </c>
      <c r="F311" s="7" t="s">
        <v>21</v>
      </c>
      <c r="G311" s="5" t="s">
        <v>15</v>
      </c>
      <c r="H311" s="7"/>
      <c r="I311" s="7"/>
    </row>
    <row r="312" customFormat="false" ht="12.75" hidden="false" customHeight="true" outlineLevel="0" collapsed="false">
      <c r="A312" s="3" t="s">
        <v>734</v>
      </c>
      <c r="B312" s="4" t="s">
        <v>735</v>
      </c>
      <c r="C312" s="4" t="s">
        <v>270</v>
      </c>
      <c r="D312" s="4" t="s">
        <v>736</v>
      </c>
      <c r="E312" s="4" t="s">
        <v>739</v>
      </c>
      <c r="F312" s="4" t="s">
        <v>27</v>
      </c>
      <c r="G312" s="5" t="s">
        <v>15</v>
      </c>
      <c r="H312" s="4"/>
      <c r="I312" s="4"/>
    </row>
    <row r="313" customFormat="false" ht="12.75" hidden="false" customHeight="true" outlineLevel="0" collapsed="false">
      <c r="A313" s="6" t="s">
        <v>734</v>
      </c>
      <c r="B313" s="7" t="s">
        <v>735</v>
      </c>
      <c r="C313" s="7" t="s">
        <v>270</v>
      </c>
      <c r="D313" s="7" t="s">
        <v>736</v>
      </c>
      <c r="E313" s="7" t="s">
        <v>740</v>
      </c>
      <c r="F313" s="7" t="s">
        <v>27</v>
      </c>
      <c r="G313" s="5" t="s">
        <v>15</v>
      </c>
      <c r="H313" s="7"/>
      <c r="I313" s="7"/>
    </row>
    <row r="314" customFormat="false" ht="12.75" hidden="false" customHeight="true" outlineLevel="0" collapsed="false">
      <c r="A314" s="3" t="s">
        <v>741</v>
      </c>
      <c r="B314" s="4" t="s">
        <v>742</v>
      </c>
      <c r="C314" s="4" t="s">
        <v>270</v>
      </c>
      <c r="D314" s="4" t="s">
        <v>743</v>
      </c>
      <c r="E314" s="4" t="s">
        <v>744</v>
      </c>
      <c r="F314" s="4" t="s">
        <v>21</v>
      </c>
      <c r="G314" s="5" t="s">
        <v>15</v>
      </c>
      <c r="H314" s="4"/>
      <c r="I314" s="4"/>
    </row>
    <row r="315" customFormat="false" ht="12.75" hidden="false" customHeight="true" outlineLevel="0" collapsed="false">
      <c r="A315" s="6" t="s">
        <v>745</v>
      </c>
      <c r="B315" s="7" t="s">
        <v>746</v>
      </c>
      <c r="C315" s="7" t="s">
        <v>270</v>
      </c>
      <c r="D315" s="7" t="s">
        <v>747</v>
      </c>
      <c r="E315" s="7" t="s">
        <v>748</v>
      </c>
      <c r="F315" s="7" t="s">
        <v>14</v>
      </c>
      <c r="G315" s="5" t="s">
        <v>15</v>
      </c>
      <c r="H315" s="7"/>
      <c r="I315" s="7"/>
    </row>
    <row r="316" customFormat="false" ht="12.75" hidden="false" customHeight="true" outlineLevel="0" collapsed="false">
      <c r="A316" s="3" t="s">
        <v>745</v>
      </c>
      <c r="B316" s="4" t="s">
        <v>746</v>
      </c>
      <c r="C316" s="4" t="s">
        <v>270</v>
      </c>
      <c r="D316" s="4" t="s">
        <v>747</v>
      </c>
      <c r="E316" s="4" t="s">
        <v>749</v>
      </c>
      <c r="F316" s="4" t="s">
        <v>14</v>
      </c>
      <c r="G316" s="5" t="s">
        <v>15</v>
      </c>
      <c r="H316" s="4"/>
      <c r="I316" s="4"/>
    </row>
    <row r="317" customFormat="false" ht="12.75" hidden="false" customHeight="true" outlineLevel="0" collapsed="false">
      <c r="A317" s="6" t="s">
        <v>745</v>
      </c>
      <c r="B317" s="7" t="s">
        <v>746</v>
      </c>
      <c r="C317" s="7" t="s">
        <v>270</v>
      </c>
      <c r="D317" s="7" t="s">
        <v>747</v>
      </c>
      <c r="E317" s="7" t="s">
        <v>750</v>
      </c>
      <c r="F317" s="7" t="s">
        <v>14</v>
      </c>
      <c r="G317" s="5" t="s">
        <v>15</v>
      </c>
      <c r="H317" s="7"/>
      <c r="I317" s="7"/>
    </row>
    <row r="318" customFormat="false" ht="12.75" hidden="false" customHeight="true" outlineLevel="0" collapsed="false">
      <c r="A318" s="3" t="s">
        <v>745</v>
      </c>
      <c r="B318" s="4" t="s">
        <v>746</v>
      </c>
      <c r="C318" s="4" t="s">
        <v>270</v>
      </c>
      <c r="D318" s="4" t="s">
        <v>747</v>
      </c>
      <c r="E318" s="4" t="s">
        <v>751</v>
      </c>
      <c r="F318" s="4" t="s">
        <v>14</v>
      </c>
      <c r="G318" s="5" t="s">
        <v>15</v>
      </c>
      <c r="H318" s="4"/>
      <c r="I318" s="4"/>
    </row>
    <row r="319" customFormat="false" ht="12.75" hidden="false" customHeight="true" outlineLevel="0" collapsed="false">
      <c r="A319" s="6" t="s">
        <v>745</v>
      </c>
      <c r="B319" s="7" t="s">
        <v>746</v>
      </c>
      <c r="C319" s="7" t="s">
        <v>270</v>
      </c>
      <c r="D319" s="7" t="s">
        <v>747</v>
      </c>
      <c r="E319" s="7" t="s">
        <v>752</v>
      </c>
      <c r="F319" s="7" t="s">
        <v>21</v>
      </c>
      <c r="G319" s="5" t="s">
        <v>15</v>
      </c>
      <c r="H319" s="7"/>
      <c r="I319" s="7"/>
    </row>
    <row r="320" customFormat="false" ht="12.75" hidden="false" customHeight="true" outlineLevel="0" collapsed="false">
      <c r="A320" s="3" t="s">
        <v>745</v>
      </c>
      <c r="B320" s="4" t="s">
        <v>746</v>
      </c>
      <c r="C320" s="4" t="s">
        <v>270</v>
      </c>
      <c r="D320" s="4" t="s">
        <v>747</v>
      </c>
      <c r="E320" s="4" t="s">
        <v>753</v>
      </c>
      <c r="F320" s="4" t="s">
        <v>21</v>
      </c>
      <c r="G320" s="5" t="s">
        <v>15</v>
      </c>
      <c r="H320" s="4"/>
      <c r="I320" s="4"/>
    </row>
    <row r="321" customFormat="false" ht="12.75" hidden="false" customHeight="true" outlineLevel="0" collapsed="false">
      <c r="A321" s="6" t="s">
        <v>745</v>
      </c>
      <c r="B321" s="7" t="s">
        <v>746</v>
      </c>
      <c r="C321" s="7" t="s">
        <v>270</v>
      </c>
      <c r="D321" s="7" t="s">
        <v>747</v>
      </c>
      <c r="E321" s="7" t="s">
        <v>754</v>
      </c>
      <c r="F321" s="7" t="s">
        <v>21</v>
      </c>
      <c r="G321" s="5" t="s">
        <v>15</v>
      </c>
      <c r="H321" s="7"/>
      <c r="I321" s="7"/>
    </row>
    <row r="322" customFormat="false" ht="12.75" hidden="false" customHeight="true" outlineLevel="0" collapsed="false">
      <c r="A322" s="3" t="s">
        <v>745</v>
      </c>
      <c r="B322" s="4" t="s">
        <v>746</v>
      </c>
      <c r="C322" s="4" t="s">
        <v>270</v>
      </c>
      <c r="D322" s="4" t="s">
        <v>747</v>
      </c>
      <c r="E322" s="4" t="s">
        <v>755</v>
      </c>
      <c r="F322" s="4" t="s">
        <v>21</v>
      </c>
      <c r="G322" s="5" t="s">
        <v>15</v>
      </c>
      <c r="H322" s="4"/>
      <c r="I322" s="4"/>
    </row>
    <row r="323" customFormat="false" ht="12.75" hidden="false" customHeight="true" outlineLevel="0" collapsed="false">
      <c r="A323" s="6" t="s">
        <v>745</v>
      </c>
      <c r="B323" s="7" t="s">
        <v>746</v>
      </c>
      <c r="C323" s="7" t="s">
        <v>270</v>
      </c>
      <c r="D323" s="7" t="s">
        <v>747</v>
      </c>
      <c r="E323" s="7" t="s">
        <v>756</v>
      </c>
      <c r="F323" s="7" t="s">
        <v>27</v>
      </c>
      <c r="G323" s="5" t="s">
        <v>15</v>
      </c>
      <c r="H323" s="7"/>
      <c r="I323" s="7"/>
    </row>
    <row r="324" customFormat="false" ht="12.75" hidden="false" customHeight="true" outlineLevel="0" collapsed="false">
      <c r="A324" s="3" t="s">
        <v>745</v>
      </c>
      <c r="B324" s="4" t="s">
        <v>746</v>
      </c>
      <c r="C324" s="4" t="s">
        <v>270</v>
      </c>
      <c r="D324" s="4" t="s">
        <v>747</v>
      </c>
      <c r="E324" s="4" t="s">
        <v>757</v>
      </c>
      <c r="F324" s="4" t="s">
        <v>27</v>
      </c>
      <c r="G324" s="5" t="s">
        <v>15</v>
      </c>
      <c r="H324" s="4"/>
      <c r="I324" s="4"/>
    </row>
    <row r="325" customFormat="false" ht="12.75" hidden="false" customHeight="true" outlineLevel="0" collapsed="false">
      <c r="A325" s="6" t="s">
        <v>745</v>
      </c>
      <c r="B325" s="7" t="s">
        <v>746</v>
      </c>
      <c r="C325" s="7" t="s">
        <v>270</v>
      </c>
      <c r="D325" s="7" t="s">
        <v>747</v>
      </c>
      <c r="E325" s="7" t="s">
        <v>758</v>
      </c>
      <c r="F325" s="7" t="s">
        <v>27</v>
      </c>
      <c r="G325" s="5" t="s">
        <v>15</v>
      </c>
      <c r="H325" s="7"/>
      <c r="I325" s="7"/>
    </row>
    <row r="326" customFormat="false" ht="12.75" hidden="false" customHeight="true" outlineLevel="0" collapsed="false">
      <c r="A326" s="3" t="s">
        <v>745</v>
      </c>
      <c r="B326" s="4" t="s">
        <v>746</v>
      </c>
      <c r="C326" s="4" t="s">
        <v>270</v>
      </c>
      <c r="D326" s="4" t="s">
        <v>747</v>
      </c>
      <c r="E326" s="4" t="s">
        <v>759</v>
      </c>
      <c r="F326" s="4" t="s">
        <v>27</v>
      </c>
      <c r="G326" s="5" t="s">
        <v>15</v>
      </c>
      <c r="H326" s="4"/>
      <c r="I326" s="4"/>
    </row>
    <row r="327" customFormat="false" ht="12.75" hidden="false" customHeight="true" outlineLevel="0" collapsed="false">
      <c r="A327" s="6" t="s">
        <v>760</v>
      </c>
      <c r="B327" s="7" t="s">
        <v>761</v>
      </c>
      <c r="C327" s="7" t="s">
        <v>270</v>
      </c>
      <c r="D327" s="7" t="s">
        <v>762</v>
      </c>
      <c r="E327" s="7" t="s">
        <v>763</v>
      </c>
      <c r="F327" s="7" t="s">
        <v>27</v>
      </c>
      <c r="G327" s="5" t="s">
        <v>15</v>
      </c>
      <c r="H327" s="7"/>
      <c r="I327" s="7"/>
    </row>
    <row r="328" customFormat="false" ht="12.75" hidden="false" customHeight="true" outlineLevel="0" collapsed="false">
      <c r="A328" s="3" t="s">
        <v>764</v>
      </c>
      <c r="B328" s="4" t="s">
        <v>259</v>
      </c>
      <c r="C328" s="4" t="s">
        <v>270</v>
      </c>
      <c r="D328" s="4" t="s">
        <v>765</v>
      </c>
      <c r="E328" s="4" t="s">
        <v>766</v>
      </c>
      <c r="F328" s="4" t="s">
        <v>27</v>
      </c>
      <c r="G328" s="5" t="s">
        <v>15</v>
      </c>
      <c r="H328" s="4"/>
      <c r="I328" s="4"/>
    </row>
    <row r="329" customFormat="false" ht="12.75" hidden="false" customHeight="true" outlineLevel="0" collapsed="false">
      <c r="A329" s="6" t="s">
        <v>767</v>
      </c>
      <c r="B329" s="7" t="s">
        <v>768</v>
      </c>
      <c r="C329" s="7" t="s">
        <v>270</v>
      </c>
      <c r="D329" s="7" t="s">
        <v>769</v>
      </c>
      <c r="E329" s="7" t="s">
        <v>770</v>
      </c>
      <c r="F329" s="7" t="s">
        <v>27</v>
      </c>
      <c r="G329" s="5" t="s">
        <v>15</v>
      </c>
      <c r="H329" s="7"/>
      <c r="I329" s="7"/>
    </row>
    <row r="330" customFormat="false" ht="12.75" hidden="false" customHeight="true" outlineLevel="0" collapsed="false">
      <c r="A330" s="3" t="s">
        <v>767</v>
      </c>
      <c r="B330" s="4" t="s">
        <v>768</v>
      </c>
      <c r="C330" s="4" t="s">
        <v>270</v>
      </c>
      <c r="D330" s="4" t="s">
        <v>769</v>
      </c>
      <c r="E330" s="4" t="s">
        <v>771</v>
      </c>
      <c r="F330" s="4" t="s">
        <v>27</v>
      </c>
      <c r="G330" s="5" t="s">
        <v>15</v>
      </c>
      <c r="H330" s="4"/>
      <c r="I330" s="4"/>
    </row>
    <row r="331" customFormat="false" ht="12.75" hidden="false" customHeight="true" outlineLevel="0" collapsed="false">
      <c r="A331" s="6" t="s">
        <v>767</v>
      </c>
      <c r="B331" s="7" t="s">
        <v>768</v>
      </c>
      <c r="C331" s="7" t="s">
        <v>270</v>
      </c>
      <c r="D331" s="7" t="s">
        <v>769</v>
      </c>
      <c r="E331" s="7" t="s">
        <v>772</v>
      </c>
      <c r="F331" s="7" t="s">
        <v>27</v>
      </c>
      <c r="G331" s="5" t="s">
        <v>15</v>
      </c>
      <c r="H331" s="7"/>
      <c r="I331" s="7"/>
    </row>
    <row r="332" customFormat="false" ht="12.75" hidden="false" customHeight="true" outlineLevel="0" collapsed="false">
      <c r="A332" s="3" t="s">
        <v>767</v>
      </c>
      <c r="B332" s="4" t="s">
        <v>768</v>
      </c>
      <c r="C332" s="4" t="s">
        <v>270</v>
      </c>
      <c r="D332" s="4" t="s">
        <v>769</v>
      </c>
      <c r="E332" s="4" t="s">
        <v>773</v>
      </c>
      <c r="F332" s="4" t="s">
        <v>27</v>
      </c>
      <c r="G332" s="5" t="s">
        <v>15</v>
      </c>
      <c r="H332" s="4"/>
      <c r="I332" s="4"/>
    </row>
    <row r="333" customFormat="false" ht="12.75" hidden="false" customHeight="true" outlineLevel="0" collapsed="false">
      <c r="A333" s="6" t="s">
        <v>774</v>
      </c>
      <c r="B333" s="7" t="s">
        <v>775</v>
      </c>
      <c r="C333" s="7" t="s">
        <v>270</v>
      </c>
      <c r="D333" s="7" t="s">
        <v>776</v>
      </c>
      <c r="E333" s="7" t="s">
        <v>777</v>
      </c>
      <c r="F333" s="7" t="s">
        <v>21</v>
      </c>
      <c r="G333" s="5" t="s">
        <v>15</v>
      </c>
      <c r="H333" s="7"/>
      <c r="I333" s="7"/>
    </row>
    <row r="334" customFormat="false" ht="12.75" hidden="false" customHeight="true" outlineLevel="0" collapsed="false">
      <c r="A334" s="3" t="s">
        <v>774</v>
      </c>
      <c r="B334" s="4" t="s">
        <v>775</v>
      </c>
      <c r="C334" s="4" t="s">
        <v>270</v>
      </c>
      <c r="D334" s="4" t="s">
        <v>776</v>
      </c>
      <c r="E334" s="4" t="s">
        <v>778</v>
      </c>
      <c r="F334" s="4" t="s">
        <v>27</v>
      </c>
      <c r="G334" s="5" t="s">
        <v>15</v>
      </c>
      <c r="H334" s="4"/>
      <c r="I334" s="4"/>
    </row>
    <row r="335" customFormat="false" ht="12.75" hidden="false" customHeight="true" outlineLevel="0" collapsed="false">
      <c r="A335" s="6" t="s">
        <v>779</v>
      </c>
      <c r="B335" s="7" t="s">
        <v>780</v>
      </c>
      <c r="C335" s="7" t="s">
        <v>270</v>
      </c>
      <c r="D335" s="7" t="s">
        <v>781</v>
      </c>
      <c r="E335" s="7" t="s">
        <v>782</v>
      </c>
      <c r="F335" s="7" t="s">
        <v>21</v>
      </c>
      <c r="G335" s="5" t="s">
        <v>15</v>
      </c>
      <c r="H335" s="7"/>
      <c r="I335" s="7"/>
    </row>
    <row r="336" customFormat="false" ht="12.75" hidden="false" customHeight="true" outlineLevel="0" collapsed="false">
      <c r="A336" s="3" t="s">
        <v>779</v>
      </c>
      <c r="B336" s="4" t="s">
        <v>780</v>
      </c>
      <c r="C336" s="4" t="s">
        <v>270</v>
      </c>
      <c r="D336" s="4" t="s">
        <v>781</v>
      </c>
      <c r="E336" s="4" t="s">
        <v>783</v>
      </c>
      <c r="F336" s="4" t="s">
        <v>27</v>
      </c>
      <c r="G336" s="5" t="s">
        <v>15</v>
      </c>
      <c r="H336" s="4"/>
      <c r="I336" s="4"/>
    </row>
    <row r="337" customFormat="false" ht="12.75" hidden="false" customHeight="true" outlineLevel="0" collapsed="false">
      <c r="A337" s="6" t="s">
        <v>779</v>
      </c>
      <c r="B337" s="7" t="s">
        <v>780</v>
      </c>
      <c r="C337" s="7" t="s">
        <v>270</v>
      </c>
      <c r="D337" s="7" t="s">
        <v>781</v>
      </c>
      <c r="E337" s="7" t="s">
        <v>784</v>
      </c>
      <c r="F337" s="7" t="s">
        <v>27</v>
      </c>
      <c r="G337" s="5" t="s">
        <v>15</v>
      </c>
      <c r="H337" s="7"/>
      <c r="I337" s="7"/>
    </row>
    <row r="338" customFormat="false" ht="12.75" hidden="false" customHeight="true" outlineLevel="0" collapsed="false">
      <c r="A338" s="3" t="s">
        <v>779</v>
      </c>
      <c r="B338" s="4" t="s">
        <v>780</v>
      </c>
      <c r="C338" s="4" t="s">
        <v>270</v>
      </c>
      <c r="D338" s="4" t="s">
        <v>781</v>
      </c>
      <c r="E338" s="4" t="s">
        <v>785</v>
      </c>
      <c r="F338" s="4" t="s">
        <v>27</v>
      </c>
      <c r="G338" s="5" t="s">
        <v>15</v>
      </c>
      <c r="H338" s="4"/>
      <c r="I338" s="4"/>
    </row>
    <row r="339" customFormat="false" ht="12.75" hidden="false" customHeight="true" outlineLevel="0" collapsed="false">
      <c r="A339" s="6" t="s">
        <v>786</v>
      </c>
      <c r="B339" s="7" t="s">
        <v>787</v>
      </c>
      <c r="C339" s="7" t="s">
        <v>270</v>
      </c>
      <c r="D339" s="7" t="s">
        <v>788</v>
      </c>
      <c r="E339" s="7" t="s">
        <v>789</v>
      </c>
      <c r="F339" s="7" t="s">
        <v>21</v>
      </c>
      <c r="G339" s="5" t="s">
        <v>15</v>
      </c>
      <c r="H339" s="7"/>
      <c r="I339" s="7"/>
    </row>
    <row r="340" customFormat="false" ht="12.75" hidden="false" customHeight="true" outlineLevel="0" collapsed="false">
      <c r="A340" s="3" t="s">
        <v>790</v>
      </c>
      <c r="B340" s="4" t="s">
        <v>46</v>
      </c>
      <c r="C340" s="4" t="s">
        <v>14</v>
      </c>
      <c r="D340" s="4" t="s">
        <v>791</v>
      </c>
      <c r="E340" s="4" t="s">
        <v>792</v>
      </c>
      <c r="F340" s="4" t="s">
        <v>27</v>
      </c>
      <c r="G340" s="5" t="s">
        <v>15</v>
      </c>
      <c r="H340" s="4"/>
      <c r="I340" s="4"/>
    </row>
    <row r="341" customFormat="false" ht="12.75" hidden="false" customHeight="true" outlineLevel="0" collapsed="false">
      <c r="A341" s="6" t="s">
        <v>790</v>
      </c>
      <c r="B341" s="7" t="s">
        <v>46</v>
      </c>
      <c r="C341" s="7" t="s">
        <v>14</v>
      </c>
      <c r="D341" s="7" t="s">
        <v>791</v>
      </c>
      <c r="E341" s="7" t="s">
        <v>793</v>
      </c>
      <c r="F341" s="7" t="s">
        <v>37</v>
      </c>
      <c r="G341" s="5" t="s">
        <v>15</v>
      </c>
      <c r="H341" s="7"/>
      <c r="I341" s="7"/>
    </row>
    <row r="342" customFormat="false" ht="12.75" hidden="false" customHeight="true" outlineLevel="0" collapsed="false">
      <c r="A342" s="3" t="s">
        <v>794</v>
      </c>
      <c r="B342" s="4" t="s">
        <v>795</v>
      </c>
      <c r="C342" s="4" t="s">
        <v>14</v>
      </c>
      <c r="D342" s="4" t="s">
        <v>796</v>
      </c>
      <c r="E342" s="4" t="s">
        <v>797</v>
      </c>
      <c r="F342" s="4" t="s">
        <v>21</v>
      </c>
      <c r="G342" s="5" t="s">
        <v>15</v>
      </c>
      <c r="H342" s="4"/>
      <c r="I342" s="4"/>
    </row>
    <row r="343" customFormat="false" ht="12.75" hidden="false" customHeight="true" outlineLevel="0" collapsed="false">
      <c r="A343" s="6" t="s">
        <v>794</v>
      </c>
      <c r="B343" s="7" t="s">
        <v>795</v>
      </c>
      <c r="C343" s="7" t="s">
        <v>14</v>
      </c>
      <c r="D343" s="7" t="s">
        <v>796</v>
      </c>
      <c r="E343" s="7" t="s">
        <v>798</v>
      </c>
      <c r="F343" s="7" t="s">
        <v>21</v>
      </c>
      <c r="G343" s="5" t="s">
        <v>15</v>
      </c>
      <c r="H343" s="7"/>
      <c r="I343" s="7"/>
    </row>
    <row r="344" customFormat="false" ht="12.75" hidden="false" customHeight="true" outlineLevel="0" collapsed="false">
      <c r="A344" s="3" t="s">
        <v>794</v>
      </c>
      <c r="B344" s="4" t="s">
        <v>795</v>
      </c>
      <c r="C344" s="4" t="s">
        <v>14</v>
      </c>
      <c r="D344" s="4" t="s">
        <v>796</v>
      </c>
      <c r="E344" s="4" t="s">
        <v>799</v>
      </c>
      <c r="F344" s="4" t="s">
        <v>27</v>
      </c>
      <c r="G344" s="5" t="s">
        <v>15</v>
      </c>
      <c r="H344" s="4"/>
      <c r="I344" s="4"/>
    </row>
    <row r="345" customFormat="false" ht="12.75" hidden="false" customHeight="true" outlineLevel="0" collapsed="false">
      <c r="A345" s="6" t="s">
        <v>800</v>
      </c>
      <c r="B345" s="7" t="s">
        <v>801</v>
      </c>
      <c r="C345" s="7" t="s">
        <v>14</v>
      </c>
      <c r="D345" s="7" t="s">
        <v>802</v>
      </c>
      <c r="E345" s="7" t="s">
        <v>803</v>
      </c>
      <c r="F345" s="7" t="s">
        <v>21</v>
      </c>
      <c r="G345" s="5" t="s">
        <v>15</v>
      </c>
      <c r="H345" s="7"/>
      <c r="I345" s="7"/>
    </row>
    <row r="346" customFormat="false" ht="12.75" hidden="false" customHeight="true" outlineLevel="0" collapsed="false">
      <c r="A346" s="3" t="s">
        <v>804</v>
      </c>
      <c r="B346" s="4" t="s">
        <v>585</v>
      </c>
      <c r="C346" s="4" t="s">
        <v>14</v>
      </c>
      <c r="D346" s="4" t="s">
        <v>805</v>
      </c>
      <c r="E346" s="4" t="s">
        <v>806</v>
      </c>
      <c r="F346" s="4" t="s">
        <v>27</v>
      </c>
      <c r="G346" s="5" t="s">
        <v>15</v>
      </c>
      <c r="H346" s="4"/>
      <c r="I346" s="4"/>
    </row>
    <row r="347" customFormat="false" ht="12.75" hidden="false" customHeight="true" outlineLevel="0" collapsed="false">
      <c r="A347" s="6" t="s">
        <v>807</v>
      </c>
      <c r="B347" s="7" t="s">
        <v>120</v>
      </c>
      <c r="C347" s="7" t="s">
        <v>14</v>
      </c>
      <c r="D347" s="7" t="s">
        <v>808</v>
      </c>
      <c r="E347" s="7" t="s">
        <v>809</v>
      </c>
      <c r="F347" s="7" t="s">
        <v>21</v>
      </c>
      <c r="G347" s="5" t="s">
        <v>15</v>
      </c>
      <c r="H347" s="7"/>
      <c r="I347" s="7"/>
    </row>
    <row r="348" customFormat="false" ht="12.75" hidden="false" customHeight="true" outlineLevel="0" collapsed="false">
      <c r="A348" s="3" t="s">
        <v>807</v>
      </c>
      <c r="B348" s="4" t="s">
        <v>120</v>
      </c>
      <c r="C348" s="4" t="s">
        <v>14</v>
      </c>
      <c r="D348" s="4" t="s">
        <v>808</v>
      </c>
      <c r="E348" s="4" t="s">
        <v>810</v>
      </c>
      <c r="F348" s="4" t="s">
        <v>27</v>
      </c>
      <c r="G348" s="5" t="s">
        <v>15</v>
      </c>
      <c r="H348" s="4"/>
      <c r="I348" s="4"/>
    </row>
    <row r="349" customFormat="false" ht="12.75" hidden="false" customHeight="true" outlineLevel="0" collapsed="false">
      <c r="A349" s="6" t="s">
        <v>807</v>
      </c>
      <c r="B349" s="7" t="s">
        <v>120</v>
      </c>
      <c r="C349" s="7" t="s">
        <v>14</v>
      </c>
      <c r="D349" s="7" t="s">
        <v>808</v>
      </c>
      <c r="E349" s="7" t="s">
        <v>811</v>
      </c>
      <c r="F349" s="7" t="s">
        <v>27</v>
      </c>
      <c r="G349" s="5" t="s">
        <v>15</v>
      </c>
      <c r="H349" s="7"/>
      <c r="I349" s="7"/>
    </row>
    <row r="350" customFormat="false" ht="12.75" hidden="false" customHeight="true" outlineLevel="0" collapsed="false">
      <c r="A350" s="3" t="s">
        <v>812</v>
      </c>
      <c r="B350" s="4" t="s">
        <v>146</v>
      </c>
      <c r="C350" s="4" t="s">
        <v>14</v>
      </c>
      <c r="D350" s="4" t="s">
        <v>813</v>
      </c>
      <c r="E350" s="4" t="s">
        <v>814</v>
      </c>
      <c r="F350" s="4" t="s">
        <v>27</v>
      </c>
      <c r="G350" s="5" t="s">
        <v>15</v>
      </c>
      <c r="H350" s="4"/>
      <c r="I350" s="4"/>
    </row>
    <row r="351" customFormat="false" ht="12.75" hidden="false" customHeight="true" outlineLevel="0" collapsed="false">
      <c r="A351" s="6" t="s">
        <v>812</v>
      </c>
      <c r="B351" s="7" t="s">
        <v>146</v>
      </c>
      <c r="C351" s="7" t="s">
        <v>14</v>
      </c>
      <c r="D351" s="7" t="s">
        <v>813</v>
      </c>
      <c r="E351" s="7" t="s">
        <v>815</v>
      </c>
      <c r="F351" s="7" t="s">
        <v>37</v>
      </c>
      <c r="G351" s="5" t="s">
        <v>15</v>
      </c>
      <c r="H351" s="7"/>
      <c r="I351" s="7"/>
    </row>
    <row r="352" customFormat="false" ht="12.75" hidden="false" customHeight="true" outlineLevel="0" collapsed="false">
      <c r="A352" s="3" t="s">
        <v>816</v>
      </c>
      <c r="B352" s="4" t="s">
        <v>817</v>
      </c>
      <c r="C352" s="4" t="s">
        <v>14</v>
      </c>
      <c r="D352" s="4" t="s">
        <v>818</v>
      </c>
      <c r="E352" s="4" t="s">
        <v>819</v>
      </c>
      <c r="F352" s="4" t="s">
        <v>27</v>
      </c>
      <c r="G352" s="5" t="s">
        <v>15</v>
      </c>
      <c r="H352" s="4"/>
      <c r="I352" s="4"/>
    </row>
    <row r="353" customFormat="false" ht="12.75" hidden="false" customHeight="true" outlineLevel="0" collapsed="false">
      <c r="A353" s="6" t="s">
        <v>816</v>
      </c>
      <c r="B353" s="7" t="s">
        <v>817</v>
      </c>
      <c r="C353" s="7" t="s">
        <v>14</v>
      </c>
      <c r="D353" s="7" t="s">
        <v>818</v>
      </c>
      <c r="E353" s="7" t="s">
        <v>820</v>
      </c>
      <c r="F353" s="7" t="s">
        <v>27</v>
      </c>
      <c r="G353" s="5" t="s">
        <v>15</v>
      </c>
      <c r="H353" s="7"/>
      <c r="I353" s="7"/>
    </row>
    <row r="354" customFormat="false" ht="12.75" hidden="false" customHeight="true" outlineLevel="0" collapsed="false">
      <c r="A354" s="3" t="s">
        <v>816</v>
      </c>
      <c r="B354" s="4" t="s">
        <v>817</v>
      </c>
      <c r="C354" s="4" t="s">
        <v>14</v>
      </c>
      <c r="D354" s="4" t="s">
        <v>818</v>
      </c>
      <c r="E354" s="4" t="s">
        <v>821</v>
      </c>
      <c r="F354" s="4" t="s">
        <v>37</v>
      </c>
      <c r="G354" s="5" t="s">
        <v>15</v>
      </c>
      <c r="H354" s="4"/>
      <c r="I354" s="4"/>
    </row>
    <row r="355" customFormat="false" ht="12.75" hidden="false" customHeight="true" outlineLevel="0" collapsed="false">
      <c r="A355" s="6" t="s">
        <v>816</v>
      </c>
      <c r="B355" s="7" t="s">
        <v>817</v>
      </c>
      <c r="C355" s="7" t="s">
        <v>14</v>
      </c>
      <c r="D355" s="7" t="s">
        <v>818</v>
      </c>
      <c r="E355" s="7" t="s">
        <v>822</v>
      </c>
      <c r="F355" s="7" t="s">
        <v>37</v>
      </c>
      <c r="G355" s="5" t="s">
        <v>15</v>
      </c>
      <c r="H355" s="7"/>
      <c r="I355" s="7"/>
    </row>
    <row r="356" customFormat="false" ht="12.75" hidden="false" customHeight="true" outlineLevel="0" collapsed="false">
      <c r="A356" s="3" t="s">
        <v>816</v>
      </c>
      <c r="B356" s="4" t="s">
        <v>817</v>
      </c>
      <c r="C356" s="4" t="s">
        <v>14</v>
      </c>
      <c r="D356" s="4" t="s">
        <v>818</v>
      </c>
      <c r="E356" s="4" t="s">
        <v>823</v>
      </c>
      <c r="F356" s="4" t="s">
        <v>37</v>
      </c>
      <c r="G356" s="5" t="s">
        <v>15</v>
      </c>
      <c r="H356" s="4"/>
      <c r="I356" s="4"/>
    </row>
    <row r="357" customFormat="false" ht="12.75" hidden="false" customHeight="true" outlineLevel="0" collapsed="false">
      <c r="A357" s="6" t="s">
        <v>816</v>
      </c>
      <c r="B357" s="7" t="s">
        <v>817</v>
      </c>
      <c r="C357" s="7" t="s">
        <v>14</v>
      </c>
      <c r="D357" s="7" t="s">
        <v>818</v>
      </c>
      <c r="E357" s="7" t="s">
        <v>824</v>
      </c>
      <c r="F357" s="7" t="s">
        <v>37</v>
      </c>
      <c r="G357" s="5" t="s">
        <v>15</v>
      </c>
      <c r="H357" s="7"/>
      <c r="I357" s="7"/>
    </row>
    <row r="358" customFormat="false" ht="12.75" hidden="false" customHeight="true" outlineLevel="0" collapsed="false">
      <c r="A358" s="3" t="s">
        <v>816</v>
      </c>
      <c r="B358" s="4" t="s">
        <v>817</v>
      </c>
      <c r="C358" s="4" t="s">
        <v>14</v>
      </c>
      <c r="D358" s="4" t="s">
        <v>818</v>
      </c>
      <c r="E358" s="4" t="s">
        <v>825</v>
      </c>
      <c r="F358" s="4" t="s">
        <v>37</v>
      </c>
      <c r="G358" s="5" t="s">
        <v>15</v>
      </c>
      <c r="H358" s="4"/>
      <c r="I358" s="4"/>
    </row>
    <row r="359" customFormat="false" ht="12.75" hidden="false" customHeight="true" outlineLevel="0" collapsed="false">
      <c r="A359" s="6" t="s">
        <v>816</v>
      </c>
      <c r="B359" s="7" t="s">
        <v>817</v>
      </c>
      <c r="C359" s="7" t="s">
        <v>14</v>
      </c>
      <c r="D359" s="7" t="s">
        <v>818</v>
      </c>
      <c r="E359" s="7" t="s">
        <v>826</v>
      </c>
      <c r="F359" s="7" t="s">
        <v>37</v>
      </c>
      <c r="G359" s="5" t="s">
        <v>15</v>
      </c>
      <c r="H359" s="7"/>
      <c r="I359" s="7"/>
    </row>
    <row r="360" customFormat="false" ht="12.75" hidden="false" customHeight="true" outlineLevel="0" collapsed="false">
      <c r="A360" s="3" t="s">
        <v>827</v>
      </c>
      <c r="B360" s="4" t="s">
        <v>828</v>
      </c>
      <c r="C360" s="4" t="s">
        <v>14</v>
      </c>
      <c r="D360" s="4" t="s">
        <v>829</v>
      </c>
      <c r="E360" s="4" t="s">
        <v>830</v>
      </c>
      <c r="F360" s="4" t="s">
        <v>27</v>
      </c>
      <c r="G360" s="5" t="s">
        <v>15</v>
      </c>
      <c r="H360" s="4"/>
      <c r="I360" s="4"/>
    </row>
    <row r="361" customFormat="false" ht="12.75" hidden="false" customHeight="true" outlineLevel="0" collapsed="false">
      <c r="A361" s="6" t="s">
        <v>831</v>
      </c>
      <c r="B361" s="7" t="s">
        <v>501</v>
      </c>
      <c r="C361" s="7" t="s">
        <v>14</v>
      </c>
      <c r="D361" s="7" t="s">
        <v>832</v>
      </c>
      <c r="E361" s="7" t="s">
        <v>833</v>
      </c>
      <c r="F361" s="7" t="s">
        <v>37</v>
      </c>
      <c r="G361" s="5" t="s">
        <v>15</v>
      </c>
      <c r="H361" s="7"/>
      <c r="I361" s="7"/>
    </row>
    <row r="362" customFormat="false" ht="12.75" hidden="false" customHeight="true" outlineLevel="0" collapsed="false">
      <c r="A362" s="3" t="s">
        <v>834</v>
      </c>
      <c r="B362" s="4" t="s">
        <v>835</v>
      </c>
      <c r="C362" s="4" t="s">
        <v>14</v>
      </c>
      <c r="D362" s="4" t="s">
        <v>836</v>
      </c>
      <c r="E362" s="4" t="s">
        <v>837</v>
      </c>
      <c r="F362" s="4" t="s">
        <v>37</v>
      </c>
      <c r="G362" s="5" t="s">
        <v>15</v>
      </c>
      <c r="H362" s="4"/>
      <c r="I362" s="4"/>
    </row>
    <row r="363" customFormat="false" ht="12.75" hidden="false" customHeight="true" outlineLevel="0" collapsed="false">
      <c r="A363" s="6" t="s">
        <v>838</v>
      </c>
      <c r="B363" s="7" t="s">
        <v>839</v>
      </c>
      <c r="C363" s="7" t="s">
        <v>14</v>
      </c>
      <c r="D363" s="7" t="s">
        <v>840</v>
      </c>
      <c r="E363" s="7" t="s">
        <v>841</v>
      </c>
      <c r="F363" s="7" t="s">
        <v>27</v>
      </c>
      <c r="G363" s="5" t="s">
        <v>15</v>
      </c>
      <c r="H363" s="7"/>
      <c r="I363" s="7"/>
    </row>
    <row r="364" customFormat="false" ht="12.75" hidden="false" customHeight="true" outlineLevel="0" collapsed="false">
      <c r="A364" s="3" t="s">
        <v>838</v>
      </c>
      <c r="B364" s="4" t="s">
        <v>839</v>
      </c>
      <c r="C364" s="4" t="s">
        <v>14</v>
      </c>
      <c r="D364" s="4" t="s">
        <v>840</v>
      </c>
      <c r="E364" s="4" t="s">
        <v>842</v>
      </c>
      <c r="F364" s="4" t="s">
        <v>37</v>
      </c>
      <c r="G364" s="5" t="s">
        <v>15</v>
      </c>
      <c r="H364" s="4"/>
      <c r="I364" s="4"/>
    </row>
    <row r="365" customFormat="false" ht="12.75" hidden="false" customHeight="true" outlineLevel="0" collapsed="false">
      <c r="A365" s="6" t="s">
        <v>838</v>
      </c>
      <c r="B365" s="7" t="s">
        <v>839</v>
      </c>
      <c r="C365" s="7" t="s">
        <v>14</v>
      </c>
      <c r="D365" s="7" t="s">
        <v>840</v>
      </c>
      <c r="E365" s="7" t="s">
        <v>843</v>
      </c>
      <c r="F365" s="7" t="s">
        <v>37</v>
      </c>
      <c r="G365" s="5" t="s">
        <v>15</v>
      </c>
      <c r="H365" s="7"/>
      <c r="I365" s="7"/>
    </row>
    <row r="366" customFormat="false" ht="12.75" hidden="false" customHeight="true" outlineLevel="0" collapsed="false">
      <c r="A366" s="3" t="s">
        <v>844</v>
      </c>
      <c r="B366" s="4" t="s">
        <v>845</v>
      </c>
      <c r="C366" s="4" t="s">
        <v>14</v>
      </c>
      <c r="D366" s="4" t="s">
        <v>846</v>
      </c>
      <c r="E366" s="4" t="s">
        <v>847</v>
      </c>
      <c r="F366" s="4" t="s">
        <v>21</v>
      </c>
      <c r="G366" s="5" t="s">
        <v>15</v>
      </c>
      <c r="H366" s="4"/>
      <c r="I366" s="4"/>
    </row>
    <row r="367" customFormat="false" ht="12.75" hidden="false" customHeight="true" outlineLevel="0" collapsed="false">
      <c r="A367" s="6" t="s">
        <v>848</v>
      </c>
      <c r="B367" s="7" t="s">
        <v>849</v>
      </c>
      <c r="C367" s="7" t="s">
        <v>14</v>
      </c>
      <c r="D367" s="7" t="s">
        <v>850</v>
      </c>
      <c r="E367" s="7" t="s">
        <v>851</v>
      </c>
      <c r="F367" s="7" t="s">
        <v>21</v>
      </c>
      <c r="G367" s="5" t="s">
        <v>15</v>
      </c>
      <c r="H367" s="7"/>
      <c r="I367" s="7"/>
    </row>
    <row r="368" customFormat="false" ht="12.75" hidden="false" customHeight="true" outlineLevel="0" collapsed="false">
      <c r="A368" s="3" t="s">
        <v>848</v>
      </c>
      <c r="B368" s="4" t="s">
        <v>849</v>
      </c>
      <c r="C368" s="4" t="s">
        <v>14</v>
      </c>
      <c r="D368" s="4" t="s">
        <v>850</v>
      </c>
      <c r="E368" s="4" t="s">
        <v>852</v>
      </c>
      <c r="F368" s="4" t="s">
        <v>37</v>
      </c>
      <c r="G368" s="5" t="s">
        <v>15</v>
      </c>
      <c r="H368" s="4"/>
      <c r="I368" s="4"/>
    </row>
    <row r="369" customFormat="false" ht="12.75" hidden="false" customHeight="true" outlineLevel="0" collapsed="false">
      <c r="A369" s="6" t="s">
        <v>848</v>
      </c>
      <c r="B369" s="7" t="s">
        <v>849</v>
      </c>
      <c r="C369" s="7" t="s">
        <v>14</v>
      </c>
      <c r="D369" s="7" t="s">
        <v>850</v>
      </c>
      <c r="E369" s="7" t="s">
        <v>853</v>
      </c>
      <c r="F369" s="7" t="s">
        <v>37</v>
      </c>
      <c r="G369" s="5" t="s">
        <v>15</v>
      </c>
      <c r="H369" s="7"/>
      <c r="I369" s="7"/>
    </row>
    <row r="370" customFormat="false" ht="12.75" hidden="false" customHeight="true" outlineLevel="0" collapsed="false">
      <c r="A370" s="3" t="s">
        <v>848</v>
      </c>
      <c r="B370" s="4" t="s">
        <v>849</v>
      </c>
      <c r="C370" s="4" t="s">
        <v>14</v>
      </c>
      <c r="D370" s="4" t="s">
        <v>850</v>
      </c>
      <c r="E370" s="4" t="s">
        <v>854</v>
      </c>
      <c r="F370" s="4" t="s">
        <v>37</v>
      </c>
      <c r="G370" s="5" t="s">
        <v>15</v>
      </c>
      <c r="H370" s="4"/>
      <c r="I370" s="4"/>
    </row>
    <row r="371" customFormat="false" ht="12.75" hidden="false" customHeight="true" outlineLevel="0" collapsed="false">
      <c r="A371" s="6" t="s">
        <v>855</v>
      </c>
      <c r="B371" s="7" t="s">
        <v>856</v>
      </c>
      <c r="C371" s="7" t="s">
        <v>14</v>
      </c>
      <c r="D371" s="7" t="s">
        <v>857</v>
      </c>
      <c r="E371" s="7" t="s">
        <v>858</v>
      </c>
      <c r="F371" s="7" t="s">
        <v>37</v>
      </c>
      <c r="G371" s="5" t="s">
        <v>15</v>
      </c>
      <c r="H371" s="7"/>
      <c r="I371" s="7"/>
    </row>
    <row r="372" customFormat="false" ht="12.75" hidden="false" customHeight="true" outlineLevel="0" collapsed="false">
      <c r="A372" s="3" t="s">
        <v>855</v>
      </c>
      <c r="B372" s="4" t="s">
        <v>856</v>
      </c>
      <c r="C372" s="4" t="s">
        <v>14</v>
      </c>
      <c r="D372" s="4" t="s">
        <v>857</v>
      </c>
      <c r="E372" s="4" t="s">
        <v>859</v>
      </c>
      <c r="F372" s="4" t="s">
        <v>37</v>
      </c>
      <c r="G372" s="5" t="s">
        <v>15</v>
      </c>
      <c r="H372" s="4"/>
      <c r="I372" s="4"/>
    </row>
    <row r="373" customFormat="false" ht="12.75" hidden="false" customHeight="true" outlineLevel="0" collapsed="false">
      <c r="A373" s="6" t="s">
        <v>860</v>
      </c>
      <c r="B373" s="7" t="s">
        <v>116</v>
      </c>
      <c r="C373" s="7" t="s">
        <v>14</v>
      </c>
      <c r="D373" s="7" t="s">
        <v>861</v>
      </c>
      <c r="E373" s="7" t="s">
        <v>862</v>
      </c>
      <c r="F373" s="7" t="s">
        <v>27</v>
      </c>
      <c r="G373" s="5" t="s">
        <v>15</v>
      </c>
      <c r="H373" s="7"/>
      <c r="I373" s="7"/>
    </row>
    <row r="374" customFormat="false" ht="12.75" hidden="false" customHeight="true" outlineLevel="0" collapsed="false">
      <c r="A374" s="3" t="s">
        <v>860</v>
      </c>
      <c r="B374" s="4" t="s">
        <v>116</v>
      </c>
      <c r="C374" s="4" t="s">
        <v>14</v>
      </c>
      <c r="D374" s="4" t="s">
        <v>861</v>
      </c>
      <c r="E374" s="4" t="s">
        <v>863</v>
      </c>
      <c r="F374" s="4" t="s">
        <v>27</v>
      </c>
      <c r="G374" s="5" t="s">
        <v>15</v>
      </c>
      <c r="H374" s="4"/>
      <c r="I374" s="4"/>
    </row>
    <row r="375" customFormat="false" ht="12.75" hidden="false" customHeight="true" outlineLevel="0" collapsed="false">
      <c r="A375" s="6" t="s">
        <v>860</v>
      </c>
      <c r="B375" s="7" t="s">
        <v>116</v>
      </c>
      <c r="C375" s="7" t="s">
        <v>14</v>
      </c>
      <c r="D375" s="7" t="s">
        <v>861</v>
      </c>
      <c r="E375" s="7" t="s">
        <v>864</v>
      </c>
      <c r="F375" s="7" t="s">
        <v>37</v>
      </c>
      <c r="G375" s="5" t="s">
        <v>15</v>
      </c>
      <c r="H375" s="7"/>
      <c r="I375" s="7"/>
    </row>
    <row r="376" customFormat="false" ht="12.75" hidden="false" customHeight="true" outlineLevel="0" collapsed="false">
      <c r="A376" s="3" t="s">
        <v>865</v>
      </c>
      <c r="B376" s="4" t="s">
        <v>866</v>
      </c>
      <c r="C376" s="4" t="s">
        <v>14</v>
      </c>
      <c r="D376" s="4" t="s">
        <v>867</v>
      </c>
      <c r="E376" s="4" t="s">
        <v>868</v>
      </c>
      <c r="F376" s="4" t="s">
        <v>21</v>
      </c>
      <c r="G376" s="5" t="s">
        <v>15</v>
      </c>
      <c r="H376" s="4"/>
      <c r="I376" s="4"/>
    </row>
    <row r="377" customFormat="false" ht="12.75" hidden="false" customHeight="true" outlineLevel="0" collapsed="false">
      <c r="A377" s="6" t="s">
        <v>865</v>
      </c>
      <c r="B377" s="7" t="s">
        <v>866</v>
      </c>
      <c r="C377" s="7" t="s">
        <v>14</v>
      </c>
      <c r="D377" s="7" t="s">
        <v>867</v>
      </c>
      <c r="E377" s="7" t="s">
        <v>869</v>
      </c>
      <c r="F377" s="7" t="s">
        <v>37</v>
      </c>
      <c r="G377" s="5" t="s">
        <v>15</v>
      </c>
      <c r="H377" s="7"/>
      <c r="I377" s="7"/>
    </row>
    <row r="378" customFormat="false" ht="12.75" hidden="false" customHeight="true" outlineLevel="0" collapsed="false">
      <c r="A378" s="3" t="s">
        <v>865</v>
      </c>
      <c r="B378" s="4" t="s">
        <v>866</v>
      </c>
      <c r="C378" s="4" t="s">
        <v>14</v>
      </c>
      <c r="D378" s="4" t="s">
        <v>867</v>
      </c>
      <c r="E378" s="4" t="s">
        <v>870</v>
      </c>
      <c r="F378" s="4" t="s">
        <v>27</v>
      </c>
      <c r="G378" s="5" t="s">
        <v>15</v>
      </c>
      <c r="H378" s="4"/>
      <c r="I378" s="4"/>
    </row>
    <row r="379" customFormat="false" ht="12.75" hidden="false" customHeight="true" outlineLevel="0" collapsed="false">
      <c r="A379" s="6" t="s">
        <v>865</v>
      </c>
      <c r="B379" s="7" t="s">
        <v>866</v>
      </c>
      <c r="C379" s="7" t="s">
        <v>14</v>
      </c>
      <c r="D379" s="7" t="s">
        <v>867</v>
      </c>
      <c r="E379" s="7" t="s">
        <v>871</v>
      </c>
      <c r="F379" s="7" t="s">
        <v>27</v>
      </c>
      <c r="G379" s="5" t="s">
        <v>15</v>
      </c>
      <c r="H379" s="7"/>
      <c r="I379" s="7"/>
    </row>
    <row r="380" customFormat="false" ht="12.75" hidden="false" customHeight="true" outlineLevel="0" collapsed="false">
      <c r="A380" s="3" t="s">
        <v>865</v>
      </c>
      <c r="B380" s="4" t="s">
        <v>866</v>
      </c>
      <c r="C380" s="4" t="s">
        <v>14</v>
      </c>
      <c r="D380" s="4" t="s">
        <v>867</v>
      </c>
      <c r="E380" s="4" t="s">
        <v>872</v>
      </c>
      <c r="F380" s="4" t="s">
        <v>27</v>
      </c>
      <c r="G380" s="5" t="s">
        <v>15</v>
      </c>
      <c r="H380" s="4"/>
      <c r="I380" s="4"/>
    </row>
    <row r="381" customFormat="false" ht="12.75" hidden="false" customHeight="true" outlineLevel="0" collapsed="false">
      <c r="A381" s="6" t="s">
        <v>865</v>
      </c>
      <c r="B381" s="7" t="s">
        <v>866</v>
      </c>
      <c r="C381" s="7" t="s">
        <v>14</v>
      </c>
      <c r="D381" s="7" t="s">
        <v>867</v>
      </c>
      <c r="E381" s="7" t="s">
        <v>873</v>
      </c>
      <c r="F381" s="7" t="s">
        <v>37</v>
      </c>
      <c r="G381" s="5" t="s">
        <v>15</v>
      </c>
      <c r="H381" s="7"/>
      <c r="I381" s="7"/>
    </row>
    <row r="382" customFormat="false" ht="12.75" hidden="false" customHeight="true" outlineLevel="0" collapsed="false">
      <c r="A382" s="3" t="s">
        <v>865</v>
      </c>
      <c r="B382" s="4" t="s">
        <v>866</v>
      </c>
      <c r="C382" s="4" t="s">
        <v>14</v>
      </c>
      <c r="D382" s="4" t="s">
        <v>867</v>
      </c>
      <c r="E382" s="4" t="s">
        <v>874</v>
      </c>
      <c r="F382" s="4" t="s">
        <v>37</v>
      </c>
      <c r="G382" s="5" t="s">
        <v>15</v>
      </c>
      <c r="H382" s="4"/>
      <c r="I382" s="4"/>
    </row>
    <row r="383" customFormat="false" ht="12.75" hidden="false" customHeight="true" outlineLevel="0" collapsed="false">
      <c r="A383" s="6" t="s">
        <v>865</v>
      </c>
      <c r="B383" s="7" t="s">
        <v>866</v>
      </c>
      <c r="C383" s="7" t="s">
        <v>14</v>
      </c>
      <c r="D383" s="7" t="s">
        <v>867</v>
      </c>
      <c r="E383" s="7" t="s">
        <v>875</v>
      </c>
      <c r="F383" s="7" t="s">
        <v>37</v>
      </c>
      <c r="G383" s="5" t="s">
        <v>15</v>
      </c>
      <c r="H383" s="7"/>
      <c r="I383" s="7"/>
    </row>
    <row r="384" customFormat="false" ht="12.75" hidden="false" customHeight="true" outlineLevel="0" collapsed="false">
      <c r="A384" s="3" t="s">
        <v>865</v>
      </c>
      <c r="B384" s="4" t="s">
        <v>866</v>
      </c>
      <c r="C384" s="4" t="s">
        <v>14</v>
      </c>
      <c r="D384" s="4" t="s">
        <v>867</v>
      </c>
      <c r="E384" s="4" t="s">
        <v>876</v>
      </c>
      <c r="F384" s="4" t="s">
        <v>37</v>
      </c>
      <c r="G384" s="5" t="s">
        <v>15</v>
      </c>
      <c r="H384" s="4"/>
      <c r="I384" s="4"/>
    </row>
    <row r="385" customFormat="false" ht="12.75" hidden="false" customHeight="true" outlineLevel="0" collapsed="false">
      <c r="A385" s="6" t="s">
        <v>865</v>
      </c>
      <c r="B385" s="7" t="s">
        <v>866</v>
      </c>
      <c r="C385" s="7" t="s">
        <v>14</v>
      </c>
      <c r="D385" s="7" t="s">
        <v>867</v>
      </c>
      <c r="E385" s="7" t="s">
        <v>877</v>
      </c>
      <c r="F385" s="7" t="s">
        <v>37</v>
      </c>
      <c r="G385" s="5" t="s">
        <v>15</v>
      </c>
      <c r="H385" s="7"/>
      <c r="I385" s="7"/>
    </row>
    <row r="386" customFormat="false" ht="12.75" hidden="false" customHeight="true" outlineLevel="0" collapsed="false">
      <c r="A386" s="3" t="s">
        <v>865</v>
      </c>
      <c r="B386" s="4" t="s">
        <v>866</v>
      </c>
      <c r="C386" s="4" t="s">
        <v>14</v>
      </c>
      <c r="D386" s="4" t="s">
        <v>867</v>
      </c>
      <c r="E386" s="4" t="s">
        <v>878</v>
      </c>
      <c r="F386" s="4" t="s">
        <v>37</v>
      </c>
      <c r="G386" s="5" t="s">
        <v>15</v>
      </c>
      <c r="H386" s="4"/>
      <c r="I386" s="4"/>
    </row>
    <row r="387" customFormat="false" ht="12.75" hidden="false" customHeight="true" outlineLevel="0" collapsed="false">
      <c r="A387" s="6" t="s">
        <v>879</v>
      </c>
      <c r="B387" s="7" t="s">
        <v>880</v>
      </c>
      <c r="C387" s="7" t="s">
        <v>14</v>
      </c>
      <c r="D387" s="7" t="s">
        <v>881</v>
      </c>
      <c r="E387" s="7" t="s">
        <v>882</v>
      </c>
      <c r="F387" s="7" t="s">
        <v>21</v>
      </c>
      <c r="G387" s="5" t="s">
        <v>15</v>
      </c>
      <c r="H387" s="7"/>
      <c r="I387" s="7"/>
    </row>
    <row r="388" customFormat="false" ht="12.75" hidden="false" customHeight="true" outlineLevel="0" collapsed="false">
      <c r="A388" s="3" t="s">
        <v>879</v>
      </c>
      <c r="B388" s="4" t="s">
        <v>880</v>
      </c>
      <c r="C388" s="4" t="s">
        <v>14</v>
      </c>
      <c r="D388" s="4" t="s">
        <v>881</v>
      </c>
      <c r="E388" s="4" t="s">
        <v>883</v>
      </c>
      <c r="F388" s="4" t="s">
        <v>37</v>
      </c>
      <c r="G388" s="5" t="s">
        <v>15</v>
      </c>
      <c r="H388" s="4"/>
      <c r="I388" s="4"/>
    </row>
    <row r="389" customFormat="false" ht="12.75" hidden="false" customHeight="true" outlineLevel="0" collapsed="false">
      <c r="A389" s="6" t="s">
        <v>879</v>
      </c>
      <c r="B389" s="7" t="s">
        <v>880</v>
      </c>
      <c r="C389" s="7" t="s">
        <v>14</v>
      </c>
      <c r="D389" s="7" t="s">
        <v>881</v>
      </c>
      <c r="E389" s="7" t="s">
        <v>884</v>
      </c>
      <c r="F389" s="7" t="s">
        <v>21</v>
      </c>
      <c r="G389" s="5" t="s">
        <v>15</v>
      </c>
      <c r="H389" s="7"/>
      <c r="I389" s="7"/>
    </row>
    <row r="390" customFormat="false" ht="12.75" hidden="false" customHeight="true" outlineLevel="0" collapsed="false">
      <c r="A390" s="3" t="s">
        <v>879</v>
      </c>
      <c r="B390" s="4" t="s">
        <v>880</v>
      </c>
      <c r="C390" s="4" t="s">
        <v>14</v>
      </c>
      <c r="D390" s="4" t="s">
        <v>881</v>
      </c>
      <c r="E390" s="4" t="s">
        <v>885</v>
      </c>
      <c r="F390" s="4" t="s">
        <v>27</v>
      </c>
      <c r="G390" s="5" t="s">
        <v>15</v>
      </c>
      <c r="H390" s="4"/>
      <c r="I390" s="4"/>
    </row>
    <row r="391" customFormat="false" ht="12.75" hidden="false" customHeight="true" outlineLevel="0" collapsed="false">
      <c r="A391" s="6" t="s">
        <v>879</v>
      </c>
      <c r="B391" s="7" t="s">
        <v>880</v>
      </c>
      <c r="C391" s="7" t="s">
        <v>14</v>
      </c>
      <c r="D391" s="7" t="s">
        <v>881</v>
      </c>
      <c r="E391" s="7" t="s">
        <v>886</v>
      </c>
      <c r="F391" s="7" t="s">
        <v>27</v>
      </c>
      <c r="G391" s="5" t="s">
        <v>15</v>
      </c>
      <c r="H391" s="7"/>
      <c r="I391" s="7"/>
    </row>
    <row r="392" customFormat="false" ht="12.75" hidden="false" customHeight="true" outlineLevel="0" collapsed="false">
      <c r="A392" s="3" t="s">
        <v>879</v>
      </c>
      <c r="B392" s="4" t="s">
        <v>880</v>
      </c>
      <c r="C392" s="4" t="s">
        <v>14</v>
      </c>
      <c r="D392" s="4" t="s">
        <v>881</v>
      </c>
      <c r="E392" s="4" t="s">
        <v>887</v>
      </c>
      <c r="F392" s="4" t="s">
        <v>37</v>
      </c>
      <c r="G392" s="5" t="s">
        <v>15</v>
      </c>
      <c r="H392" s="4"/>
      <c r="I392" s="4"/>
    </row>
    <row r="393" customFormat="false" ht="12.75" hidden="false" customHeight="true" outlineLevel="0" collapsed="false">
      <c r="A393" s="6" t="s">
        <v>879</v>
      </c>
      <c r="B393" s="7" t="s">
        <v>880</v>
      </c>
      <c r="C393" s="7" t="s">
        <v>14</v>
      </c>
      <c r="D393" s="7" t="s">
        <v>881</v>
      </c>
      <c r="E393" s="7" t="s">
        <v>888</v>
      </c>
      <c r="F393" s="7" t="s">
        <v>37</v>
      </c>
      <c r="G393" s="5" t="s">
        <v>15</v>
      </c>
      <c r="H393" s="7"/>
      <c r="I393" s="7"/>
    </row>
    <row r="394" customFormat="false" ht="12.75" hidden="false" customHeight="true" outlineLevel="0" collapsed="false">
      <c r="A394" s="3" t="s">
        <v>889</v>
      </c>
      <c r="B394" s="4" t="s">
        <v>890</v>
      </c>
      <c r="C394" s="4" t="s">
        <v>14</v>
      </c>
      <c r="D394" s="4" t="s">
        <v>891</v>
      </c>
      <c r="E394" s="4" t="s">
        <v>892</v>
      </c>
      <c r="F394" s="4" t="s">
        <v>27</v>
      </c>
      <c r="G394" s="5" t="s">
        <v>15</v>
      </c>
      <c r="H394" s="4"/>
      <c r="I394" s="4"/>
    </row>
    <row r="395" customFormat="false" ht="12.75" hidden="false" customHeight="true" outlineLevel="0" collapsed="false">
      <c r="A395" s="6" t="s">
        <v>889</v>
      </c>
      <c r="B395" s="7" t="s">
        <v>890</v>
      </c>
      <c r="C395" s="7" t="s">
        <v>14</v>
      </c>
      <c r="D395" s="7" t="s">
        <v>891</v>
      </c>
      <c r="E395" s="7" t="s">
        <v>893</v>
      </c>
      <c r="F395" s="7" t="s">
        <v>37</v>
      </c>
      <c r="G395" s="5" t="s">
        <v>15</v>
      </c>
      <c r="H395" s="7"/>
      <c r="I395" s="7"/>
    </row>
    <row r="396" customFormat="false" ht="12.75" hidden="false" customHeight="true" outlineLevel="0" collapsed="false">
      <c r="A396" s="3" t="s">
        <v>894</v>
      </c>
      <c r="B396" s="4" t="s">
        <v>895</v>
      </c>
      <c r="C396" s="4" t="s">
        <v>14</v>
      </c>
      <c r="D396" s="4" t="s">
        <v>896</v>
      </c>
      <c r="E396" s="4" t="s">
        <v>897</v>
      </c>
      <c r="F396" s="4" t="s">
        <v>21</v>
      </c>
      <c r="G396" s="5" t="s">
        <v>15</v>
      </c>
      <c r="H396" s="4"/>
      <c r="I396" s="4"/>
    </row>
    <row r="397" customFormat="false" ht="12.75" hidden="false" customHeight="true" outlineLevel="0" collapsed="false">
      <c r="A397" s="6" t="s">
        <v>894</v>
      </c>
      <c r="B397" s="7" t="s">
        <v>895</v>
      </c>
      <c r="C397" s="7" t="s">
        <v>14</v>
      </c>
      <c r="D397" s="7" t="s">
        <v>896</v>
      </c>
      <c r="E397" s="7" t="s">
        <v>898</v>
      </c>
      <c r="F397" s="7" t="s">
        <v>27</v>
      </c>
      <c r="G397" s="5" t="s">
        <v>15</v>
      </c>
      <c r="H397" s="7"/>
      <c r="I397" s="7"/>
    </row>
    <row r="398" customFormat="false" ht="12.75" hidden="false" customHeight="true" outlineLevel="0" collapsed="false">
      <c r="A398" s="3" t="s">
        <v>894</v>
      </c>
      <c r="B398" s="4" t="s">
        <v>895</v>
      </c>
      <c r="C398" s="4" t="s">
        <v>14</v>
      </c>
      <c r="D398" s="4" t="s">
        <v>896</v>
      </c>
      <c r="E398" s="4" t="s">
        <v>899</v>
      </c>
      <c r="F398" s="4" t="s">
        <v>37</v>
      </c>
      <c r="G398" s="5" t="s">
        <v>15</v>
      </c>
      <c r="H398" s="4"/>
      <c r="I398" s="4"/>
    </row>
    <row r="399" customFormat="false" ht="12.75" hidden="false" customHeight="true" outlineLevel="0" collapsed="false">
      <c r="A399" s="6" t="s">
        <v>900</v>
      </c>
      <c r="B399" s="7" t="s">
        <v>901</v>
      </c>
      <c r="C399" s="7" t="s">
        <v>14</v>
      </c>
      <c r="D399" s="7" t="s">
        <v>902</v>
      </c>
      <c r="E399" s="7" t="s">
        <v>903</v>
      </c>
      <c r="F399" s="7" t="s">
        <v>21</v>
      </c>
      <c r="G399" s="5" t="s">
        <v>15</v>
      </c>
      <c r="H399" s="7"/>
      <c r="I399" s="7"/>
    </row>
    <row r="400" customFormat="false" ht="12.75" hidden="false" customHeight="true" outlineLevel="0" collapsed="false">
      <c r="A400" s="3" t="s">
        <v>904</v>
      </c>
      <c r="B400" s="4" t="s">
        <v>543</v>
      </c>
      <c r="C400" s="4" t="s">
        <v>14</v>
      </c>
      <c r="D400" s="4" t="s">
        <v>905</v>
      </c>
      <c r="E400" s="4" t="s">
        <v>906</v>
      </c>
      <c r="F400" s="4" t="s">
        <v>27</v>
      </c>
      <c r="G400" s="5" t="s">
        <v>15</v>
      </c>
      <c r="H400" s="4"/>
      <c r="I400" s="4"/>
    </row>
    <row r="401" customFormat="false" ht="12.75" hidden="false" customHeight="true" outlineLevel="0" collapsed="false">
      <c r="A401" s="6" t="s">
        <v>904</v>
      </c>
      <c r="B401" s="7" t="s">
        <v>543</v>
      </c>
      <c r="C401" s="7" t="s">
        <v>14</v>
      </c>
      <c r="D401" s="7" t="s">
        <v>905</v>
      </c>
      <c r="E401" s="7" t="s">
        <v>907</v>
      </c>
      <c r="F401" s="7" t="s">
        <v>37</v>
      </c>
      <c r="G401" s="5" t="s">
        <v>15</v>
      </c>
      <c r="H401" s="7"/>
      <c r="I401" s="7"/>
    </row>
    <row r="402" customFormat="false" ht="12.75" hidden="false" customHeight="true" outlineLevel="0" collapsed="false">
      <c r="A402" s="3" t="s">
        <v>904</v>
      </c>
      <c r="B402" s="4" t="s">
        <v>543</v>
      </c>
      <c r="C402" s="4" t="s">
        <v>14</v>
      </c>
      <c r="D402" s="4" t="s">
        <v>905</v>
      </c>
      <c r="E402" s="4" t="s">
        <v>908</v>
      </c>
      <c r="F402" s="4" t="s">
        <v>37</v>
      </c>
      <c r="G402" s="5" t="s">
        <v>15</v>
      </c>
      <c r="H402" s="4"/>
      <c r="I402" s="4"/>
    </row>
    <row r="403" customFormat="false" ht="12.75" hidden="false" customHeight="true" outlineLevel="0" collapsed="false">
      <c r="A403" s="6" t="s">
        <v>909</v>
      </c>
      <c r="B403" s="7" t="s">
        <v>644</v>
      </c>
      <c r="C403" s="7" t="s">
        <v>14</v>
      </c>
      <c r="D403" s="7" t="s">
        <v>910</v>
      </c>
      <c r="E403" s="7" t="s">
        <v>911</v>
      </c>
      <c r="F403" s="7" t="s">
        <v>27</v>
      </c>
      <c r="G403" s="5" t="s">
        <v>15</v>
      </c>
      <c r="H403" s="7"/>
      <c r="I403" s="7"/>
    </row>
    <row r="404" customFormat="false" ht="12.75" hidden="false" customHeight="true" outlineLevel="0" collapsed="false">
      <c r="A404" s="3" t="s">
        <v>909</v>
      </c>
      <c r="B404" s="4" t="s">
        <v>644</v>
      </c>
      <c r="C404" s="4" t="s">
        <v>14</v>
      </c>
      <c r="D404" s="4" t="s">
        <v>910</v>
      </c>
      <c r="E404" s="4" t="s">
        <v>912</v>
      </c>
      <c r="F404" s="4" t="s">
        <v>27</v>
      </c>
      <c r="G404" s="5" t="s">
        <v>15</v>
      </c>
      <c r="H404" s="4"/>
      <c r="I404" s="4"/>
    </row>
    <row r="405" customFormat="false" ht="12.75" hidden="false" customHeight="true" outlineLevel="0" collapsed="false">
      <c r="A405" s="6" t="s">
        <v>909</v>
      </c>
      <c r="B405" s="7" t="s">
        <v>644</v>
      </c>
      <c r="C405" s="7" t="s">
        <v>14</v>
      </c>
      <c r="D405" s="7" t="s">
        <v>910</v>
      </c>
      <c r="E405" s="7" t="s">
        <v>913</v>
      </c>
      <c r="F405" s="7" t="s">
        <v>37</v>
      </c>
      <c r="G405" s="5" t="s">
        <v>15</v>
      </c>
      <c r="H405" s="7"/>
      <c r="I405" s="7"/>
    </row>
    <row r="406" customFormat="false" ht="12.75" hidden="false" customHeight="true" outlineLevel="0" collapsed="false">
      <c r="A406" s="3" t="s">
        <v>909</v>
      </c>
      <c r="B406" s="4" t="s">
        <v>644</v>
      </c>
      <c r="C406" s="4" t="s">
        <v>14</v>
      </c>
      <c r="D406" s="4" t="s">
        <v>910</v>
      </c>
      <c r="E406" s="4" t="s">
        <v>914</v>
      </c>
      <c r="F406" s="4" t="s">
        <v>37</v>
      </c>
      <c r="G406" s="5" t="s">
        <v>15</v>
      </c>
      <c r="H406" s="4"/>
      <c r="I406" s="4"/>
    </row>
    <row r="407" customFormat="false" ht="12.75" hidden="false" customHeight="true" outlineLevel="0" collapsed="false">
      <c r="A407" s="6" t="s">
        <v>915</v>
      </c>
      <c r="B407" s="7" t="s">
        <v>916</v>
      </c>
      <c r="C407" s="7" t="s">
        <v>14</v>
      </c>
      <c r="D407" s="7" t="s">
        <v>917</v>
      </c>
      <c r="E407" s="7" t="s">
        <v>918</v>
      </c>
      <c r="F407" s="7" t="s">
        <v>215</v>
      </c>
      <c r="G407" s="5" t="s">
        <v>15</v>
      </c>
      <c r="H407" s="7"/>
      <c r="I407" s="7"/>
    </row>
    <row r="408" customFormat="false" ht="12.75" hidden="false" customHeight="true" outlineLevel="0" collapsed="false">
      <c r="A408" s="3" t="s">
        <v>915</v>
      </c>
      <c r="B408" s="4" t="s">
        <v>916</v>
      </c>
      <c r="C408" s="4" t="s">
        <v>14</v>
      </c>
      <c r="D408" s="4" t="s">
        <v>917</v>
      </c>
      <c r="E408" s="4" t="s">
        <v>919</v>
      </c>
      <c r="F408" s="4" t="s">
        <v>21</v>
      </c>
      <c r="G408" s="5" t="s">
        <v>15</v>
      </c>
      <c r="H408" s="4"/>
      <c r="I408" s="4"/>
    </row>
    <row r="409" customFormat="false" ht="12.75" hidden="false" customHeight="true" outlineLevel="0" collapsed="false">
      <c r="A409" s="6" t="s">
        <v>920</v>
      </c>
      <c r="B409" s="7" t="s">
        <v>921</v>
      </c>
      <c r="C409" s="7" t="s">
        <v>14</v>
      </c>
      <c r="D409" s="7" t="s">
        <v>922</v>
      </c>
      <c r="E409" s="7" t="s">
        <v>923</v>
      </c>
      <c r="F409" s="7" t="s">
        <v>21</v>
      </c>
      <c r="G409" s="5" t="s">
        <v>15</v>
      </c>
      <c r="H409" s="7"/>
      <c r="I409" s="7"/>
    </row>
    <row r="410" customFormat="false" ht="12.75" hidden="false" customHeight="true" outlineLevel="0" collapsed="false">
      <c r="A410" s="3" t="s">
        <v>920</v>
      </c>
      <c r="B410" s="4" t="s">
        <v>921</v>
      </c>
      <c r="C410" s="4" t="s">
        <v>14</v>
      </c>
      <c r="D410" s="4" t="s">
        <v>922</v>
      </c>
      <c r="E410" s="4" t="s">
        <v>924</v>
      </c>
      <c r="F410" s="4" t="s">
        <v>21</v>
      </c>
      <c r="G410" s="5" t="s">
        <v>15</v>
      </c>
      <c r="H410" s="4"/>
      <c r="I410" s="4"/>
    </row>
    <row r="411" customFormat="false" ht="12.75" hidden="false" customHeight="true" outlineLevel="0" collapsed="false">
      <c r="A411" s="6" t="s">
        <v>920</v>
      </c>
      <c r="B411" s="7" t="s">
        <v>921</v>
      </c>
      <c r="C411" s="7" t="s">
        <v>14</v>
      </c>
      <c r="D411" s="7" t="s">
        <v>922</v>
      </c>
      <c r="E411" s="7" t="s">
        <v>925</v>
      </c>
      <c r="F411" s="7" t="s">
        <v>21</v>
      </c>
      <c r="G411" s="5" t="s">
        <v>15</v>
      </c>
      <c r="H411" s="7"/>
      <c r="I411" s="7"/>
    </row>
    <row r="412" customFormat="false" ht="12.75" hidden="false" customHeight="true" outlineLevel="0" collapsed="false">
      <c r="A412" s="3" t="s">
        <v>926</v>
      </c>
      <c r="B412" s="4" t="s">
        <v>501</v>
      </c>
      <c r="C412" s="4" t="s">
        <v>14</v>
      </c>
      <c r="D412" s="4" t="s">
        <v>927</v>
      </c>
      <c r="E412" s="4" t="s">
        <v>928</v>
      </c>
      <c r="F412" s="4" t="s">
        <v>21</v>
      </c>
      <c r="G412" s="5" t="s">
        <v>15</v>
      </c>
      <c r="H412" s="4"/>
      <c r="I412" s="4"/>
    </row>
    <row r="413" customFormat="false" ht="12.75" hidden="false" customHeight="true" outlineLevel="0" collapsed="false">
      <c r="A413" s="6" t="s">
        <v>929</v>
      </c>
      <c r="B413" s="7" t="s">
        <v>226</v>
      </c>
      <c r="C413" s="7" t="s">
        <v>14</v>
      </c>
      <c r="D413" s="7" t="s">
        <v>930</v>
      </c>
      <c r="E413" s="7" t="s">
        <v>931</v>
      </c>
      <c r="F413" s="7" t="s">
        <v>27</v>
      </c>
      <c r="G413" s="5" t="s">
        <v>15</v>
      </c>
      <c r="H413" s="7"/>
      <c r="I413" s="7"/>
    </row>
    <row r="414" customFormat="false" ht="12.75" hidden="false" customHeight="true" outlineLevel="0" collapsed="false">
      <c r="A414" s="3" t="s">
        <v>932</v>
      </c>
      <c r="B414" s="4" t="s">
        <v>933</v>
      </c>
      <c r="C414" s="4" t="s">
        <v>14</v>
      </c>
      <c r="D414" s="4" t="s">
        <v>934</v>
      </c>
      <c r="E414" s="4" t="s">
        <v>935</v>
      </c>
      <c r="F414" s="4" t="s">
        <v>215</v>
      </c>
      <c r="G414" s="5" t="s">
        <v>15</v>
      </c>
      <c r="H414" s="4"/>
      <c r="I414" s="4"/>
    </row>
    <row r="415" customFormat="false" ht="12.75" hidden="false" customHeight="true" outlineLevel="0" collapsed="false">
      <c r="A415" s="6" t="s">
        <v>932</v>
      </c>
      <c r="B415" s="7" t="s">
        <v>933</v>
      </c>
      <c r="C415" s="7" t="s">
        <v>14</v>
      </c>
      <c r="D415" s="7" t="s">
        <v>934</v>
      </c>
      <c r="E415" s="7" t="s">
        <v>936</v>
      </c>
      <c r="F415" s="7" t="s">
        <v>270</v>
      </c>
      <c r="G415" s="5" t="s">
        <v>15</v>
      </c>
      <c r="H415" s="7"/>
      <c r="I415" s="7"/>
    </row>
    <row r="416" customFormat="false" ht="12.75" hidden="false" customHeight="true" outlineLevel="0" collapsed="false">
      <c r="A416" s="3" t="s">
        <v>932</v>
      </c>
      <c r="B416" s="4" t="s">
        <v>933</v>
      </c>
      <c r="C416" s="4" t="s">
        <v>14</v>
      </c>
      <c r="D416" s="4" t="s">
        <v>934</v>
      </c>
      <c r="E416" s="4" t="s">
        <v>937</v>
      </c>
      <c r="F416" s="4" t="s">
        <v>37</v>
      </c>
      <c r="G416" s="5" t="s">
        <v>15</v>
      </c>
      <c r="H416" s="4"/>
      <c r="I416" s="4"/>
    </row>
    <row r="417" customFormat="false" ht="12.75" hidden="false" customHeight="true" outlineLevel="0" collapsed="false">
      <c r="A417" s="6" t="s">
        <v>932</v>
      </c>
      <c r="B417" s="7" t="s">
        <v>933</v>
      </c>
      <c r="C417" s="7" t="s">
        <v>14</v>
      </c>
      <c r="D417" s="7" t="s">
        <v>934</v>
      </c>
      <c r="E417" s="7" t="s">
        <v>938</v>
      </c>
      <c r="F417" s="7" t="s">
        <v>37</v>
      </c>
      <c r="G417" s="5" t="s">
        <v>15</v>
      </c>
      <c r="H417" s="7"/>
      <c r="I417" s="7"/>
    </row>
    <row r="418" customFormat="false" ht="12.75" hidden="false" customHeight="true" outlineLevel="0" collapsed="false">
      <c r="A418" s="3" t="s">
        <v>939</v>
      </c>
      <c r="B418" s="4" t="s">
        <v>940</v>
      </c>
      <c r="C418" s="4" t="s">
        <v>14</v>
      </c>
      <c r="D418" s="4" t="s">
        <v>941</v>
      </c>
      <c r="E418" s="4" t="s">
        <v>942</v>
      </c>
      <c r="F418" s="4" t="s">
        <v>21</v>
      </c>
      <c r="G418" s="5" t="s">
        <v>15</v>
      </c>
      <c r="H418" s="4"/>
      <c r="I418" s="4"/>
    </row>
    <row r="419" customFormat="false" ht="12.75" hidden="false" customHeight="true" outlineLevel="0" collapsed="false">
      <c r="A419" s="6" t="s">
        <v>939</v>
      </c>
      <c r="B419" s="7" t="s">
        <v>940</v>
      </c>
      <c r="C419" s="7" t="s">
        <v>14</v>
      </c>
      <c r="D419" s="7" t="s">
        <v>941</v>
      </c>
      <c r="E419" s="7" t="s">
        <v>943</v>
      </c>
      <c r="F419" s="7" t="s">
        <v>27</v>
      </c>
      <c r="G419" s="5" t="s">
        <v>15</v>
      </c>
      <c r="H419" s="7"/>
      <c r="I419" s="7"/>
    </row>
    <row r="420" customFormat="false" ht="12.75" hidden="false" customHeight="true" outlineLevel="0" collapsed="false">
      <c r="A420" s="3" t="s">
        <v>939</v>
      </c>
      <c r="B420" s="4" t="s">
        <v>940</v>
      </c>
      <c r="C420" s="4" t="s">
        <v>14</v>
      </c>
      <c r="D420" s="4" t="s">
        <v>941</v>
      </c>
      <c r="E420" s="4" t="s">
        <v>944</v>
      </c>
      <c r="F420" s="4" t="s">
        <v>37</v>
      </c>
      <c r="G420" s="5" t="s">
        <v>15</v>
      </c>
      <c r="H420" s="4"/>
      <c r="I420" s="4"/>
    </row>
    <row r="421" customFormat="false" ht="12.75" hidden="false" customHeight="true" outlineLevel="0" collapsed="false">
      <c r="A421" s="6" t="s">
        <v>945</v>
      </c>
      <c r="B421" s="7" t="s">
        <v>259</v>
      </c>
      <c r="C421" s="7" t="s">
        <v>14</v>
      </c>
      <c r="D421" s="7" t="s">
        <v>946</v>
      </c>
      <c r="E421" s="7" t="s">
        <v>947</v>
      </c>
      <c r="F421" s="7" t="s">
        <v>21</v>
      </c>
      <c r="G421" s="5" t="s">
        <v>15</v>
      </c>
      <c r="H421" s="7"/>
      <c r="I421" s="7"/>
    </row>
    <row r="422" customFormat="false" ht="12.75" hidden="false" customHeight="true" outlineLevel="0" collapsed="false">
      <c r="A422" s="3" t="s">
        <v>945</v>
      </c>
      <c r="B422" s="4" t="s">
        <v>259</v>
      </c>
      <c r="C422" s="4" t="s">
        <v>14</v>
      </c>
      <c r="D422" s="4" t="s">
        <v>946</v>
      </c>
      <c r="E422" s="4" t="s">
        <v>948</v>
      </c>
      <c r="F422" s="4" t="s">
        <v>27</v>
      </c>
      <c r="G422" s="5" t="s">
        <v>15</v>
      </c>
      <c r="H422" s="4"/>
      <c r="I422" s="4"/>
    </row>
    <row r="423" customFormat="false" ht="12.75" hidden="false" customHeight="true" outlineLevel="0" collapsed="false">
      <c r="A423" s="6" t="s">
        <v>945</v>
      </c>
      <c r="B423" s="7" t="s">
        <v>259</v>
      </c>
      <c r="C423" s="7" t="s">
        <v>14</v>
      </c>
      <c r="D423" s="7" t="s">
        <v>946</v>
      </c>
      <c r="E423" s="7" t="s">
        <v>949</v>
      </c>
      <c r="F423" s="7" t="s">
        <v>27</v>
      </c>
      <c r="G423" s="5" t="s">
        <v>15</v>
      </c>
      <c r="H423" s="7"/>
      <c r="I423" s="7"/>
    </row>
    <row r="424" customFormat="false" ht="12.75" hidden="false" customHeight="true" outlineLevel="0" collapsed="false">
      <c r="A424" s="3" t="s">
        <v>945</v>
      </c>
      <c r="B424" s="4" t="s">
        <v>259</v>
      </c>
      <c r="C424" s="4" t="s">
        <v>14</v>
      </c>
      <c r="D424" s="4" t="s">
        <v>946</v>
      </c>
      <c r="E424" s="4" t="s">
        <v>950</v>
      </c>
      <c r="F424" s="4" t="s">
        <v>27</v>
      </c>
      <c r="G424" s="5" t="s">
        <v>15</v>
      </c>
      <c r="H424" s="4"/>
      <c r="I424" s="4"/>
    </row>
    <row r="425" customFormat="false" ht="12.75" hidden="false" customHeight="true" outlineLevel="0" collapsed="false">
      <c r="A425" s="6" t="s">
        <v>945</v>
      </c>
      <c r="B425" s="7" t="s">
        <v>259</v>
      </c>
      <c r="C425" s="7" t="s">
        <v>14</v>
      </c>
      <c r="D425" s="7" t="s">
        <v>946</v>
      </c>
      <c r="E425" s="7" t="s">
        <v>951</v>
      </c>
      <c r="F425" s="7" t="s">
        <v>37</v>
      </c>
      <c r="G425" s="5" t="s">
        <v>15</v>
      </c>
      <c r="H425" s="7"/>
      <c r="I425" s="7"/>
    </row>
    <row r="426" customFormat="false" ht="12.75" hidden="false" customHeight="true" outlineLevel="0" collapsed="false">
      <c r="A426" s="3" t="s">
        <v>945</v>
      </c>
      <c r="B426" s="4" t="s">
        <v>259</v>
      </c>
      <c r="C426" s="4" t="s">
        <v>14</v>
      </c>
      <c r="D426" s="4" t="s">
        <v>946</v>
      </c>
      <c r="E426" s="4" t="s">
        <v>952</v>
      </c>
      <c r="F426" s="4" t="s">
        <v>37</v>
      </c>
      <c r="G426" s="5" t="s">
        <v>15</v>
      </c>
      <c r="H426" s="4"/>
      <c r="I426" s="4"/>
    </row>
    <row r="427" customFormat="false" ht="12.75" hidden="false" customHeight="true" outlineLevel="0" collapsed="false">
      <c r="A427" s="6" t="s">
        <v>945</v>
      </c>
      <c r="B427" s="7" t="s">
        <v>259</v>
      </c>
      <c r="C427" s="7" t="s">
        <v>14</v>
      </c>
      <c r="D427" s="7" t="s">
        <v>946</v>
      </c>
      <c r="E427" s="7" t="s">
        <v>953</v>
      </c>
      <c r="F427" s="7" t="s">
        <v>37</v>
      </c>
      <c r="G427" s="5" t="s">
        <v>15</v>
      </c>
      <c r="H427" s="7"/>
      <c r="I427" s="7"/>
    </row>
    <row r="428" customFormat="false" ht="12.75" hidden="false" customHeight="true" outlineLevel="0" collapsed="false">
      <c r="A428" s="3" t="s">
        <v>945</v>
      </c>
      <c r="B428" s="4" t="s">
        <v>259</v>
      </c>
      <c r="C428" s="4" t="s">
        <v>14</v>
      </c>
      <c r="D428" s="4" t="s">
        <v>946</v>
      </c>
      <c r="E428" s="4" t="s">
        <v>954</v>
      </c>
      <c r="F428" s="4" t="s">
        <v>37</v>
      </c>
      <c r="G428" s="5" t="s">
        <v>15</v>
      </c>
      <c r="H428" s="4"/>
      <c r="I428" s="4"/>
    </row>
    <row r="429" customFormat="false" ht="12.75" hidden="false" customHeight="true" outlineLevel="0" collapsed="false">
      <c r="A429" s="6" t="s">
        <v>945</v>
      </c>
      <c r="B429" s="7" t="s">
        <v>259</v>
      </c>
      <c r="C429" s="7" t="s">
        <v>14</v>
      </c>
      <c r="D429" s="7" t="s">
        <v>946</v>
      </c>
      <c r="E429" s="7" t="s">
        <v>955</v>
      </c>
      <c r="F429" s="7" t="s">
        <v>37</v>
      </c>
      <c r="G429" s="5" t="s">
        <v>15</v>
      </c>
      <c r="H429" s="7"/>
      <c r="I429" s="7"/>
    </row>
    <row r="430" customFormat="false" ht="12.75" hidden="false" customHeight="true" outlineLevel="0" collapsed="false">
      <c r="A430" s="3" t="s">
        <v>956</v>
      </c>
      <c r="B430" s="4" t="s">
        <v>539</v>
      </c>
      <c r="C430" s="4" t="s">
        <v>14</v>
      </c>
      <c r="D430" s="4" t="s">
        <v>957</v>
      </c>
      <c r="E430" s="4" t="s">
        <v>958</v>
      </c>
      <c r="F430" s="4" t="s">
        <v>21</v>
      </c>
      <c r="G430" s="5" t="s">
        <v>15</v>
      </c>
      <c r="H430" s="4"/>
      <c r="I430" s="4"/>
    </row>
    <row r="431" customFormat="false" ht="12.75" hidden="false" customHeight="true" outlineLevel="0" collapsed="false">
      <c r="A431" s="6" t="s">
        <v>956</v>
      </c>
      <c r="B431" s="7" t="s">
        <v>539</v>
      </c>
      <c r="C431" s="7" t="s">
        <v>14</v>
      </c>
      <c r="D431" s="7" t="s">
        <v>957</v>
      </c>
      <c r="E431" s="7" t="s">
        <v>959</v>
      </c>
      <c r="F431" s="7" t="s">
        <v>27</v>
      </c>
      <c r="G431" s="5" t="s">
        <v>15</v>
      </c>
      <c r="H431" s="7"/>
      <c r="I431" s="7"/>
    </row>
    <row r="432" customFormat="false" ht="12.75" hidden="false" customHeight="true" outlineLevel="0" collapsed="false">
      <c r="A432" s="3" t="s">
        <v>960</v>
      </c>
      <c r="B432" s="4" t="s">
        <v>961</v>
      </c>
      <c r="C432" s="4" t="s">
        <v>14</v>
      </c>
      <c r="D432" s="4" t="s">
        <v>962</v>
      </c>
      <c r="E432" s="4" t="s">
        <v>963</v>
      </c>
      <c r="F432" s="4" t="s">
        <v>43</v>
      </c>
      <c r="G432" s="5" t="s">
        <v>15</v>
      </c>
      <c r="H432" s="4"/>
      <c r="I432" s="4"/>
    </row>
    <row r="433" customFormat="false" ht="12.75" hidden="false" customHeight="true" outlineLevel="0" collapsed="false">
      <c r="A433" s="6" t="s">
        <v>960</v>
      </c>
      <c r="B433" s="7" t="s">
        <v>961</v>
      </c>
      <c r="C433" s="7" t="s">
        <v>14</v>
      </c>
      <c r="D433" s="7" t="s">
        <v>962</v>
      </c>
      <c r="E433" s="7" t="s">
        <v>964</v>
      </c>
      <c r="F433" s="7" t="s">
        <v>21</v>
      </c>
      <c r="G433" s="5" t="s">
        <v>15</v>
      </c>
      <c r="H433" s="7"/>
      <c r="I433" s="7"/>
    </row>
    <row r="434" customFormat="false" ht="12.75" hidden="false" customHeight="true" outlineLevel="0" collapsed="false">
      <c r="A434" s="3" t="s">
        <v>960</v>
      </c>
      <c r="B434" s="4" t="s">
        <v>961</v>
      </c>
      <c r="C434" s="4" t="s">
        <v>14</v>
      </c>
      <c r="D434" s="4" t="s">
        <v>962</v>
      </c>
      <c r="E434" s="4" t="s">
        <v>965</v>
      </c>
      <c r="F434" s="4" t="s">
        <v>21</v>
      </c>
      <c r="G434" s="5" t="s">
        <v>15</v>
      </c>
      <c r="H434" s="4"/>
      <c r="I434" s="4"/>
    </row>
    <row r="435" customFormat="false" ht="12.75" hidden="false" customHeight="true" outlineLevel="0" collapsed="false">
      <c r="A435" s="6" t="s">
        <v>960</v>
      </c>
      <c r="B435" s="7" t="s">
        <v>961</v>
      </c>
      <c r="C435" s="7" t="s">
        <v>14</v>
      </c>
      <c r="D435" s="7" t="s">
        <v>962</v>
      </c>
      <c r="E435" s="7" t="s">
        <v>966</v>
      </c>
      <c r="F435" s="7" t="s">
        <v>21</v>
      </c>
      <c r="G435" s="5" t="s">
        <v>15</v>
      </c>
      <c r="H435" s="7"/>
      <c r="I435" s="7"/>
    </row>
    <row r="436" customFormat="false" ht="12.75" hidden="false" customHeight="true" outlineLevel="0" collapsed="false">
      <c r="A436" s="3" t="s">
        <v>967</v>
      </c>
      <c r="B436" s="4" t="s">
        <v>585</v>
      </c>
      <c r="C436" s="4" t="s">
        <v>21</v>
      </c>
      <c r="D436" s="4" t="s">
        <v>968</v>
      </c>
      <c r="E436" s="4" t="s">
        <v>969</v>
      </c>
      <c r="F436" s="4" t="s">
        <v>568</v>
      </c>
      <c r="G436" s="5" t="s">
        <v>15</v>
      </c>
      <c r="H436" s="4"/>
      <c r="I436" s="4"/>
    </row>
    <row r="437" customFormat="false" ht="12.75" hidden="false" customHeight="true" outlineLevel="0" collapsed="false">
      <c r="A437" s="6" t="s">
        <v>967</v>
      </c>
      <c r="B437" s="7" t="s">
        <v>585</v>
      </c>
      <c r="C437" s="7" t="s">
        <v>21</v>
      </c>
      <c r="D437" s="7" t="s">
        <v>968</v>
      </c>
      <c r="E437" s="7" t="s">
        <v>970</v>
      </c>
      <c r="F437" s="7" t="s">
        <v>568</v>
      </c>
      <c r="G437" s="5" t="s">
        <v>15</v>
      </c>
      <c r="H437" s="7"/>
      <c r="I437" s="7"/>
    </row>
    <row r="438" customFormat="false" ht="12.75" hidden="false" customHeight="true" outlineLevel="0" collapsed="false">
      <c r="A438" s="3" t="s">
        <v>971</v>
      </c>
      <c r="B438" s="4" t="s">
        <v>972</v>
      </c>
      <c r="C438" s="4" t="s">
        <v>21</v>
      </c>
      <c r="D438" s="4" t="s">
        <v>973</v>
      </c>
      <c r="E438" s="4" t="s">
        <v>974</v>
      </c>
      <c r="F438" s="4" t="s">
        <v>568</v>
      </c>
      <c r="G438" s="5" t="s">
        <v>15</v>
      </c>
      <c r="H438" s="4"/>
      <c r="I438" s="4"/>
    </row>
    <row r="439" customFormat="false" ht="12.75" hidden="false" customHeight="true" outlineLevel="0" collapsed="false">
      <c r="A439" s="6" t="s">
        <v>971</v>
      </c>
      <c r="B439" s="7" t="s">
        <v>972</v>
      </c>
      <c r="C439" s="7" t="s">
        <v>21</v>
      </c>
      <c r="D439" s="7" t="s">
        <v>973</v>
      </c>
      <c r="E439" s="7" t="s">
        <v>975</v>
      </c>
      <c r="F439" s="7" t="s">
        <v>568</v>
      </c>
      <c r="G439" s="5" t="s">
        <v>15</v>
      </c>
      <c r="H439" s="7"/>
      <c r="I439" s="7"/>
    </row>
    <row r="440" customFormat="false" ht="12.75" hidden="false" customHeight="true" outlineLevel="0" collapsed="false">
      <c r="A440" s="3" t="s">
        <v>971</v>
      </c>
      <c r="B440" s="4" t="s">
        <v>972</v>
      </c>
      <c r="C440" s="4" t="s">
        <v>21</v>
      </c>
      <c r="D440" s="4" t="s">
        <v>973</v>
      </c>
      <c r="E440" s="4" t="s">
        <v>976</v>
      </c>
      <c r="F440" s="4" t="s">
        <v>568</v>
      </c>
      <c r="G440" s="5" t="s">
        <v>15</v>
      </c>
      <c r="H440" s="4"/>
      <c r="I440" s="4"/>
    </row>
    <row r="441" customFormat="false" ht="12.75" hidden="false" customHeight="true" outlineLevel="0" collapsed="false">
      <c r="A441" s="6" t="s">
        <v>977</v>
      </c>
      <c r="B441" s="7" t="s">
        <v>978</v>
      </c>
      <c r="C441" s="7" t="s">
        <v>21</v>
      </c>
      <c r="D441" s="7" t="s">
        <v>979</v>
      </c>
      <c r="E441" s="7" t="s">
        <v>980</v>
      </c>
      <c r="F441" s="7" t="s">
        <v>37</v>
      </c>
      <c r="G441" s="5" t="s">
        <v>15</v>
      </c>
      <c r="H441" s="7"/>
      <c r="I441" s="7"/>
    </row>
    <row r="442" customFormat="false" ht="12.75" hidden="false" customHeight="true" outlineLevel="0" collapsed="false">
      <c r="A442" s="3" t="s">
        <v>977</v>
      </c>
      <c r="B442" s="4" t="s">
        <v>978</v>
      </c>
      <c r="C442" s="4" t="s">
        <v>21</v>
      </c>
      <c r="D442" s="4" t="s">
        <v>979</v>
      </c>
      <c r="E442" s="4" t="s">
        <v>981</v>
      </c>
      <c r="F442" s="4" t="s">
        <v>568</v>
      </c>
      <c r="G442" s="5" t="s">
        <v>15</v>
      </c>
      <c r="H442" s="4"/>
      <c r="I442" s="4"/>
    </row>
    <row r="443" customFormat="false" ht="12.75" hidden="false" customHeight="true" outlineLevel="0" collapsed="false">
      <c r="A443" s="6" t="s">
        <v>977</v>
      </c>
      <c r="B443" s="7" t="s">
        <v>978</v>
      </c>
      <c r="C443" s="7" t="s">
        <v>21</v>
      </c>
      <c r="D443" s="7" t="s">
        <v>979</v>
      </c>
      <c r="E443" s="7" t="s">
        <v>982</v>
      </c>
      <c r="F443" s="7" t="s">
        <v>568</v>
      </c>
      <c r="G443" s="5" t="s">
        <v>15</v>
      </c>
      <c r="H443" s="7"/>
      <c r="I443" s="7"/>
    </row>
    <row r="444" customFormat="false" ht="12.75" hidden="false" customHeight="true" outlineLevel="0" collapsed="false">
      <c r="A444" s="3" t="s">
        <v>983</v>
      </c>
      <c r="B444" s="4" t="s">
        <v>984</v>
      </c>
      <c r="C444" s="4" t="s">
        <v>21</v>
      </c>
      <c r="D444" s="4" t="s">
        <v>985</v>
      </c>
      <c r="E444" s="4" t="s">
        <v>986</v>
      </c>
      <c r="F444" s="4" t="s">
        <v>37</v>
      </c>
      <c r="G444" s="5" t="s">
        <v>15</v>
      </c>
      <c r="H444" s="4"/>
      <c r="I444" s="4"/>
    </row>
    <row r="445" customFormat="false" ht="12.75" hidden="false" customHeight="true" outlineLevel="0" collapsed="false">
      <c r="A445" s="6" t="s">
        <v>983</v>
      </c>
      <c r="B445" s="7" t="s">
        <v>984</v>
      </c>
      <c r="C445" s="7" t="s">
        <v>21</v>
      </c>
      <c r="D445" s="7" t="s">
        <v>985</v>
      </c>
      <c r="E445" s="7" t="s">
        <v>987</v>
      </c>
      <c r="F445" s="7" t="s">
        <v>568</v>
      </c>
      <c r="G445" s="5" t="s">
        <v>15</v>
      </c>
      <c r="H445" s="7"/>
      <c r="I445" s="7"/>
    </row>
    <row r="446" customFormat="false" ht="12.75" hidden="false" customHeight="true" outlineLevel="0" collapsed="false">
      <c r="A446" s="3" t="s">
        <v>988</v>
      </c>
      <c r="B446" s="4" t="s">
        <v>989</v>
      </c>
      <c r="C446" s="4" t="s">
        <v>21</v>
      </c>
      <c r="D446" s="4" t="s">
        <v>990</v>
      </c>
      <c r="E446" s="4" t="s">
        <v>991</v>
      </c>
      <c r="F446" s="4" t="s">
        <v>37</v>
      </c>
      <c r="G446" s="5" t="s">
        <v>15</v>
      </c>
      <c r="H446" s="4"/>
      <c r="I446" s="4"/>
    </row>
    <row r="447" customFormat="false" ht="12.75" hidden="false" customHeight="true" outlineLevel="0" collapsed="false">
      <c r="A447" s="6" t="s">
        <v>988</v>
      </c>
      <c r="B447" s="7" t="s">
        <v>989</v>
      </c>
      <c r="C447" s="7" t="s">
        <v>21</v>
      </c>
      <c r="D447" s="7" t="s">
        <v>990</v>
      </c>
      <c r="E447" s="7" t="s">
        <v>992</v>
      </c>
      <c r="F447" s="7" t="s">
        <v>568</v>
      </c>
      <c r="G447" s="5" t="s">
        <v>15</v>
      </c>
      <c r="H447" s="7"/>
      <c r="I447" s="7"/>
    </row>
    <row r="448" customFormat="false" ht="12.75" hidden="false" customHeight="true" outlineLevel="0" collapsed="false">
      <c r="A448" s="3" t="s">
        <v>988</v>
      </c>
      <c r="B448" s="4" t="s">
        <v>989</v>
      </c>
      <c r="C448" s="4" t="s">
        <v>21</v>
      </c>
      <c r="D448" s="4" t="s">
        <v>990</v>
      </c>
      <c r="E448" s="4" t="s">
        <v>993</v>
      </c>
      <c r="F448" s="4" t="s">
        <v>568</v>
      </c>
      <c r="G448" s="5" t="s">
        <v>15</v>
      </c>
      <c r="H448" s="4"/>
      <c r="I448" s="4"/>
    </row>
    <row r="449" customFormat="false" ht="12.75" hidden="false" customHeight="true" outlineLevel="0" collapsed="false">
      <c r="A449" s="6" t="s">
        <v>994</v>
      </c>
      <c r="B449" s="7" t="s">
        <v>995</v>
      </c>
      <c r="C449" s="7" t="s">
        <v>21</v>
      </c>
      <c r="D449" s="7" t="s">
        <v>996</v>
      </c>
      <c r="E449" s="7" t="s">
        <v>997</v>
      </c>
      <c r="F449" s="7" t="s">
        <v>27</v>
      </c>
      <c r="G449" s="5" t="s">
        <v>15</v>
      </c>
      <c r="H449" s="7"/>
      <c r="I449" s="7"/>
    </row>
    <row r="450" customFormat="false" ht="12.75" hidden="false" customHeight="true" outlineLevel="0" collapsed="false">
      <c r="A450" s="3" t="s">
        <v>998</v>
      </c>
      <c r="B450" s="4" t="s">
        <v>999</v>
      </c>
      <c r="C450" s="4" t="s">
        <v>21</v>
      </c>
      <c r="D450" s="4" t="s">
        <v>1000</v>
      </c>
      <c r="E450" s="4" t="s">
        <v>1001</v>
      </c>
      <c r="F450" s="4" t="s">
        <v>568</v>
      </c>
      <c r="G450" s="5" t="s">
        <v>15</v>
      </c>
      <c r="H450" s="4"/>
      <c r="I450" s="4"/>
    </row>
    <row r="451" customFormat="false" ht="12.75" hidden="false" customHeight="true" outlineLevel="0" collapsed="false">
      <c r="A451" s="6" t="s">
        <v>1002</v>
      </c>
      <c r="B451" s="7" t="s">
        <v>1003</v>
      </c>
      <c r="C451" s="7" t="s">
        <v>21</v>
      </c>
      <c r="D451" s="7" t="s">
        <v>1004</v>
      </c>
      <c r="E451" s="7" t="s">
        <v>1005</v>
      </c>
      <c r="F451" s="7" t="s">
        <v>37</v>
      </c>
      <c r="G451" s="5" t="s">
        <v>15</v>
      </c>
      <c r="H451" s="7"/>
      <c r="I451" s="7"/>
    </row>
    <row r="452" customFormat="false" ht="12.75" hidden="false" customHeight="true" outlineLevel="0" collapsed="false">
      <c r="A452" s="3" t="s">
        <v>1002</v>
      </c>
      <c r="B452" s="4" t="s">
        <v>1003</v>
      </c>
      <c r="C452" s="4" t="s">
        <v>21</v>
      </c>
      <c r="D452" s="4" t="s">
        <v>1004</v>
      </c>
      <c r="E452" s="4" t="s">
        <v>1006</v>
      </c>
      <c r="F452" s="4" t="s">
        <v>568</v>
      </c>
      <c r="G452" s="5" t="s">
        <v>15</v>
      </c>
      <c r="H452" s="4"/>
      <c r="I452" s="4"/>
    </row>
    <row r="453" customFormat="false" ht="12.75" hidden="false" customHeight="true" outlineLevel="0" collapsed="false">
      <c r="A453" s="6" t="s">
        <v>1002</v>
      </c>
      <c r="B453" s="7" t="s">
        <v>1003</v>
      </c>
      <c r="C453" s="7" t="s">
        <v>21</v>
      </c>
      <c r="D453" s="7" t="s">
        <v>1004</v>
      </c>
      <c r="E453" s="7" t="s">
        <v>1007</v>
      </c>
      <c r="F453" s="7" t="s">
        <v>568</v>
      </c>
      <c r="G453" s="5" t="s">
        <v>15</v>
      </c>
      <c r="H453" s="7"/>
      <c r="I453" s="7"/>
    </row>
    <row r="454" customFormat="false" ht="12.75" hidden="false" customHeight="true" outlineLevel="0" collapsed="false">
      <c r="A454" s="3" t="s">
        <v>1008</v>
      </c>
      <c r="B454" s="4" t="s">
        <v>1009</v>
      </c>
      <c r="C454" s="4" t="s">
        <v>21</v>
      </c>
      <c r="D454" s="4" t="s">
        <v>1010</v>
      </c>
      <c r="E454" s="4" t="s">
        <v>1011</v>
      </c>
      <c r="F454" s="4" t="s">
        <v>37</v>
      </c>
      <c r="G454" s="5" t="s">
        <v>15</v>
      </c>
      <c r="H454" s="4"/>
      <c r="I454" s="4"/>
    </row>
    <row r="455" customFormat="false" ht="12.75" hidden="false" customHeight="true" outlineLevel="0" collapsed="false">
      <c r="A455" s="6" t="s">
        <v>1012</v>
      </c>
      <c r="B455" s="7" t="s">
        <v>1013</v>
      </c>
      <c r="C455" s="7" t="s">
        <v>21</v>
      </c>
      <c r="D455" s="7" t="s">
        <v>1014</v>
      </c>
      <c r="E455" s="7" t="s">
        <v>1015</v>
      </c>
      <c r="F455" s="7" t="s">
        <v>568</v>
      </c>
      <c r="G455" s="5" t="s">
        <v>15</v>
      </c>
      <c r="H455" s="7"/>
      <c r="I455" s="7"/>
    </row>
    <row r="456" customFormat="false" ht="12.75" hidden="false" customHeight="true" outlineLevel="0" collapsed="false">
      <c r="A456" s="3" t="s">
        <v>1016</v>
      </c>
      <c r="B456" s="4" t="s">
        <v>1017</v>
      </c>
      <c r="C456" s="4" t="s">
        <v>21</v>
      </c>
      <c r="D456" s="4" t="s">
        <v>1018</v>
      </c>
      <c r="E456" s="4" t="s">
        <v>1019</v>
      </c>
      <c r="F456" s="4" t="s">
        <v>568</v>
      </c>
      <c r="G456" s="5" t="s">
        <v>15</v>
      </c>
      <c r="H456" s="4"/>
      <c r="I456" s="4"/>
    </row>
    <row r="457" customFormat="false" ht="12.75" hidden="false" customHeight="true" outlineLevel="0" collapsed="false">
      <c r="A457" s="6" t="s">
        <v>1020</v>
      </c>
      <c r="B457" s="7" t="s">
        <v>1021</v>
      </c>
      <c r="C457" s="7" t="s">
        <v>21</v>
      </c>
      <c r="D457" s="7" t="s">
        <v>1022</v>
      </c>
      <c r="E457" s="7" t="s">
        <v>1023</v>
      </c>
      <c r="F457" s="7" t="s">
        <v>27</v>
      </c>
      <c r="G457" s="5" t="s">
        <v>15</v>
      </c>
      <c r="H457" s="7"/>
      <c r="I457" s="7"/>
    </row>
    <row r="458" customFormat="false" ht="12.75" hidden="false" customHeight="true" outlineLevel="0" collapsed="false">
      <c r="A458" s="3" t="s">
        <v>1020</v>
      </c>
      <c r="B458" s="4" t="s">
        <v>1021</v>
      </c>
      <c r="C458" s="4" t="s">
        <v>21</v>
      </c>
      <c r="D458" s="4" t="s">
        <v>1022</v>
      </c>
      <c r="E458" s="4" t="s">
        <v>1024</v>
      </c>
      <c r="F458" s="4" t="s">
        <v>37</v>
      </c>
      <c r="G458" s="5" t="s">
        <v>15</v>
      </c>
      <c r="H458" s="4"/>
      <c r="I458" s="4"/>
    </row>
    <row r="459" customFormat="false" ht="12.75" hidden="false" customHeight="true" outlineLevel="0" collapsed="false">
      <c r="A459" s="6" t="s">
        <v>1025</v>
      </c>
      <c r="B459" s="7" t="s">
        <v>1026</v>
      </c>
      <c r="C459" s="7" t="s">
        <v>21</v>
      </c>
      <c r="D459" s="7" t="s">
        <v>1027</v>
      </c>
      <c r="E459" s="7" t="s">
        <v>1028</v>
      </c>
      <c r="F459" s="7" t="s">
        <v>568</v>
      </c>
      <c r="G459" s="5" t="s">
        <v>15</v>
      </c>
      <c r="H459" s="7"/>
      <c r="I459" s="7"/>
    </row>
    <row r="460" customFormat="false" ht="12.75" hidden="false" customHeight="true" outlineLevel="0" collapsed="false">
      <c r="A460" s="3" t="s">
        <v>1025</v>
      </c>
      <c r="B460" s="4" t="s">
        <v>1026</v>
      </c>
      <c r="C460" s="4" t="s">
        <v>21</v>
      </c>
      <c r="D460" s="4" t="s">
        <v>1027</v>
      </c>
      <c r="E460" s="4" t="s">
        <v>1029</v>
      </c>
      <c r="F460" s="4" t="s">
        <v>37</v>
      </c>
      <c r="G460" s="5" t="s">
        <v>15</v>
      </c>
      <c r="H460" s="4"/>
      <c r="I460" s="4"/>
    </row>
    <row r="461" customFormat="false" ht="12.75" hidden="false" customHeight="true" outlineLevel="0" collapsed="false">
      <c r="A461" s="6" t="s">
        <v>1025</v>
      </c>
      <c r="B461" s="7" t="s">
        <v>1026</v>
      </c>
      <c r="C461" s="7" t="s">
        <v>21</v>
      </c>
      <c r="D461" s="7" t="s">
        <v>1027</v>
      </c>
      <c r="E461" s="7" t="s">
        <v>1030</v>
      </c>
      <c r="F461" s="7" t="s">
        <v>37</v>
      </c>
      <c r="G461" s="5" t="s">
        <v>15</v>
      </c>
      <c r="H461" s="7"/>
      <c r="I461" s="7"/>
    </row>
    <row r="462" customFormat="false" ht="12.75" hidden="false" customHeight="true" outlineLevel="0" collapsed="false">
      <c r="A462" s="3" t="s">
        <v>1025</v>
      </c>
      <c r="B462" s="4" t="s">
        <v>1026</v>
      </c>
      <c r="C462" s="4" t="s">
        <v>21</v>
      </c>
      <c r="D462" s="4" t="s">
        <v>1027</v>
      </c>
      <c r="E462" s="4" t="s">
        <v>1031</v>
      </c>
      <c r="F462" s="4" t="s">
        <v>37</v>
      </c>
      <c r="G462" s="5" t="s">
        <v>15</v>
      </c>
      <c r="H462" s="4"/>
      <c r="I462" s="4"/>
    </row>
    <row r="463" customFormat="false" ht="12.75" hidden="false" customHeight="true" outlineLevel="0" collapsed="false">
      <c r="A463" s="6" t="s">
        <v>1025</v>
      </c>
      <c r="B463" s="7" t="s">
        <v>1026</v>
      </c>
      <c r="C463" s="7" t="s">
        <v>21</v>
      </c>
      <c r="D463" s="7" t="s">
        <v>1027</v>
      </c>
      <c r="E463" s="7" t="s">
        <v>1032</v>
      </c>
      <c r="F463" s="7" t="s">
        <v>568</v>
      </c>
      <c r="G463" s="5" t="s">
        <v>15</v>
      </c>
      <c r="H463" s="7"/>
      <c r="I463" s="7"/>
    </row>
    <row r="464" customFormat="false" ht="12.75" hidden="false" customHeight="true" outlineLevel="0" collapsed="false">
      <c r="A464" s="3" t="s">
        <v>1025</v>
      </c>
      <c r="B464" s="4" t="s">
        <v>1026</v>
      </c>
      <c r="C464" s="4" t="s">
        <v>21</v>
      </c>
      <c r="D464" s="4" t="s">
        <v>1027</v>
      </c>
      <c r="E464" s="4" t="s">
        <v>1033</v>
      </c>
      <c r="F464" s="4" t="s">
        <v>568</v>
      </c>
      <c r="G464" s="5" t="s">
        <v>15</v>
      </c>
      <c r="H464" s="4"/>
      <c r="I464" s="4"/>
    </row>
    <row r="465" customFormat="false" ht="12.75" hidden="false" customHeight="true" outlineLevel="0" collapsed="false">
      <c r="A465" s="6" t="s">
        <v>1025</v>
      </c>
      <c r="B465" s="7" t="s">
        <v>1026</v>
      </c>
      <c r="C465" s="7" t="s">
        <v>21</v>
      </c>
      <c r="D465" s="7" t="s">
        <v>1027</v>
      </c>
      <c r="E465" s="7" t="s">
        <v>1034</v>
      </c>
      <c r="F465" s="7" t="s">
        <v>568</v>
      </c>
      <c r="G465" s="5" t="s">
        <v>15</v>
      </c>
      <c r="H465" s="7"/>
      <c r="I465" s="7"/>
    </row>
    <row r="466" customFormat="false" ht="12.75" hidden="false" customHeight="true" outlineLevel="0" collapsed="false">
      <c r="A466" s="3" t="s">
        <v>1035</v>
      </c>
      <c r="B466" s="4" t="s">
        <v>317</v>
      </c>
      <c r="C466" s="4" t="s">
        <v>21</v>
      </c>
      <c r="D466" s="4" t="s">
        <v>1036</v>
      </c>
      <c r="E466" s="4" t="s">
        <v>1037</v>
      </c>
      <c r="F466" s="4" t="s">
        <v>27</v>
      </c>
      <c r="G466" s="5" t="s">
        <v>15</v>
      </c>
      <c r="H466" s="4"/>
      <c r="I466" s="4"/>
    </row>
    <row r="467" customFormat="false" ht="12.75" hidden="false" customHeight="true" outlineLevel="0" collapsed="false">
      <c r="A467" s="6" t="s">
        <v>1038</v>
      </c>
      <c r="B467" s="7" t="s">
        <v>77</v>
      </c>
      <c r="C467" s="7" t="s">
        <v>21</v>
      </c>
      <c r="D467" s="7" t="s">
        <v>1039</v>
      </c>
      <c r="E467" s="7" t="s">
        <v>1040</v>
      </c>
      <c r="F467" s="7" t="s">
        <v>568</v>
      </c>
      <c r="G467" s="5" t="s">
        <v>15</v>
      </c>
      <c r="H467" s="7"/>
      <c r="I467" s="7"/>
    </row>
    <row r="468" customFormat="false" ht="12.75" hidden="false" customHeight="true" outlineLevel="0" collapsed="false">
      <c r="A468" s="3" t="s">
        <v>1041</v>
      </c>
      <c r="B468" s="4" t="s">
        <v>1042</v>
      </c>
      <c r="C468" s="4" t="s">
        <v>21</v>
      </c>
      <c r="D468" s="4" t="s">
        <v>1043</v>
      </c>
      <c r="E468" s="4" t="s">
        <v>1044</v>
      </c>
      <c r="F468" s="4" t="s">
        <v>100</v>
      </c>
      <c r="G468" s="5" t="s">
        <v>15</v>
      </c>
      <c r="H468" s="4"/>
      <c r="I468" s="4"/>
    </row>
    <row r="469" customFormat="false" ht="12.75" hidden="false" customHeight="true" outlineLevel="0" collapsed="false">
      <c r="A469" s="6" t="s">
        <v>1041</v>
      </c>
      <c r="B469" s="7" t="s">
        <v>1042</v>
      </c>
      <c r="C469" s="7" t="s">
        <v>21</v>
      </c>
      <c r="D469" s="7" t="s">
        <v>1043</v>
      </c>
      <c r="E469" s="7" t="s">
        <v>1045</v>
      </c>
      <c r="F469" s="7" t="s">
        <v>100</v>
      </c>
      <c r="G469" s="5" t="s">
        <v>15</v>
      </c>
      <c r="H469" s="7"/>
      <c r="I469" s="7"/>
    </row>
    <row r="470" customFormat="false" ht="12.75" hidden="false" customHeight="true" outlineLevel="0" collapsed="false">
      <c r="A470" s="3" t="s">
        <v>1041</v>
      </c>
      <c r="B470" s="4" t="s">
        <v>1042</v>
      </c>
      <c r="C470" s="4" t="s">
        <v>21</v>
      </c>
      <c r="D470" s="4" t="s">
        <v>1043</v>
      </c>
      <c r="E470" s="4" t="s">
        <v>1046</v>
      </c>
      <c r="F470" s="4" t="s">
        <v>215</v>
      </c>
      <c r="G470" s="5" t="s">
        <v>15</v>
      </c>
      <c r="H470" s="4"/>
      <c r="I470" s="4"/>
    </row>
    <row r="471" customFormat="false" ht="12.75" hidden="false" customHeight="true" outlineLevel="0" collapsed="false">
      <c r="A471" s="6" t="s">
        <v>1041</v>
      </c>
      <c r="B471" s="7" t="s">
        <v>1042</v>
      </c>
      <c r="C471" s="7" t="s">
        <v>21</v>
      </c>
      <c r="D471" s="7" t="s">
        <v>1043</v>
      </c>
      <c r="E471" s="7" t="s">
        <v>1047</v>
      </c>
      <c r="F471" s="7" t="s">
        <v>270</v>
      </c>
      <c r="G471" s="5" t="s">
        <v>15</v>
      </c>
      <c r="H471" s="7"/>
      <c r="I471" s="7"/>
    </row>
    <row r="472" customFormat="false" ht="12.75" hidden="false" customHeight="true" outlineLevel="0" collapsed="false">
      <c r="A472" s="3" t="s">
        <v>1041</v>
      </c>
      <c r="B472" s="4" t="s">
        <v>1042</v>
      </c>
      <c r="C472" s="4" t="s">
        <v>21</v>
      </c>
      <c r="D472" s="4" t="s">
        <v>1043</v>
      </c>
      <c r="E472" s="4" t="s">
        <v>1048</v>
      </c>
      <c r="F472" s="4" t="s">
        <v>270</v>
      </c>
      <c r="G472" s="5" t="s">
        <v>15</v>
      </c>
      <c r="H472" s="4"/>
      <c r="I472" s="4"/>
    </row>
    <row r="473" customFormat="false" ht="12.75" hidden="false" customHeight="true" outlineLevel="0" collapsed="false">
      <c r="A473" s="6" t="s">
        <v>1049</v>
      </c>
      <c r="B473" s="7" t="s">
        <v>1050</v>
      </c>
      <c r="C473" s="7" t="s">
        <v>21</v>
      </c>
      <c r="D473" s="7" t="s">
        <v>1051</v>
      </c>
      <c r="E473" s="7" t="s">
        <v>1052</v>
      </c>
      <c r="F473" s="7" t="s">
        <v>568</v>
      </c>
      <c r="G473" s="5" t="s">
        <v>15</v>
      </c>
      <c r="H473" s="7"/>
      <c r="I473" s="7"/>
    </row>
    <row r="474" customFormat="false" ht="12.75" hidden="false" customHeight="true" outlineLevel="0" collapsed="false">
      <c r="A474" s="3" t="s">
        <v>1053</v>
      </c>
      <c r="B474" s="4" t="s">
        <v>1054</v>
      </c>
      <c r="C474" s="4" t="s">
        <v>21</v>
      </c>
      <c r="D474" s="4" t="s">
        <v>1055</v>
      </c>
      <c r="E474" s="4" t="s">
        <v>1056</v>
      </c>
      <c r="F474" s="4" t="s">
        <v>37</v>
      </c>
      <c r="G474" s="5" t="s">
        <v>15</v>
      </c>
      <c r="H474" s="4"/>
      <c r="I474" s="4"/>
    </row>
    <row r="475" customFormat="false" ht="12.75" hidden="false" customHeight="true" outlineLevel="0" collapsed="false">
      <c r="A475" s="6" t="s">
        <v>1053</v>
      </c>
      <c r="B475" s="7" t="s">
        <v>1054</v>
      </c>
      <c r="C475" s="7" t="s">
        <v>21</v>
      </c>
      <c r="D475" s="7" t="s">
        <v>1055</v>
      </c>
      <c r="E475" s="7" t="s">
        <v>1057</v>
      </c>
      <c r="F475" s="7" t="s">
        <v>568</v>
      </c>
      <c r="G475" s="5" t="s">
        <v>15</v>
      </c>
      <c r="H475" s="7"/>
      <c r="I475" s="7"/>
    </row>
    <row r="476" customFormat="false" ht="12.75" hidden="false" customHeight="true" outlineLevel="0" collapsed="false">
      <c r="A476" s="3" t="s">
        <v>1053</v>
      </c>
      <c r="B476" s="4" t="s">
        <v>1054</v>
      </c>
      <c r="C476" s="4" t="s">
        <v>21</v>
      </c>
      <c r="D476" s="4" t="s">
        <v>1055</v>
      </c>
      <c r="E476" s="4" t="s">
        <v>1058</v>
      </c>
      <c r="F476" s="4" t="s">
        <v>568</v>
      </c>
      <c r="G476" s="5" t="s">
        <v>15</v>
      </c>
      <c r="H476" s="4"/>
      <c r="I476" s="4"/>
    </row>
    <row r="477" customFormat="false" ht="12.75" hidden="false" customHeight="true" outlineLevel="0" collapsed="false">
      <c r="A477" s="6" t="s">
        <v>1059</v>
      </c>
      <c r="B477" s="7" t="s">
        <v>1060</v>
      </c>
      <c r="C477" s="7" t="s">
        <v>21</v>
      </c>
      <c r="D477" s="7" t="s">
        <v>1061</v>
      </c>
      <c r="E477" s="7" t="s">
        <v>1062</v>
      </c>
      <c r="F477" s="7" t="s">
        <v>27</v>
      </c>
      <c r="G477" s="5" t="s">
        <v>15</v>
      </c>
      <c r="H477" s="7"/>
      <c r="I477" s="7"/>
    </row>
    <row r="478" customFormat="false" ht="12.75" hidden="false" customHeight="true" outlineLevel="0" collapsed="false">
      <c r="A478" s="3" t="s">
        <v>1059</v>
      </c>
      <c r="B478" s="4" t="s">
        <v>1060</v>
      </c>
      <c r="C478" s="4" t="s">
        <v>21</v>
      </c>
      <c r="D478" s="4" t="s">
        <v>1061</v>
      </c>
      <c r="E478" s="4" t="s">
        <v>1063</v>
      </c>
      <c r="F478" s="4" t="s">
        <v>37</v>
      </c>
      <c r="G478" s="5" t="s">
        <v>15</v>
      </c>
      <c r="H478" s="4"/>
      <c r="I478" s="4"/>
    </row>
    <row r="479" customFormat="false" ht="12.75" hidden="false" customHeight="true" outlineLevel="0" collapsed="false">
      <c r="A479" s="6" t="s">
        <v>1059</v>
      </c>
      <c r="B479" s="7" t="s">
        <v>1060</v>
      </c>
      <c r="C479" s="7" t="s">
        <v>21</v>
      </c>
      <c r="D479" s="7" t="s">
        <v>1061</v>
      </c>
      <c r="E479" s="7" t="s">
        <v>1064</v>
      </c>
      <c r="F479" s="7" t="s">
        <v>37</v>
      </c>
      <c r="G479" s="5" t="s">
        <v>15</v>
      </c>
      <c r="H479" s="7"/>
      <c r="I479" s="7"/>
    </row>
    <row r="480" customFormat="false" ht="12.75" hidden="false" customHeight="true" outlineLevel="0" collapsed="false">
      <c r="A480" s="3" t="s">
        <v>1059</v>
      </c>
      <c r="B480" s="4" t="s">
        <v>1060</v>
      </c>
      <c r="C480" s="4" t="s">
        <v>21</v>
      </c>
      <c r="D480" s="4" t="s">
        <v>1061</v>
      </c>
      <c r="E480" s="4" t="s">
        <v>1065</v>
      </c>
      <c r="F480" s="4" t="s">
        <v>37</v>
      </c>
      <c r="G480" s="5" t="s">
        <v>15</v>
      </c>
      <c r="H480" s="4"/>
      <c r="I480" s="4"/>
    </row>
    <row r="481" customFormat="false" ht="12.75" hidden="false" customHeight="true" outlineLevel="0" collapsed="false">
      <c r="A481" s="6" t="s">
        <v>1059</v>
      </c>
      <c r="B481" s="7" t="s">
        <v>1060</v>
      </c>
      <c r="C481" s="7" t="s">
        <v>21</v>
      </c>
      <c r="D481" s="7" t="s">
        <v>1061</v>
      </c>
      <c r="E481" s="7" t="s">
        <v>1066</v>
      </c>
      <c r="F481" s="7" t="s">
        <v>568</v>
      </c>
      <c r="G481" s="5" t="s">
        <v>15</v>
      </c>
      <c r="H481" s="7"/>
      <c r="I481" s="7"/>
    </row>
    <row r="482" customFormat="false" ht="12.75" hidden="false" customHeight="true" outlineLevel="0" collapsed="false">
      <c r="A482" s="3" t="s">
        <v>1059</v>
      </c>
      <c r="B482" s="4" t="s">
        <v>1060</v>
      </c>
      <c r="C482" s="4" t="s">
        <v>21</v>
      </c>
      <c r="D482" s="4" t="s">
        <v>1061</v>
      </c>
      <c r="E482" s="4" t="s">
        <v>1067</v>
      </c>
      <c r="F482" s="4" t="s">
        <v>568</v>
      </c>
      <c r="G482" s="5" t="s">
        <v>15</v>
      </c>
      <c r="H482" s="4"/>
      <c r="I482" s="4"/>
    </row>
    <row r="483" customFormat="false" ht="12.75" hidden="false" customHeight="true" outlineLevel="0" collapsed="false">
      <c r="A483" s="6" t="s">
        <v>1059</v>
      </c>
      <c r="B483" s="7" t="s">
        <v>1060</v>
      </c>
      <c r="C483" s="7" t="s">
        <v>21</v>
      </c>
      <c r="D483" s="7" t="s">
        <v>1061</v>
      </c>
      <c r="E483" s="7" t="s">
        <v>1068</v>
      </c>
      <c r="F483" s="7" t="s">
        <v>568</v>
      </c>
      <c r="G483" s="5" t="s">
        <v>15</v>
      </c>
      <c r="H483" s="7"/>
      <c r="I483" s="7"/>
    </row>
    <row r="484" customFormat="false" ht="12.75" hidden="false" customHeight="true" outlineLevel="0" collapsed="false">
      <c r="A484" s="3" t="s">
        <v>1069</v>
      </c>
      <c r="B484" s="4" t="s">
        <v>1070</v>
      </c>
      <c r="C484" s="4" t="s">
        <v>21</v>
      </c>
      <c r="D484" s="4" t="s">
        <v>1071</v>
      </c>
      <c r="E484" s="4" t="s">
        <v>1072</v>
      </c>
      <c r="F484" s="4" t="s">
        <v>568</v>
      </c>
      <c r="G484" s="5" t="s">
        <v>15</v>
      </c>
      <c r="H484" s="4"/>
      <c r="I484" s="4"/>
    </row>
    <row r="485" customFormat="false" ht="12.75" hidden="false" customHeight="true" outlineLevel="0" collapsed="false">
      <c r="A485" s="6" t="s">
        <v>1069</v>
      </c>
      <c r="B485" s="7" t="s">
        <v>1070</v>
      </c>
      <c r="C485" s="7" t="s">
        <v>21</v>
      </c>
      <c r="D485" s="7" t="s">
        <v>1071</v>
      </c>
      <c r="E485" s="7" t="s">
        <v>1073</v>
      </c>
      <c r="F485" s="7" t="s">
        <v>568</v>
      </c>
      <c r="G485" s="5" t="s">
        <v>15</v>
      </c>
      <c r="H485" s="7"/>
      <c r="I485" s="7"/>
    </row>
    <row r="486" customFormat="false" ht="12.75" hidden="false" customHeight="true" outlineLevel="0" collapsed="false">
      <c r="A486" s="3" t="s">
        <v>1069</v>
      </c>
      <c r="B486" s="4" t="s">
        <v>1070</v>
      </c>
      <c r="C486" s="4" t="s">
        <v>21</v>
      </c>
      <c r="D486" s="4" t="s">
        <v>1071</v>
      </c>
      <c r="E486" s="4" t="s">
        <v>1074</v>
      </c>
      <c r="F486" s="4" t="s">
        <v>568</v>
      </c>
      <c r="G486" s="5" t="s">
        <v>15</v>
      </c>
      <c r="H486" s="4"/>
      <c r="I486" s="4"/>
    </row>
    <row r="487" customFormat="false" ht="12.75" hidden="false" customHeight="true" outlineLevel="0" collapsed="false">
      <c r="A487" s="6" t="s">
        <v>1069</v>
      </c>
      <c r="B487" s="7" t="s">
        <v>1070</v>
      </c>
      <c r="C487" s="7" t="s">
        <v>21</v>
      </c>
      <c r="D487" s="7" t="s">
        <v>1071</v>
      </c>
      <c r="E487" s="7" t="s">
        <v>1075</v>
      </c>
      <c r="F487" s="7" t="s">
        <v>568</v>
      </c>
      <c r="G487" s="5" t="s">
        <v>15</v>
      </c>
      <c r="H487" s="7"/>
      <c r="I487" s="7"/>
    </row>
    <row r="488" customFormat="false" ht="12.75" hidden="false" customHeight="true" outlineLevel="0" collapsed="false">
      <c r="A488" s="3" t="s">
        <v>1069</v>
      </c>
      <c r="B488" s="4" t="s">
        <v>1070</v>
      </c>
      <c r="C488" s="4" t="s">
        <v>21</v>
      </c>
      <c r="D488" s="4" t="s">
        <v>1071</v>
      </c>
      <c r="E488" s="4" t="s">
        <v>1076</v>
      </c>
      <c r="F488" s="4" t="s">
        <v>568</v>
      </c>
      <c r="G488" s="5" t="s">
        <v>15</v>
      </c>
      <c r="H488" s="4"/>
      <c r="I488" s="4"/>
    </row>
    <row r="489" customFormat="false" ht="12.75" hidden="false" customHeight="true" outlineLevel="0" collapsed="false">
      <c r="A489" s="6" t="s">
        <v>1069</v>
      </c>
      <c r="B489" s="7" t="s">
        <v>1070</v>
      </c>
      <c r="C489" s="7" t="s">
        <v>21</v>
      </c>
      <c r="D489" s="7" t="s">
        <v>1071</v>
      </c>
      <c r="E489" s="7" t="s">
        <v>1077</v>
      </c>
      <c r="F489" s="7" t="s">
        <v>568</v>
      </c>
      <c r="G489" s="5" t="s">
        <v>15</v>
      </c>
      <c r="H489" s="7"/>
      <c r="I489" s="7"/>
    </row>
    <row r="490" customFormat="false" ht="12.75" hidden="false" customHeight="true" outlineLevel="0" collapsed="false">
      <c r="A490" s="3" t="s">
        <v>1069</v>
      </c>
      <c r="B490" s="4" t="s">
        <v>1070</v>
      </c>
      <c r="C490" s="4" t="s">
        <v>21</v>
      </c>
      <c r="D490" s="4" t="s">
        <v>1071</v>
      </c>
      <c r="E490" s="4" t="s">
        <v>1078</v>
      </c>
      <c r="F490" s="4" t="s">
        <v>568</v>
      </c>
      <c r="G490" s="5" t="s">
        <v>15</v>
      </c>
      <c r="H490" s="4"/>
      <c r="I490" s="4"/>
    </row>
    <row r="491" customFormat="false" ht="12.75" hidden="false" customHeight="true" outlineLevel="0" collapsed="false">
      <c r="A491" s="6" t="s">
        <v>1079</v>
      </c>
      <c r="B491" s="7" t="s">
        <v>585</v>
      </c>
      <c r="C491" s="7" t="s">
        <v>21</v>
      </c>
      <c r="D491" s="7" t="s">
        <v>1080</v>
      </c>
      <c r="E491" s="7" t="s">
        <v>1081</v>
      </c>
      <c r="F491" s="7" t="s">
        <v>270</v>
      </c>
      <c r="G491" s="5" t="s">
        <v>15</v>
      </c>
      <c r="H491" s="7"/>
      <c r="I491" s="7"/>
    </row>
    <row r="492" customFormat="false" ht="12.75" hidden="false" customHeight="true" outlineLevel="0" collapsed="false">
      <c r="A492" s="3" t="s">
        <v>1079</v>
      </c>
      <c r="B492" s="4" t="s">
        <v>585</v>
      </c>
      <c r="C492" s="4" t="s">
        <v>21</v>
      </c>
      <c r="D492" s="4" t="s">
        <v>1080</v>
      </c>
      <c r="E492" s="4" t="s">
        <v>1082</v>
      </c>
      <c r="F492" s="4" t="s">
        <v>27</v>
      </c>
      <c r="G492" s="5" t="s">
        <v>15</v>
      </c>
      <c r="H492" s="4"/>
      <c r="I492" s="4"/>
    </row>
    <row r="493" customFormat="false" ht="12.75" hidden="false" customHeight="true" outlineLevel="0" collapsed="false">
      <c r="A493" s="6" t="s">
        <v>1079</v>
      </c>
      <c r="B493" s="7" t="s">
        <v>585</v>
      </c>
      <c r="C493" s="7" t="s">
        <v>21</v>
      </c>
      <c r="D493" s="7" t="s">
        <v>1080</v>
      </c>
      <c r="E493" s="7" t="s">
        <v>1083</v>
      </c>
      <c r="F493" s="7" t="s">
        <v>27</v>
      </c>
      <c r="G493" s="5" t="s">
        <v>15</v>
      </c>
      <c r="H493" s="7"/>
      <c r="I493" s="7"/>
    </row>
    <row r="494" customFormat="false" ht="12.75" hidden="false" customHeight="true" outlineLevel="0" collapsed="false">
      <c r="A494" s="3" t="s">
        <v>1079</v>
      </c>
      <c r="B494" s="4" t="s">
        <v>585</v>
      </c>
      <c r="C494" s="4" t="s">
        <v>21</v>
      </c>
      <c r="D494" s="4" t="s">
        <v>1080</v>
      </c>
      <c r="E494" s="4" t="s">
        <v>1084</v>
      </c>
      <c r="F494" s="4" t="s">
        <v>27</v>
      </c>
      <c r="G494" s="5" t="s">
        <v>15</v>
      </c>
      <c r="H494" s="4"/>
      <c r="I494" s="4"/>
    </row>
    <row r="495" customFormat="false" ht="12.75" hidden="false" customHeight="true" outlineLevel="0" collapsed="false">
      <c r="A495" s="6" t="s">
        <v>1079</v>
      </c>
      <c r="B495" s="7" t="s">
        <v>585</v>
      </c>
      <c r="C495" s="7" t="s">
        <v>21</v>
      </c>
      <c r="D495" s="7" t="s">
        <v>1080</v>
      </c>
      <c r="E495" s="7" t="s">
        <v>1085</v>
      </c>
      <c r="F495" s="7" t="s">
        <v>27</v>
      </c>
      <c r="G495" s="5" t="s">
        <v>15</v>
      </c>
      <c r="H495" s="7"/>
      <c r="I495" s="7"/>
    </row>
    <row r="496" customFormat="false" ht="12.75" hidden="false" customHeight="true" outlineLevel="0" collapsed="false">
      <c r="A496" s="3" t="s">
        <v>1086</v>
      </c>
      <c r="B496" s="4" t="s">
        <v>332</v>
      </c>
      <c r="C496" s="4" t="s">
        <v>21</v>
      </c>
      <c r="D496" s="4" t="s">
        <v>1087</v>
      </c>
      <c r="E496" s="4" t="s">
        <v>1088</v>
      </c>
      <c r="F496" s="4" t="s">
        <v>568</v>
      </c>
      <c r="G496" s="5" t="s">
        <v>15</v>
      </c>
      <c r="H496" s="4"/>
      <c r="I496" s="4"/>
    </row>
    <row r="497" customFormat="false" ht="12.75" hidden="false" customHeight="true" outlineLevel="0" collapsed="false">
      <c r="A497" s="6" t="s">
        <v>1086</v>
      </c>
      <c r="B497" s="7" t="s">
        <v>332</v>
      </c>
      <c r="C497" s="7" t="s">
        <v>21</v>
      </c>
      <c r="D497" s="7" t="s">
        <v>1087</v>
      </c>
      <c r="E497" s="7" t="s">
        <v>1089</v>
      </c>
      <c r="F497" s="7" t="s">
        <v>37</v>
      </c>
      <c r="G497" s="5" t="s">
        <v>15</v>
      </c>
      <c r="H497" s="7"/>
      <c r="I497" s="7"/>
    </row>
    <row r="498" customFormat="false" ht="12.75" hidden="false" customHeight="true" outlineLevel="0" collapsed="false">
      <c r="A498" s="3" t="s">
        <v>1086</v>
      </c>
      <c r="B498" s="4" t="s">
        <v>332</v>
      </c>
      <c r="C498" s="4" t="s">
        <v>21</v>
      </c>
      <c r="D498" s="4" t="s">
        <v>1087</v>
      </c>
      <c r="E498" s="4" t="s">
        <v>1090</v>
      </c>
      <c r="F498" s="4" t="s">
        <v>37</v>
      </c>
      <c r="G498" s="5" t="s">
        <v>15</v>
      </c>
      <c r="H498" s="4"/>
      <c r="I498" s="4"/>
    </row>
    <row r="499" customFormat="false" ht="12.75" hidden="false" customHeight="true" outlineLevel="0" collapsed="false">
      <c r="A499" s="6" t="s">
        <v>1086</v>
      </c>
      <c r="B499" s="7" t="s">
        <v>332</v>
      </c>
      <c r="C499" s="7" t="s">
        <v>21</v>
      </c>
      <c r="D499" s="7" t="s">
        <v>1087</v>
      </c>
      <c r="E499" s="7" t="s">
        <v>1091</v>
      </c>
      <c r="F499" s="7" t="s">
        <v>568</v>
      </c>
      <c r="G499" s="5" t="s">
        <v>15</v>
      </c>
      <c r="H499" s="7"/>
      <c r="I499" s="7"/>
    </row>
    <row r="500" customFormat="false" ht="12.75" hidden="false" customHeight="true" outlineLevel="0" collapsed="false">
      <c r="A500" s="3" t="s">
        <v>1086</v>
      </c>
      <c r="B500" s="4" t="s">
        <v>332</v>
      </c>
      <c r="C500" s="4" t="s">
        <v>21</v>
      </c>
      <c r="D500" s="4" t="s">
        <v>1087</v>
      </c>
      <c r="E500" s="4" t="s">
        <v>1092</v>
      </c>
      <c r="F500" s="4" t="s">
        <v>568</v>
      </c>
      <c r="G500" s="5" t="s">
        <v>15</v>
      </c>
      <c r="H500" s="4"/>
      <c r="I500" s="4"/>
    </row>
    <row r="501" customFormat="false" ht="12.75" hidden="false" customHeight="true" outlineLevel="0" collapsed="false">
      <c r="A501" s="6" t="s">
        <v>1093</v>
      </c>
      <c r="B501" s="7" t="s">
        <v>612</v>
      </c>
      <c r="C501" s="7" t="s">
        <v>21</v>
      </c>
      <c r="D501" s="7" t="s">
        <v>1094</v>
      </c>
      <c r="E501" s="7" t="s">
        <v>1095</v>
      </c>
      <c r="F501" s="7" t="s">
        <v>37</v>
      </c>
      <c r="G501" s="5" t="s">
        <v>15</v>
      </c>
      <c r="H501" s="7"/>
      <c r="I501" s="7"/>
    </row>
    <row r="502" customFormat="false" ht="12.75" hidden="false" customHeight="true" outlineLevel="0" collapsed="false">
      <c r="A502" s="3" t="s">
        <v>1093</v>
      </c>
      <c r="B502" s="4" t="s">
        <v>612</v>
      </c>
      <c r="C502" s="4" t="s">
        <v>21</v>
      </c>
      <c r="D502" s="4" t="s">
        <v>1094</v>
      </c>
      <c r="E502" s="4" t="s">
        <v>1096</v>
      </c>
      <c r="F502" s="4" t="s">
        <v>568</v>
      </c>
      <c r="G502" s="5" t="s">
        <v>15</v>
      </c>
      <c r="H502" s="4"/>
      <c r="I502" s="4"/>
    </row>
    <row r="503" customFormat="false" ht="12.75" hidden="false" customHeight="true" outlineLevel="0" collapsed="false">
      <c r="A503" s="6" t="s">
        <v>1093</v>
      </c>
      <c r="B503" s="7" t="s">
        <v>612</v>
      </c>
      <c r="C503" s="7" t="s">
        <v>21</v>
      </c>
      <c r="D503" s="7" t="s">
        <v>1094</v>
      </c>
      <c r="E503" s="7" t="s">
        <v>1097</v>
      </c>
      <c r="F503" s="7" t="s">
        <v>568</v>
      </c>
      <c r="G503" s="5" t="s">
        <v>15</v>
      </c>
      <c r="H503" s="7"/>
      <c r="I503" s="7"/>
    </row>
    <row r="504" customFormat="false" ht="12.75" hidden="false" customHeight="true" outlineLevel="0" collapsed="false">
      <c r="A504" s="3" t="s">
        <v>1093</v>
      </c>
      <c r="B504" s="4" t="s">
        <v>612</v>
      </c>
      <c r="C504" s="4" t="s">
        <v>21</v>
      </c>
      <c r="D504" s="4" t="s">
        <v>1094</v>
      </c>
      <c r="E504" s="4" t="s">
        <v>1098</v>
      </c>
      <c r="F504" s="4" t="s">
        <v>568</v>
      </c>
      <c r="G504" s="5" t="s">
        <v>15</v>
      </c>
      <c r="H504" s="4"/>
      <c r="I504" s="4"/>
    </row>
    <row r="505" customFormat="false" ht="12.75" hidden="false" customHeight="true" outlineLevel="0" collapsed="false">
      <c r="A505" s="6" t="s">
        <v>1093</v>
      </c>
      <c r="B505" s="7" t="s">
        <v>612</v>
      </c>
      <c r="C505" s="7" t="s">
        <v>21</v>
      </c>
      <c r="D505" s="7" t="s">
        <v>1094</v>
      </c>
      <c r="E505" s="7" t="s">
        <v>1099</v>
      </c>
      <c r="F505" s="7" t="s">
        <v>568</v>
      </c>
      <c r="G505" s="5" t="s">
        <v>15</v>
      </c>
      <c r="H505" s="7"/>
      <c r="I505" s="7"/>
    </row>
    <row r="506" customFormat="false" ht="12.75" hidden="false" customHeight="true" outlineLevel="0" collapsed="false">
      <c r="A506" s="3" t="s">
        <v>1100</v>
      </c>
      <c r="B506" s="4" t="s">
        <v>1101</v>
      </c>
      <c r="C506" s="4" t="s">
        <v>21</v>
      </c>
      <c r="D506" s="4" t="s">
        <v>1102</v>
      </c>
      <c r="E506" s="4" t="s">
        <v>1103</v>
      </c>
      <c r="F506" s="4" t="s">
        <v>100</v>
      </c>
      <c r="G506" s="5" t="s">
        <v>15</v>
      </c>
      <c r="H506" s="4"/>
      <c r="I506" s="4"/>
    </row>
    <row r="507" customFormat="false" ht="12.75" hidden="false" customHeight="true" outlineLevel="0" collapsed="false">
      <c r="A507" s="6" t="s">
        <v>1100</v>
      </c>
      <c r="B507" s="7" t="s">
        <v>1101</v>
      </c>
      <c r="C507" s="7" t="s">
        <v>21</v>
      </c>
      <c r="D507" s="7" t="s">
        <v>1102</v>
      </c>
      <c r="E507" s="7" t="s">
        <v>1104</v>
      </c>
      <c r="F507" s="7" t="s">
        <v>270</v>
      </c>
      <c r="G507" s="5" t="s">
        <v>15</v>
      </c>
      <c r="H507" s="7"/>
      <c r="I507" s="7"/>
    </row>
    <row r="508" customFormat="false" ht="12.75" hidden="false" customHeight="true" outlineLevel="0" collapsed="false">
      <c r="A508" s="3" t="s">
        <v>1100</v>
      </c>
      <c r="B508" s="4" t="s">
        <v>1101</v>
      </c>
      <c r="C508" s="4" t="s">
        <v>21</v>
      </c>
      <c r="D508" s="4" t="s">
        <v>1102</v>
      </c>
      <c r="E508" s="4" t="s">
        <v>1105</v>
      </c>
      <c r="F508" s="4" t="s">
        <v>27</v>
      </c>
      <c r="G508" s="5" t="s">
        <v>15</v>
      </c>
      <c r="H508" s="4"/>
      <c r="I508" s="4"/>
    </row>
    <row r="509" customFormat="false" ht="12.75" hidden="false" customHeight="true" outlineLevel="0" collapsed="false">
      <c r="A509" s="6" t="s">
        <v>1100</v>
      </c>
      <c r="B509" s="7" t="s">
        <v>1101</v>
      </c>
      <c r="C509" s="7" t="s">
        <v>21</v>
      </c>
      <c r="D509" s="7" t="s">
        <v>1102</v>
      </c>
      <c r="E509" s="7" t="s">
        <v>1106</v>
      </c>
      <c r="F509" s="7" t="s">
        <v>37</v>
      </c>
      <c r="G509" s="5" t="s">
        <v>15</v>
      </c>
      <c r="H509" s="7"/>
      <c r="I509" s="7"/>
    </row>
    <row r="510" customFormat="false" ht="12.75" hidden="false" customHeight="true" outlineLevel="0" collapsed="false">
      <c r="A510" s="3" t="s">
        <v>1100</v>
      </c>
      <c r="B510" s="4" t="s">
        <v>1101</v>
      </c>
      <c r="C510" s="4" t="s">
        <v>21</v>
      </c>
      <c r="D510" s="4" t="s">
        <v>1102</v>
      </c>
      <c r="E510" s="4" t="s">
        <v>1107</v>
      </c>
      <c r="F510" s="4" t="s">
        <v>37</v>
      </c>
      <c r="G510" s="5" t="s">
        <v>15</v>
      </c>
      <c r="H510" s="4"/>
      <c r="I510" s="4"/>
    </row>
    <row r="511" customFormat="false" ht="12.75" hidden="false" customHeight="true" outlineLevel="0" collapsed="false">
      <c r="A511" s="6" t="s">
        <v>1100</v>
      </c>
      <c r="B511" s="7" t="s">
        <v>1101</v>
      </c>
      <c r="C511" s="7" t="s">
        <v>21</v>
      </c>
      <c r="D511" s="7" t="s">
        <v>1102</v>
      </c>
      <c r="E511" s="7" t="s">
        <v>1108</v>
      </c>
      <c r="F511" s="7" t="s">
        <v>568</v>
      </c>
      <c r="G511" s="5" t="s">
        <v>15</v>
      </c>
      <c r="H511" s="7"/>
      <c r="I511" s="7"/>
    </row>
    <row r="512" customFormat="false" ht="12.75" hidden="false" customHeight="true" outlineLevel="0" collapsed="false">
      <c r="A512" s="3" t="s">
        <v>1100</v>
      </c>
      <c r="B512" s="4" t="s">
        <v>1101</v>
      </c>
      <c r="C512" s="4" t="s">
        <v>21</v>
      </c>
      <c r="D512" s="4" t="s">
        <v>1102</v>
      </c>
      <c r="E512" s="4" t="s">
        <v>1109</v>
      </c>
      <c r="F512" s="4" t="s">
        <v>568</v>
      </c>
      <c r="G512" s="5" t="s">
        <v>15</v>
      </c>
      <c r="H512" s="4"/>
      <c r="I512" s="4"/>
    </row>
    <row r="513" customFormat="false" ht="12.75" hidden="false" customHeight="true" outlineLevel="0" collapsed="false">
      <c r="A513" s="6" t="s">
        <v>1100</v>
      </c>
      <c r="B513" s="7" t="s">
        <v>1101</v>
      </c>
      <c r="C513" s="7" t="s">
        <v>21</v>
      </c>
      <c r="D513" s="7" t="s">
        <v>1102</v>
      </c>
      <c r="E513" s="7" t="s">
        <v>1110</v>
      </c>
      <c r="F513" s="7" t="s">
        <v>568</v>
      </c>
      <c r="G513" s="5" t="s">
        <v>15</v>
      </c>
      <c r="H513" s="7"/>
      <c r="I513" s="7"/>
    </row>
    <row r="514" customFormat="false" ht="12.75" hidden="false" customHeight="true" outlineLevel="0" collapsed="false">
      <c r="A514" s="3" t="s">
        <v>1111</v>
      </c>
      <c r="B514" s="4" t="s">
        <v>1112</v>
      </c>
      <c r="C514" s="4" t="s">
        <v>21</v>
      </c>
      <c r="D514" s="4" t="s">
        <v>1113</v>
      </c>
      <c r="E514" s="4" t="s">
        <v>1114</v>
      </c>
      <c r="F514" s="4" t="s">
        <v>27</v>
      </c>
      <c r="G514" s="5" t="s">
        <v>15</v>
      </c>
      <c r="H514" s="4"/>
      <c r="I514" s="4"/>
    </row>
    <row r="515" customFormat="false" ht="12.75" hidden="false" customHeight="true" outlineLevel="0" collapsed="false">
      <c r="A515" s="6" t="s">
        <v>1111</v>
      </c>
      <c r="B515" s="7" t="s">
        <v>1112</v>
      </c>
      <c r="C515" s="7" t="s">
        <v>21</v>
      </c>
      <c r="D515" s="7" t="s">
        <v>1113</v>
      </c>
      <c r="E515" s="7" t="s">
        <v>1115</v>
      </c>
      <c r="F515" s="7" t="s">
        <v>27</v>
      </c>
      <c r="G515" s="5" t="s">
        <v>15</v>
      </c>
      <c r="H515" s="7"/>
      <c r="I515" s="7"/>
    </row>
    <row r="516" customFormat="false" ht="12.75" hidden="false" customHeight="true" outlineLevel="0" collapsed="false">
      <c r="A516" s="3" t="s">
        <v>1111</v>
      </c>
      <c r="B516" s="4" t="s">
        <v>1112</v>
      </c>
      <c r="C516" s="4" t="s">
        <v>21</v>
      </c>
      <c r="D516" s="4" t="s">
        <v>1113</v>
      </c>
      <c r="E516" s="4" t="s">
        <v>1116</v>
      </c>
      <c r="F516" s="4" t="s">
        <v>27</v>
      </c>
      <c r="G516" s="5" t="s">
        <v>15</v>
      </c>
      <c r="H516" s="4"/>
      <c r="I516" s="4"/>
    </row>
    <row r="517" customFormat="false" ht="12.75" hidden="false" customHeight="true" outlineLevel="0" collapsed="false">
      <c r="A517" s="6" t="s">
        <v>1111</v>
      </c>
      <c r="B517" s="7" t="s">
        <v>1112</v>
      </c>
      <c r="C517" s="7" t="s">
        <v>21</v>
      </c>
      <c r="D517" s="7" t="s">
        <v>1113</v>
      </c>
      <c r="E517" s="7" t="s">
        <v>1117</v>
      </c>
      <c r="F517" s="7" t="s">
        <v>568</v>
      </c>
      <c r="G517" s="5" t="s">
        <v>15</v>
      </c>
      <c r="H517" s="7"/>
      <c r="I517" s="7"/>
    </row>
    <row r="518" customFormat="false" ht="12.75" hidden="false" customHeight="true" outlineLevel="0" collapsed="false">
      <c r="A518" s="3" t="s">
        <v>1118</v>
      </c>
      <c r="B518" s="4" t="s">
        <v>539</v>
      </c>
      <c r="C518" s="4" t="s">
        <v>21</v>
      </c>
      <c r="D518" s="4" t="s">
        <v>1119</v>
      </c>
      <c r="E518" s="4" t="s">
        <v>1120</v>
      </c>
      <c r="F518" s="4" t="s">
        <v>27</v>
      </c>
      <c r="G518" s="5" t="s">
        <v>15</v>
      </c>
      <c r="H518" s="4"/>
      <c r="I518" s="4"/>
    </row>
    <row r="519" customFormat="false" ht="12.75" hidden="false" customHeight="true" outlineLevel="0" collapsed="false">
      <c r="A519" s="6" t="s">
        <v>1118</v>
      </c>
      <c r="B519" s="7" t="s">
        <v>539</v>
      </c>
      <c r="C519" s="7" t="s">
        <v>21</v>
      </c>
      <c r="D519" s="7" t="s">
        <v>1119</v>
      </c>
      <c r="E519" s="7" t="s">
        <v>1121</v>
      </c>
      <c r="F519" s="7" t="s">
        <v>27</v>
      </c>
      <c r="G519" s="5" t="s">
        <v>15</v>
      </c>
      <c r="H519" s="7"/>
      <c r="I519" s="7"/>
    </row>
    <row r="520" customFormat="false" ht="12.75" hidden="false" customHeight="true" outlineLevel="0" collapsed="false">
      <c r="A520" s="3" t="s">
        <v>1118</v>
      </c>
      <c r="B520" s="4" t="s">
        <v>539</v>
      </c>
      <c r="C520" s="4" t="s">
        <v>21</v>
      </c>
      <c r="D520" s="4" t="s">
        <v>1119</v>
      </c>
      <c r="E520" s="4" t="s">
        <v>1122</v>
      </c>
      <c r="F520" s="4" t="s">
        <v>568</v>
      </c>
      <c r="G520" s="5" t="s">
        <v>15</v>
      </c>
      <c r="H520" s="4"/>
      <c r="I520" s="4"/>
    </row>
    <row r="521" customFormat="false" ht="12.75" hidden="false" customHeight="true" outlineLevel="0" collapsed="false">
      <c r="A521" s="6" t="s">
        <v>1118</v>
      </c>
      <c r="B521" s="7" t="s">
        <v>539</v>
      </c>
      <c r="C521" s="7" t="s">
        <v>21</v>
      </c>
      <c r="D521" s="7" t="s">
        <v>1119</v>
      </c>
      <c r="E521" s="7" t="s">
        <v>1123</v>
      </c>
      <c r="F521" s="7" t="s">
        <v>568</v>
      </c>
      <c r="G521" s="5" t="s">
        <v>15</v>
      </c>
      <c r="H521" s="7"/>
      <c r="I521" s="7"/>
    </row>
    <row r="522" customFormat="false" ht="12.75" hidden="false" customHeight="true" outlineLevel="0" collapsed="false">
      <c r="A522" s="3" t="s">
        <v>1124</v>
      </c>
      <c r="B522" s="4" t="s">
        <v>1125</v>
      </c>
      <c r="C522" s="4" t="s">
        <v>27</v>
      </c>
      <c r="D522" s="4" t="s">
        <v>1126</v>
      </c>
      <c r="E522" s="4" t="s">
        <v>1127</v>
      </c>
      <c r="F522" s="4" t="s">
        <v>37</v>
      </c>
      <c r="G522" s="5" t="s">
        <v>15</v>
      </c>
      <c r="H522" s="4"/>
      <c r="I522" s="4"/>
    </row>
    <row r="523" customFormat="false" ht="12.75" hidden="false" customHeight="true" outlineLevel="0" collapsed="false">
      <c r="A523" s="6" t="s">
        <v>1128</v>
      </c>
      <c r="B523" s="7" t="s">
        <v>1129</v>
      </c>
      <c r="C523" s="7" t="s">
        <v>27</v>
      </c>
      <c r="D523" s="7" t="s">
        <v>1130</v>
      </c>
      <c r="E523" s="7" t="s">
        <v>1131</v>
      </c>
      <c r="F523" s="7" t="s">
        <v>37</v>
      </c>
      <c r="G523" s="5" t="s">
        <v>15</v>
      </c>
      <c r="H523" s="7"/>
      <c r="I523" s="7"/>
    </row>
    <row r="524" customFormat="false" ht="12.75" hidden="false" customHeight="true" outlineLevel="0" collapsed="false">
      <c r="A524" s="3" t="s">
        <v>1128</v>
      </c>
      <c r="B524" s="4" t="s">
        <v>1129</v>
      </c>
      <c r="C524" s="4" t="s">
        <v>27</v>
      </c>
      <c r="D524" s="4" t="s">
        <v>1130</v>
      </c>
      <c r="E524" s="4" t="s">
        <v>1132</v>
      </c>
      <c r="F524" s="4" t="s">
        <v>568</v>
      </c>
      <c r="G524" s="5" t="s">
        <v>15</v>
      </c>
      <c r="H524" s="4"/>
      <c r="I524" s="4"/>
    </row>
    <row r="525" customFormat="false" ht="12.75" hidden="false" customHeight="true" outlineLevel="0" collapsed="false">
      <c r="A525" s="6" t="s">
        <v>1128</v>
      </c>
      <c r="B525" s="7" t="s">
        <v>1129</v>
      </c>
      <c r="C525" s="7" t="s">
        <v>27</v>
      </c>
      <c r="D525" s="7" t="s">
        <v>1130</v>
      </c>
      <c r="E525" s="7" t="s">
        <v>1133</v>
      </c>
      <c r="F525" s="7" t="s">
        <v>568</v>
      </c>
      <c r="G525" s="5" t="s">
        <v>15</v>
      </c>
      <c r="H525" s="7"/>
      <c r="I525" s="7"/>
    </row>
    <row r="526" customFormat="false" ht="12.75" hidden="false" customHeight="true" outlineLevel="0" collapsed="false">
      <c r="A526" s="3" t="s">
        <v>1134</v>
      </c>
      <c r="B526" s="4" t="s">
        <v>81</v>
      </c>
      <c r="C526" s="4" t="s">
        <v>27</v>
      </c>
      <c r="D526" s="4" t="s">
        <v>1135</v>
      </c>
      <c r="E526" s="4" t="s">
        <v>1136</v>
      </c>
      <c r="F526" s="4" t="s">
        <v>568</v>
      </c>
      <c r="G526" s="5" t="s">
        <v>15</v>
      </c>
      <c r="H526" s="4"/>
      <c r="I526" s="4"/>
    </row>
    <row r="527" customFormat="false" ht="12.75" hidden="false" customHeight="true" outlineLevel="0" collapsed="false">
      <c r="A527" s="6" t="s">
        <v>1134</v>
      </c>
      <c r="B527" s="7" t="s">
        <v>81</v>
      </c>
      <c r="C527" s="7" t="s">
        <v>27</v>
      </c>
      <c r="D527" s="7" t="s">
        <v>1135</v>
      </c>
      <c r="E527" s="7" t="s">
        <v>1137</v>
      </c>
      <c r="F527" s="7" t="s">
        <v>568</v>
      </c>
      <c r="G527" s="5" t="s">
        <v>15</v>
      </c>
      <c r="H527" s="7"/>
      <c r="I527" s="7"/>
    </row>
    <row r="528" customFormat="false" ht="12.75" hidden="false" customHeight="true" outlineLevel="0" collapsed="false">
      <c r="A528" s="3" t="s">
        <v>1134</v>
      </c>
      <c r="B528" s="4" t="s">
        <v>81</v>
      </c>
      <c r="C528" s="4" t="s">
        <v>27</v>
      </c>
      <c r="D528" s="4" t="s">
        <v>1135</v>
      </c>
      <c r="E528" s="4" t="s">
        <v>1138</v>
      </c>
      <c r="F528" s="4" t="s">
        <v>568</v>
      </c>
      <c r="G528" s="5" t="s">
        <v>15</v>
      </c>
      <c r="H528" s="4"/>
      <c r="I528" s="4"/>
    </row>
    <row r="529" customFormat="false" ht="12.75" hidden="false" customHeight="true" outlineLevel="0" collapsed="false">
      <c r="A529" s="6" t="s">
        <v>1139</v>
      </c>
      <c r="B529" s="7" t="s">
        <v>539</v>
      </c>
      <c r="C529" s="7" t="s">
        <v>27</v>
      </c>
      <c r="D529" s="7" t="s">
        <v>1140</v>
      </c>
      <c r="E529" s="7" t="s">
        <v>1141</v>
      </c>
      <c r="F529" s="7" t="s">
        <v>37</v>
      </c>
      <c r="G529" s="5" t="s">
        <v>15</v>
      </c>
      <c r="H529" s="7"/>
      <c r="I529" s="7"/>
    </row>
    <row r="530" customFormat="false" ht="12.75" hidden="false" customHeight="true" outlineLevel="0" collapsed="false">
      <c r="A530" s="3" t="s">
        <v>1139</v>
      </c>
      <c r="B530" s="4" t="s">
        <v>539</v>
      </c>
      <c r="C530" s="4" t="s">
        <v>27</v>
      </c>
      <c r="D530" s="4" t="s">
        <v>1140</v>
      </c>
      <c r="E530" s="4" t="s">
        <v>1142</v>
      </c>
      <c r="F530" s="4" t="s">
        <v>37</v>
      </c>
      <c r="G530" s="5" t="s">
        <v>15</v>
      </c>
      <c r="H530" s="4"/>
      <c r="I530" s="4"/>
    </row>
    <row r="531" customFormat="false" ht="12.75" hidden="false" customHeight="true" outlineLevel="0" collapsed="false">
      <c r="A531" s="6" t="s">
        <v>1139</v>
      </c>
      <c r="B531" s="7" t="s">
        <v>539</v>
      </c>
      <c r="C531" s="7" t="s">
        <v>27</v>
      </c>
      <c r="D531" s="7" t="s">
        <v>1140</v>
      </c>
      <c r="E531" s="7" t="s">
        <v>1143</v>
      </c>
      <c r="F531" s="7" t="s">
        <v>37</v>
      </c>
      <c r="G531" s="5" t="s">
        <v>15</v>
      </c>
      <c r="H531" s="7"/>
      <c r="I531" s="7"/>
    </row>
    <row r="532" customFormat="false" ht="12.75" hidden="false" customHeight="true" outlineLevel="0" collapsed="false">
      <c r="A532" s="3" t="s">
        <v>1144</v>
      </c>
      <c r="B532" s="4" t="s">
        <v>158</v>
      </c>
      <c r="C532" s="4" t="s">
        <v>27</v>
      </c>
      <c r="D532" s="4" t="s">
        <v>1145</v>
      </c>
      <c r="E532" s="4" t="s">
        <v>1146</v>
      </c>
      <c r="F532" s="4" t="s">
        <v>568</v>
      </c>
      <c r="G532" s="5" t="s">
        <v>15</v>
      </c>
      <c r="H532" s="4"/>
      <c r="I532" s="4"/>
    </row>
    <row r="533" customFormat="false" ht="12.75" hidden="false" customHeight="true" outlineLevel="0" collapsed="false">
      <c r="A533" s="6" t="s">
        <v>1144</v>
      </c>
      <c r="B533" s="7" t="s">
        <v>158</v>
      </c>
      <c r="C533" s="7" t="s">
        <v>27</v>
      </c>
      <c r="D533" s="7" t="s">
        <v>1145</v>
      </c>
      <c r="E533" s="7" t="s">
        <v>1147</v>
      </c>
      <c r="F533" s="7" t="s">
        <v>568</v>
      </c>
      <c r="G533" s="5" t="s">
        <v>15</v>
      </c>
      <c r="H533" s="7"/>
      <c r="I533" s="7"/>
    </row>
    <row r="534" customFormat="false" ht="12.75" hidden="false" customHeight="true" outlineLevel="0" collapsed="false">
      <c r="A534" s="3" t="s">
        <v>1144</v>
      </c>
      <c r="B534" s="4" t="s">
        <v>158</v>
      </c>
      <c r="C534" s="4" t="s">
        <v>27</v>
      </c>
      <c r="D534" s="4" t="s">
        <v>1145</v>
      </c>
      <c r="E534" s="4" t="s">
        <v>1148</v>
      </c>
      <c r="F534" s="4" t="s">
        <v>568</v>
      </c>
      <c r="G534" s="5" t="s">
        <v>15</v>
      </c>
      <c r="H534" s="4"/>
      <c r="I534" s="4"/>
    </row>
    <row r="535" customFormat="false" ht="12.75" hidden="false" customHeight="true" outlineLevel="0" collapsed="false">
      <c r="A535" s="6" t="s">
        <v>1149</v>
      </c>
      <c r="B535" s="7" t="s">
        <v>1150</v>
      </c>
      <c r="C535" s="7" t="s">
        <v>27</v>
      </c>
      <c r="D535" s="7" t="s">
        <v>1151</v>
      </c>
      <c r="E535" s="7" t="s">
        <v>1152</v>
      </c>
      <c r="F535" s="7" t="s">
        <v>568</v>
      </c>
      <c r="G535" s="5" t="s">
        <v>15</v>
      </c>
      <c r="H535" s="7"/>
      <c r="I535" s="7"/>
    </row>
    <row r="536" customFormat="false" ht="12.75" hidden="false" customHeight="true" outlineLevel="0" collapsed="false">
      <c r="A536" s="3" t="s">
        <v>1153</v>
      </c>
      <c r="B536" s="4" t="s">
        <v>1154</v>
      </c>
      <c r="C536" s="4" t="s">
        <v>27</v>
      </c>
      <c r="D536" s="4" t="s">
        <v>1155</v>
      </c>
      <c r="E536" s="4" t="s">
        <v>1156</v>
      </c>
      <c r="F536" s="4" t="s">
        <v>14</v>
      </c>
      <c r="G536" s="5" t="s">
        <v>15</v>
      </c>
      <c r="H536" s="4"/>
      <c r="I536" s="4"/>
    </row>
    <row r="537" customFormat="false" ht="12.75" hidden="false" customHeight="true" outlineLevel="0" collapsed="false">
      <c r="A537" s="6" t="s">
        <v>1153</v>
      </c>
      <c r="B537" s="7" t="s">
        <v>1154</v>
      </c>
      <c r="C537" s="7" t="s">
        <v>27</v>
      </c>
      <c r="D537" s="7" t="s">
        <v>1155</v>
      </c>
      <c r="E537" s="7" t="s">
        <v>1157</v>
      </c>
      <c r="F537" s="7" t="s">
        <v>21</v>
      </c>
      <c r="G537" s="5" t="s">
        <v>15</v>
      </c>
      <c r="H537" s="7"/>
      <c r="I537" s="7"/>
    </row>
    <row r="538" customFormat="false" ht="12.75" hidden="false" customHeight="true" outlineLevel="0" collapsed="false">
      <c r="A538" s="3" t="s">
        <v>1153</v>
      </c>
      <c r="B538" s="4" t="s">
        <v>1154</v>
      </c>
      <c r="C538" s="4" t="s">
        <v>27</v>
      </c>
      <c r="D538" s="4" t="s">
        <v>1155</v>
      </c>
      <c r="E538" s="4" t="s">
        <v>1158</v>
      </c>
      <c r="F538" s="4" t="s">
        <v>568</v>
      </c>
      <c r="G538" s="5" t="s">
        <v>15</v>
      </c>
      <c r="H538" s="4"/>
      <c r="I538" s="4"/>
    </row>
    <row r="539" customFormat="false" ht="12.75" hidden="false" customHeight="true" outlineLevel="0" collapsed="false">
      <c r="A539" s="6" t="s">
        <v>1153</v>
      </c>
      <c r="B539" s="7" t="s">
        <v>1154</v>
      </c>
      <c r="C539" s="7" t="s">
        <v>27</v>
      </c>
      <c r="D539" s="7" t="s">
        <v>1155</v>
      </c>
      <c r="E539" s="7" t="s">
        <v>1159</v>
      </c>
      <c r="F539" s="7" t="s">
        <v>568</v>
      </c>
      <c r="G539" s="5" t="s">
        <v>15</v>
      </c>
      <c r="H539" s="7"/>
      <c r="I539" s="7"/>
    </row>
    <row r="540" customFormat="false" ht="12.75" hidden="false" customHeight="true" outlineLevel="0" collapsed="false">
      <c r="A540" s="3" t="s">
        <v>1160</v>
      </c>
      <c r="B540" s="4" t="s">
        <v>1161</v>
      </c>
      <c r="C540" s="4" t="s">
        <v>27</v>
      </c>
      <c r="D540" s="4" t="s">
        <v>1162</v>
      </c>
      <c r="E540" s="4" t="s">
        <v>1163</v>
      </c>
      <c r="F540" s="4" t="s">
        <v>37</v>
      </c>
      <c r="G540" s="5" t="s">
        <v>15</v>
      </c>
      <c r="H540" s="4"/>
      <c r="I540" s="4"/>
    </row>
    <row r="541" customFormat="false" ht="12.75" hidden="false" customHeight="true" outlineLevel="0" collapsed="false">
      <c r="A541" s="6" t="s">
        <v>1160</v>
      </c>
      <c r="B541" s="7" t="s">
        <v>1161</v>
      </c>
      <c r="C541" s="7" t="s">
        <v>27</v>
      </c>
      <c r="D541" s="7" t="s">
        <v>1162</v>
      </c>
      <c r="E541" s="7" t="s">
        <v>1164</v>
      </c>
      <c r="F541" s="7" t="s">
        <v>37</v>
      </c>
      <c r="G541" s="5" t="s">
        <v>15</v>
      </c>
      <c r="H541" s="7"/>
      <c r="I541" s="7"/>
    </row>
    <row r="542" customFormat="false" ht="12.75" hidden="false" customHeight="true" outlineLevel="0" collapsed="false">
      <c r="A542" s="3" t="s">
        <v>1165</v>
      </c>
      <c r="B542" s="4" t="s">
        <v>1166</v>
      </c>
      <c r="C542" s="4" t="s">
        <v>27</v>
      </c>
      <c r="D542" s="4" t="s">
        <v>1167</v>
      </c>
      <c r="E542" s="4" t="s">
        <v>1168</v>
      </c>
      <c r="F542" s="4" t="s">
        <v>43</v>
      </c>
      <c r="G542" s="5" t="s">
        <v>15</v>
      </c>
      <c r="H542" s="4"/>
      <c r="I542" s="4"/>
    </row>
    <row r="543" customFormat="false" ht="12.75" hidden="false" customHeight="true" outlineLevel="0" collapsed="false">
      <c r="A543" s="6" t="s">
        <v>1165</v>
      </c>
      <c r="B543" s="7" t="s">
        <v>1166</v>
      </c>
      <c r="C543" s="7" t="s">
        <v>27</v>
      </c>
      <c r="D543" s="7" t="s">
        <v>1167</v>
      </c>
      <c r="E543" s="7" t="s">
        <v>1169</v>
      </c>
      <c r="F543" s="7" t="s">
        <v>43</v>
      </c>
      <c r="G543" s="5" t="s">
        <v>15</v>
      </c>
      <c r="H543" s="7"/>
      <c r="I543" s="7"/>
    </row>
    <row r="544" customFormat="false" ht="12.75" hidden="false" customHeight="true" outlineLevel="0" collapsed="false">
      <c r="A544" s="3" t="s">
        <v>1165</v>
      </c>
      <c r="B544" s="4" t="s">
        <v>1166</v>
      </c>
      <c r="C544" s="4" t="s">
        <v>27</v>
      </c>
      <c r="D544" s="4" t="s">
        <v>1167</v>
      </c>
      <c r="E544" s="4" t="s">
        <v>1170</v>
      </c>
      <c r="F544" s="4" t="s">
        <v>37</v>
      </c>
      <c r="G544" s="5" t="s">
        <v>15</v>
      </c>
      <c r="H544" s="4"/>
      <c r="I544" s="4"/>
    </row>
    <row r="545" customFormat="false" ht="12.75" hidden="false" customHeight="true" outlineLevel="0" collapsed="false">
      <c r="A545" s="6" t="s">
        <v>1165</v>
      </c>
      <c r="B545" s="7" t="s">
        <v>1166</v>
      </c>
      <c r="C545" s="7" t="s">
        <v>27</v>
      </c>
      <c r="D545" s="7" t="s">
        <v>1167</v>
      </c>
      <c r="E545" s="7" t="s">
        <v>1171</v>
      </c>
      <c r="F545" s="7" t="s">
        <v>37</v>
      </c>
      <c r="G545" s="5" t="s">
        <v>15</v>
      </c>
      <c r="H545" s="7"/>
      <c r="I545" s="7"/>
    </row>
    <row r="546" customFormat="false" ht="12.75" hidden="false" customHeight="true" outlineLevel="0" collapsed="false">
      <c r="A546" s="3" t="s">
        <v>1165</v>
      </c>
      <c r="B546" s="4" t="s">
        <v>1166</v>
      </c>
      <c r="C546" s="4" t="s">
        <v>27</v>
      </c>
      <c r="D546" s="4" t="s">
        <v>1167</v>
      </c>
      <c r="E546" s="4" t="s">
        <v>1172</v>
      </c>
      <c r="F546" s="4" t="s">
        <v>37</v>
      </c>
      <c r="G546" s="5" t="s">
        <v>15</v>
      </c>
      <c r="H546" s="4"/>
      <c r="I546" s="4"/>
    </row>
    <row r="547" customFormat="false" ht="12.75" hidden="false" customHeight="true" outlineLevel="0" collapsed="false">
      <c r="A547" s="6" t="s">
        <v>1165</v>
      </c>
      <c r="B547" s="7" t="s">
        <v>1166</v>
      </c>
      <c r="C547" s="7" t="s">
        <v>27</v>
      </c>
      <c r="D547" s="7" t="s">
        <v>1167</v>
      </c>
      <c r="E547" s="7" t="s">
        <v>1173</v>
      </c>
      <c r="F547" s="7" t="s">
        <v>37</v>
      </c>
      <c r="G547" s="5" t="s">
        <v>15</v>
      </c>
      <c r="H547" s="7"/>
      <c r="I547" s="7"/>
    </row>
    <row r="548" customFormat="false" ht="12.75" hidden="false" customHeight="true" outlineLevel="0" collapsed="false">
      <c r="A548" s="3" t="s">
        <v>1165</v>
      </c>
      <c r="B548" s="4" t="s">
        <v>1166</v>
      </c>
      <c r="C548" s="4" t="s">
        <v>27</v>
      </c>
      <c r="D548" s="4" t="s">
        <v>1167</v>
      </c>
      <c r="E548" s="4" t="s">
        <v>1174</v>
      </c>
      <c r="F548" s="4" t="s">
        <v>37</v>
      </c>
      <c r="G548" s="5" t="s">
        <v>15</v>
      </c>
      <c r="H548" s="4"/>
      <c r="I548" s="4"/>
    </row>
    <row r="549" customFormat="false" ht="12.75" hidden="false" customHeight="true" outlineLevel="0" collapsed="false">
      <c r="A549" s="6" t="s">
        <v>1165</v>
      </c>
      <c r="B549" s="7" t="s">
        <v>1166</v>
      </c>
      <c r="C549" s="7" t="s">
        <v>27</v>
      </c>
      <c r="D549" s="7" t="s">
        <v>1167</v>
      </c>
      <c r="E549" s="7" t="s">
        <v>1175</v>
      </c>
      <c r="F549" s="7" t="s">
        <v>568</v>
      </c>
      <c r="G549" s="5" t="s">
        <v>15</v>
      </c>
      <c r="H549" s="7"/>
      <c r="I549" s="7"/>
    </row>
    <row r="550" customFormat="false" ht="12.75" hidden="false" customHeight="true" outlineLevel="0" collapsed="false">
      <c r="A550" s="3" t="s">
        <v>1165</v>
      </c>
      <c r="B550" s="4" t="s">
        <v>1166</v>
      </c>
      <c r="C550" s="4" t="s">
        <v>27</v>
      </c>
      <c r="D550" s="4" t="s">
        <v>1167</v>
      </c>
      <c r="E550" s="4" t="s">
        <v>1176</v>
      </c>
      <c r="F550" s="4" t="s">
        <v>568</v>
      </c>
      <c r="G550" s="5" t="s">
        <v>15</v>
      </c>
      <c r="H550" s="4"/>
      <c r="I550" s="4"/>
    </row>
    <row r="551" customFormat="false" ht="12.75" hidden="false" customHeight="true" outlineLevel="0" collapsed="false">
      <c r="A551" s="6" t="s">
        <v>1177</v>
      </c>
      <c r="B551" s="7" t="s">
        <v>1178</v>
      </c>
      <c r="C551" s="7" t="s">
        <v>27</v>
      </c>
      <c r="D551" s="7" t="s">
        <v>1179</v>
      </c>
      <c r="E551" s="7" t="s">
        <v>1180</v>
      </c>
      <c r="F551" s="7" t="s">
        <v>568</v>
      </c>
      <c r="G551" s="5" t="s">
        <v>15</v>
      </c>
      <c r="H551" s="7"/>
      <c r="I551" s="7"/>
    </row>
    <row r="552" customFormat="false" ht="12.75" hidden="false" customHeight="true" outlineLevel="0" collapsed="false">
      <c r="A552" s="3" t="s">
        <v>1181</v>
      </c>
      <c r="B552" s="4" t="s">
        <v>1182</v>
      </c>
      <c r="C552" s="4" t="s">
        <v>27</v>
      </c>
      <c r="D552" s="4" t="s">
        <v>1183</v>
      </c>
      <c r="E552" s="4" t="s">
        <v>1184</v>
      </c>
      <c r="F552" s="4" t="s">
        <v>37</v>
      </c>
      <c r="G552" s="5" t="s">
        <v>15</v>
      </c>
      <c r="H552" s="4"/>
      <c r="I552" s="4"/>
    </row>
    <row r="553" customFormat="false" ht="12.75" hidden="false" customHeight="true" outlineLevel="0" collapsed="false">
      <c r="A553" s="6" t="s">
        <v>1185</v>
      </c>
      <c r="B553" s="7" t="s">
        <v>1186</v>
      </c>
      <c r="C553" s="7" t="s">
        <v>27</v>
      </c>
      <c r="D553" s="7" t="s">
        <v>1187</v>
      </c>
      <c r="E553" s="7" t="s">
        <v>1188</v>
      </c>
      <c r="F553" s="7" t="s">
        <v>14</v>
      </c>
      <c r="G553" s="5" t="s">
        <v>15</v>
      </c>
      <c r="H553" s="7"/>
      <c r="I553" s="7"/>
    </row>
    <row r="554" customFormat="false" ht="12.75" hidden="false" customHeight="true" outlineLevel="0" collapsed="false">
      <c r="A554" s="3" t="s">
        <v>1185</v>
      </c>
      <c r="B554" s="4" t="s">
        <v>1186</v>
      </c>
      <c r="C554" s="4" t="s">
        <v>27</v>
      </c>
      <c r="D554" s="4" t="s">
        <v>1187</v>
      </c>
      <c r="E554" s="4" t="s">
        <v>1189</v>
      </c>
      <c r="F554" s="4" t="s">
        <v>21</v>
      </c>
      <c r="G554" s="5" t="s">
        <v>15</v>
      </c>
      <c r="H554" s="4"/>
      <c r="I554" s="4"/>
    </row>
    <row r="555" customFormat="false" ht="12.75" hidden="false" customHeight="true" outlineLevel="0" collapsed="false">
      <c r="A555" s="6" t="s">
        <v>1185</v>
      </c>
      <c r="B555" s="7" t="s">
        <v>1186</v>
      </c>
      <c r="C555" s="7" t="s">
        <v>27</v>
      </c>
      <c r="D555" s="7" t="s">
        <v>1187</v>
      </c>
      <c r="E555" s="7" t="s">
        <v>1190</v>
      </c>
      <c r="F555" s="7" t="s">
        <v>21</v>
      </c>
      <c r="G555" s="5" t="s">
        <v>15</v>
      </c>
      <c r="H555" s="7"/>
      <c r="I555" s="7"/>
    </row>
    <row r="556" customFormat="false" ht="12.75" hidden="false" customHeight="true" outlineLevel="0" collapsed="false">
      <c r="A556" s="3" t="s">
        <v>1185</v>
      </c>
      <c r="B556" s="4" t="s">
        <v>1186</v>
      </c>
      <c r="C556" s="4" t="s">
        <v>27</v>
      </c>
      <c r="D556" s="4" t="s">
        <v>1187</v>
      </c>
      <c r="E556" s="4" t="s">
        <v>1191</v>
      </c>
      <c r="F556" s="4" t="s">
        <v>21</v>
      </c>
      <c r="G556" s="5" t="s">
        <v>15</v>
      </c>
      <c r="H556" s="4"/>
      <c r="I556" s="4"/>
    </row>
    <row r="557" customFormat="false" ht="12.75" hidden="false" customHeight="true" outlineLevel="0" collapsed="false">
      <c r="A557" s="6" t="s">
        <v>1185</v>
      </c>
      <c r="B557" s="7" t="s">
        <v>1186</v>
      </c>
      <c r="C557" s="7" t="s">
        <v>27</v>
      </c>
      <c r="D557" s="7" t="s">
        <v>1187</v>
      </c>
      <c r="E557" s="7" t="s">
        <v>1192</v>
      </c>
      <c r="F557" s="7" t="s">
        <v>37</v>
      </c>
      <c r="G557" s="5" t="s">
        <v>15</v>
      </c>
      <c r="H557" s="7"/>
      <c r="I557" s="7"/>
    </row>
    <row r="558" customFormat="false" ht="12.75" hidden="false" customHeight="true" outlineLevel="0" collapsed="false">
      <c r="A558" s="3" t="s">
        <v>1185</v>
      </c>
      <c r="B558" s="4" t="s">
        <v>1186</v>
      </c>
      <c r="C558" s="4" t="s">
        <v>27</v>
      </c>
      <c r="D558" s="4" t="s">
        <v>1187</v>
      </c>
      <c r="E558" s="4" t="s">
        <v>1193</v>
      </c>
      <c r="F558" s="4" t="s">
        <v>37</v>
      </c>
      <c r="G558" s="5" t="s">
        <v>15</v>
      </c>
      <c r="H558" s="4"/>
      <c r="I558" s="4"/>
    </row>
    <row r="559" customFormat="false" ht="12.75" hidden="false" customHeight="true" outlineLevel="0" collapsed="false">
      <c r="A559" s="6" t="s">
        <v>1185</v>
      </c>
      <c r="B559" s="7" t="s">
        <v>1186</v>
      </c>
      <c r="C559" s="7" t="s">
        <v>27</v>
      </c>
      <c r="D559" s="7" t="s">
        <v>1187</v>
      </c>
      <c r="E559" s="7" t="s">
        <v>1194</v>
      </c>
      <c r="F559" s="7" t="s">
        <v>37</v>
      </c>
      <c r="G559" s="5" t="s">
        <v>15</v>
      </c>
      <c r="H559" s="7"/>
      <c r="I559" s="7"/>
    </row>
    <row r="560" customFormat="false" ht="12.75" hidden="false" customHeight="true" outlineLevel="0" collapsed="false">
      <c r="A560" s="3" t="s">
        <v>1185</v>
      </c>
      <c r="B560" s="4" t="s">
        <v>1186</v>
      </c>
      <c r="C560" s="4" t="s">
        <v>27</v>
      </c>
      <c r="D560" s="4" t="s">
        <v>1187</v>
      </c>
      <c r="E560" s="4" t="s">
        <v>1195</v>
      </c>
      <c r="F560" s="4" t="s">
        <v>37</v>
      </c>
      <c r="G560" s="5" t="s">
        <v>15</v>
      </c>
      <c r="H560" s="4"/>
      <c r="I560" s="4"/>
    </row>
    <row r="561" customFormat="false" ht="12.75" hidden="false" customHeight="true" outlineLevel="0" collapsed="false">
      <c r="A561" s="6" t="s">
        <v>1185</v>
      </c>
      <c r="B561" s="7" t="s">
        <v>1186</v>
      </c>
      <c r="C561" s="7" t="s">
        <v>27</v>
      </c>
      <c r="D561" s="7" t="s">
        <v>1187</v>
      </c>
      <c r="E561" s="7" t="s">
        <v>1196</v>
      </c>
      <c r="F561" s="7" t="s">
        <v>37</v>
      </c>
      <c r="G561" s="5" t="s">
        <v>15</v>
      </c>
      <c r="H561" s="7"/>
      <c r="I561" s="7"/>
    </row>
    <row r="562" customFormat="false" ht="12.75" hidden="false" customHeight="true" outlineLevel="0" collapsed="false">
      <c r="A562" s="3" t="s">
        <v>1185</v>
      </c>
      <c r="B562" s="4" t="s">
        <v>1186</v>
      </c>
      <c r="C562" s="4" t="s">
        <v>27</v>
      </c>
      <c r="D562" s="4" t="s">
        <v>1187</v>
      </c>
      <c r="E562" s="4" t="s">
        <v>1197</v>
      </c>
      <c r="F562" s="4" t="s">
        <v>568</v>
      </c>
      <c r="G562" s="5" t="s">
        <v>15</v>
      </c>
      <c r="H562" s="4"/>
      <c r="I562" s="4"/>
    </row>
    <row r="563" customFormat="false" ht="12.75" hidden="false" customHeight="true" outlineLevel="0" collapsed="false">
      <c r="A563" s="6" t="s">
        <v>1185</v>
      </c>
      <c r="B563" s="7" t="s">
        <v>1186</v>
      </c>
      <c r="C563" s="7" t="s">
        <v>27</v>
      </c>
      <c r="D563" s="7" t="s">
        <v>1187</v>
      </c>
      <c r="E563" s="7" t="s">
        <v>1198</v>
      </c>
      <c r="F563" s="7" t="s">
        <v>568</v>
      </c>
      <c r="G563" s="5" t="s">
        <v>15</v>
      </c>
      <c r="H563" s="7"/>
      <c r="I563" s="7"/>
    </row>
    <row r="564" customFormat="false" ht="12.75" hidden="false" customHeight="true" outlineLevel="0" collapsed="false">
      <c r="A564" s="3" t="s">
        <v>1185</v>
      </c>
      <c r="B564" s="4" t="s">
        <v>1186</v>
      </c>
      <c r="C564" s="4" t="s">
        <v>27</v>
      </c>
      <c r="D564" s="4" t="s">
        <v>1187</v>
      </c>
      <c r="E564" s="4" t="s">
        <v>1199</v>
      </c>
      <c r="F564" s="4" t="s">
        <v>568</v>
      </c>
      <c r="G564" s="5" t="s">
        <v>15</v>
      </c>
      <c r="H564" s="4"/>
      <c r="I564" s="4"/>
    </row>
    <row r="565" customFormat="false" ht="12.75" hidden="false" customHeight="true" outlineLevel="0" collapsed="false">
      <c r="A565" s="6" t="s">
        <v>1200</v>
      </c>
      <c r="B565" s="7" t="s">
        <v>365</v>
      </c>
      <c r="C565" s="7" t="s">
        <v>27</v>
      </c>
      <c r="D565" s="7" t="s">
        <v>1201</v>
      </c>
      <c r="E565" s="7" t="s">
        <v>1202</v>
      </c>
      <c r="F565" s="7" t="s">
        <v>14</v>
      </c>
      <c r="G565" s="5" t="s">
        <v>15</v>
      </c>
      <c r="H565" s="7"/>
      <c r="I565" s="7"/>
    </row>
    <row r="566" customFormat="false" ht="12.75" hidden="false" customHeight="true" outlineLevel="0" collapsed="false">
      <c r="A566" s="3" t="s">
        <v>1200</v>
      </c>
      <c r="B566" s="4" t="s">
        <v>365</v>
      </c>
      <c r="C566" s="4" t="s">
        <v>27</v>
      </c>
      <c r="D566" s="4" t="s">
        <v>1201</v>
      </c>
      <c r="E566" s="4" t="s">
        <v>1203</v>
      </c>
      <c r="F566" s="4" t="s">
        <v>14</v>
      </c>
      <c r="G566" s="5" t="s">
        <v>15</v>
      </c>
      <c r="H566" s="4"/>
      <c r="I566" s="4"/>
    </row>
    <row r="567" customFormat="false" ht="12.75" hidden="false" customHeight="true" outlineLevel="0" collapsed="false">
      <c r="A567" s="6" t="s">
        <v>1200</v>
      </c>
      <c r="B567" s="7" t="s">
        <v>365</v>
      </c>
      <c r="C567" s="7" t="s">
        <v>27</v>
      </c>
      <c r="D567" s="7" t="s">
        <v>1201</v>
      </c>
      <c r="E567" s="7" t="s">
        <v>1204</v>
      </c>
      <c r="F567" s="7" t="s">
        <v>14</v>
      </c>
      <c r="G567" s="5" t="s">
        <v>15</v>
      </c>
      <c r="H567" s="7"/>
      <c r="I567" s="7"/>
    </row>
    <row r="568" customFormat="false" ht="12.75" hidden="false" customHeight="true" outlineLevel="0" collapsed="false">
      <c r="A568" s="3" t="s">
        <v>1200</v>
      </c>
      <c r="B568" s="4" t="s">
        <v>365</v>
      </c>
      <c r="C568" s="4" t="s">
        <v>27</v>
      </c>
      <c r="D568" s="4" t="s">
        <v>1201</v>
      </c>
      <c r="E568" s="4" t="s">
        <v>1205</v>
      </c>
      <c r="F568" s="4" t="s">
        <v>37</v>
      </c>
      <c r="G568" s="5" t="s">
        <v>15</v>
      </c>
      <c r="H568" s="4"/>
      <c r="I568" s="4"/>
    </row>
    <row r="569" customFormat="false" ht="12.75" hidden="false" customHeight="true" outlineLevel="0" collapsed="false">
      <c r="A569" s="6" t="s">
        <v>1200</v>
      </c>
      <c r="B569" s="7" t="s">
        <v>365</v>
      </c>
      <c r="C569" s="7" t="s">
        <v>27</v>
      </c>
      <c r="D569" s="7" t="s">
        <v>1201</v>
      </c>
      <c r="E569" s="7" t="s">
        <v>1206</v>
      </c>
      <c r="F569" s="7" t="s">
        <v>37</v>
      </c>
      <c r="G569" s="5" t="s">
        <v>15</v>
      </c>
      <c r="H569" s="7"/>
      <c r="I569" s="7"/>
    </row>
    <row r="570" customFormat="false" ht="12.75" hidden="false" customHeight="true" outlineLevel="0" collapsed="false">
      <c r="A570" s="3" t="s">
        <v>1200</v>
      </c>
      <c r="B570" s="4" t="s">
        <v>365</v>
      </c>
      <c r="C570" s="4" t="s">
        <v>27</v>
      </c>
      <c r="D570" s="4" t="s">
        <v>1201</v>
      </c>
      <c r="E570" s="4" t="s">
        <v>1207</v>
      </c>
      <c r="F570" s="4" t="s">
        <v>37</v>
      </c>
      <c r="G570" s="5" t="s">
        <v>15</v>
      </c>
      <c r="H570" s="4"/>
      <c r="I570" s="4"/>
    </row>
    <row r="571" customFormat="false" ht="12.75" hidden="false" customHeight="true" outlineLevel="0" collapsed="false">
      <c r="A571" s="6" t="s">
        <v>1200</v>
      </c>
      <c r="B571" s="7" t="s">
        <v>365</v>
      </c>
      <c r="C571" s="7" t="s">
        <v>27</v>
      </c>
      <c r="D571" s="7" t="s">
        <v>1201</v>
      </c>
      <c r="E571" s="7" t="s">
        <v>1208</v>
      </c>
      <c r="F571" s="7" t="s">
        <v>37</v>
      </c>
      <c r="G571" s="5" t="s">
        <v>15</v>
      </c>
      <c r="H571" s="7"/>
      <c r="I571" s="7"/>
    </row>
    <row r="572" customFormat="false" ht="12.75" hidden="false" customHeight="true" outlineLevel="0" collapsed="false">
      <c r="A572" s="3" t="s">
        <v>1200</v>
      </c>
      <c r="B572" s="4" t="s">
        <v>365</v>
      </c>
      <c r="C572" s="4" t="s">
        <v>27</v>
      </c>
      <c r="D572" s="4" t="s">
        <v>1201</v>
      </c>
      <c r="E572" s="4" t="s">
        <v>1209</v>
      </c>
      <c r="F572" s="4" t="s">
        <v>37</v>
      </c>
      <c r="G572" s="5" t="s">
        <v>15</v>
      </c>
      <c r="H572" s="4"/>
      <c r="I572" s="4"/>
    </row>
    <row r="573" customFormat="false" ht="12.75" hidden="false" customHeight="true" outlineLevel="0" collapsed="false">
      <c r="A573" s="6" t="s">
        <v>1200</v>
      </c>
      <c r="B573" s="7" t="s">
        <v>365</v>
      </c>
      <c r="C573" s="7" t="s">
        <v>27</v>
      </c>
      <c r="D573" s="7" t="s">
        <v>1201</v>
      </c>
      <c r="E573" s="7" t="s">
        <v>1210</v>
      </c>
      <c r="F573" s="7" t="s">
        <v>37</v>
      </c>
      <c r="G573" s="5" t="s">
        <v>15</v>
      </c>
      <c r="H573" s="7"/>
      <c r="I573" s="7"/>
    </row>
    <row r="574" customFormat="false" ht="12.75" hidden="false" customHeight="true" outlineLevel="0" collapsed="false">
      <c r="A574" s="3" t="s">
        <v>1200</v>
      </c>
      <c r="B574" s="4" t="s">
        <v>365</v>
      </c>
      <c r="C574" s="4" t="s">
        <v>27</v>
      </c>
      <c r="D574" s="4" t="s">
        <v>1201</v>
      </c>
      <c r="E574" s="4" t="s">
        <v>1211</v>
      </c>
      <c r="F574" s="4" t="s">
        <v>37</v>
      </c>
      <c r="G574" s="5" t="s">
        <v>15</v>
      </c>
      <c r="H574" s="4"/>
      <c r="I574" s="4"/>
    </row>
    <row r="575" customFormat="false" ht="12.75" hidden="false" customHeight="true" outlineLevel="0" collapsed="false">
      <c r="A575" s="6" t="s">
        <v>1200</v>
      </c>
      <c r="B575" s="7" t="s">
        <v>365</v>
      </c>
      <c r="C575" s="7" t="s">
        <v>27</v>
      </c>
      <c r="D575" s="7" t="s">
        <v>1201</v>
      </c>
      <c r="E575" s="7" t="s">
        <v>1212</v>
      </c>
      <c r="F575" s="7" t="s">
        <v>37</v>
      </c>
      <c r="G575" s="5" t="s">
        <v>15</v>
      </c>
      <c r="H575" s="7"/>
      <c r="I575" s="7"/>
    </row>
    <row r="576" customFormat="false" ht="12.75" hidden="false" customHeight="true" outlineLevel="0" collapsed="false">
      <c r="A576" s="3" t="s">
        <v>1200</v>
      </c>
      <c r="B576" s="4" t="s">
        <v>365</v>
      </c>
      <c r="C576" s="4" t="s">
        <v>27</v>
      </c>
      <c r="D576" s="4" t="s">
        <v>1201</v>
      </c>
      <c r="E576" s="4" t="s">
        <v>1213</v>
      </c>
      <c r="F576" s="4" t="s">
        <v>568</v>
      </c>
      <c r="G576" s="5" t="s">
        <v>15</v>
      </c>
      <c r="H576" s="4"/>
      <c r="I576" s="4"/>
    </row>
    <row r="577" customFormat="false" ht="12.75" hidden="false" customHeight="true" outlineLevel="0" collapsed="false">
      <c r="A577" s="6" t="s">
        <v>1200</v>
      </c>
      <c r="B577" s="7" t="s">
        <v>365</v>
      </c>
      <c r="C577" s="7" t="s">
        <v>27</v>
      </c>
      <c r="D577" s="7" t="s">
        <v>1201</v>
      </c>
      <c r="E577" s="7" t="s">
        <v>1214</v>
      </c>
      <c r="F577" s="7" t="s">
        <v>568</v>
      </c>
      <c r="G577" s="5" t="s">
        <v>15</v>
      </c>
      <c r="H577" s="7"/>
      <c r="I577" s="7"/>
    </row>
    <row r="578" customFormat="false" ht="12.75" hidden="false" customHeight="true" outlineLevel="0" collapsed="false">
      <c r="A578" s="3" t="s">
        <v>1200</v>
      </c>
      <c r="B578" s="4" t="s">
        <v>365</v>
      </c>
      <c r="C578" s="4" t="s">
        <v>27</v>
      </c>
      <c r="D578" s="4" t="s">
        <v>1201</v>
      </c>
      <c r="E578" s="4" t="s">
        <v>1215</v>
      </c>
      <c r="F578" s="4" t="s">
        <v>568</v>
      </c>
      <c r="G578" s="5" t="s">
        <v>15</v>
      </c>
      <c r="H578" s="4"/>
      <c r="I578" s="4"/>
    </row>
    <row r="579" customFormat="false" ht="12.75" hidden="false" customHeight="true" outlineLevel="0" collapsed="false">
      <c r="A579" s="6" t="s">
        <v>1216</v>
      </c>
      <c r="B579" s="7" t="s">
        <v>120</v>
      </c>
      <c r="C579" s="7" t="s">
        <v>27</v>
      </c>
      <c r="D579" s="7" t="s">
        <v>1217</v>
      </c>
      <c r="E579" s="7" t="s">
        <v>1218</v>
      </c>
      <c r="F579" s="7" t="s">
        <v>568</v>
      </c>
      <c r="G579" s="5" t="s">
        <v>15</v>
      </c>
      <c r="H579" s="7"/>
      <c r="I579" s="7"/>
    </row>
    <row r="580" customFormat="false" ht="12.75" hidden="false" customHeight="true" outlineLevel="0" collapsed="false">
      <c r="A580" s="3" t="s">
        <v>1219</v>
      </c>
      <c r="B580" s="4" t="s">
        <v>1220</v>
      </c>
      <c r="C580" s="4" t="s">
        <v>27</v>
      </c>
      <c r="D580" s="4" t="s">
        <v>1221</v>
      </c>
      <c r="E580" s="4" t="s">
        <v>1222</v>
      </c>
      <c r="F580" s="4" t="s">
        <v>37</v>
      </c>
      <c r="G580" s="5" t="s">
        <v>15</v>
      </c>
      <c r="H580" s="4"/>
      <c r="I580" s="4"/>
    </row>
    <row r="581" customFormat="false" ht="12.75" hidden="false" customHeight="true" outlineLevel="0" collapsed="false">
      <c r="A581" s="6" t="s">
        <v>1219</v>
      </c>
      <c r="B581" s="7" t="s">
        <v>1220</v>
      </c>
      <c r="C581" s="7" t="s">
        <v>27</v>
      </c>
      <c r="D581" s="7" t="s">
        <v>1221</v>
      </c>
      <c r="E581" s="7" t="s">
        <v>1223</v>
      </c>
      <c r="F581" s="7" t="s">
        <v>568</v>
      </c>
      <c r="G581" s="5" t="s">
        <v>15</v>
      </c>
      <c r="H581" s="7"/>
      <c r="I581" s="7"/>
    </row>
    <row r="582" customFormat="false" ht="12.75" hidden="false" customHeight="true" outlineLevel="0" collapsed="false">
      <c r="A582" s="3" t="s">
        <v>1219</v>
      </c>
      <c r="B582" s="4" t="s">
        <v>1220</v>
      </c>
      <c r="C582" s="4" t="s">
        <v>27</v>
      </c>
      <c r="D582" s="4" t="s">
        <v>1221</v>
      </c>
      <c r="E582" s="4" t="s">
        <v>1224</v>
      </c>
      <c r="F582" s="4" t="s">
        <v>568</v>
      </c>
      <c r="G582" s="5" t="s">
        <v>15</v>
      </c>
      <c r="H582" s="4"/>
      <c r="I582" s="4"/>
    </row>
    <row r="583" customFormat="false" ht="12.75" hidden="false" customHeight="true" outlineLevel="0" collapsed="false">
      <c r="A583" s="6" t="s">
        <v>1219</v>
      </c>
      <c r="B583" s="7" t="s">
        <v>1220</v>
      </c>
      <c r="C583" s="7" t="s">
        <v>27</v>
      </c>
      <c r="D583" s="7" t="s">
        <v>1221</v>
      </c>
      <c r="E583" s="7" t="s">
        <v>1225</v>
      </c>
      <c r="F583" s="7" t="s">
        <v>568</v>
      </c>
      <c r="G583" s="5" t="s">
        <v>15</v>
      </c>
      <c r="H583" s="7"/>
      <c r="I583" s="7"/>
    </row>
    <row r="584" customFormat="false" ht="12.75" hidden="false" customHeight="true" outlineLevel="0" collapsed="false">
      <c r="A584" s="3" t="s">
        <v>1219</v>
      </c>
      <c r="B584" s="4" t="s">
        <v>1220</v>
      </c>
      <c r="C584" s="4" t="s">
        <v>27</v>
      </c>
      <c r="D584" s="4" t="s">
        <v>1221</v>
      </c>
      <c r="E584" s="4" t="s">
        <v>1226</v>
      </c>
      <c r="F584" s="4" t="s">
        <v>568</v>
      </c>
      <c r="G584" s="5" t="s">
        <v>15</v>
      </c>
      <c r="H584" s="4"/>
      <c r="I584" s="4"/>
    </row>
    <row r="585" customFormat="false" ht="12.75" hidden="false" customHeight="true" outlineLevel="0" collapsed="false">
      <c r="A585" s="6" t="s">
        <v>1227</v>
      </c>
      <c r="B585" s="7" t="s">
        <v>1228</v>
      </c>
      <c r="C585" s="7" t="s">
        <v>27</v>
      </c>
      <c r="D585" s="7" t="s">
        <v>1229</v>
      </c>
      <c r="E585" s="7" t="s">
        <v>1230</v>
      </c>
      <c r="F585" s="7" t="s">
        <v>37</v>
      </c>
      <c r="G585" s="5" t="s">
        <v>15</v>
      </c>
      <c r="H585" s="7"/>
      <c r="I585" s="7"/>
    </row>
    <row r="586" customFormat="false" ht="12.75" hidden="false" customHeight="true" outlineLevel="0" collapsed="false">
      <c r="A586" s="3" t="s">
        <v>1231</v>
      </c>
      <c r="B586" s="4" t="s">
        <v>1232</v>
      </c>
      <c r="C586" s="4" t="s">
        <v>27</v>
      </c>
      <c r="D586" s="4" t="s">
        <v>1233</v>
      </c>
      <c r="E586" s="4" t="s">
        <v>1234</v>
      </c>
      <c r="F586" s="4" t="s">
        <v>568</v>
      </c>
      <c r="G586" s="5" t="s">
        <v>15</v>
      </c>
      <c r="H586" s="4"/>
      <c r="I586" s="4"/>
    </row>
    <row r="587" customFormat="false" ht="12.75" hidden="false" customHeight="true" outlineLevel="0" collapsed="false">
      <c r="A587" s="6" t="s">
        <v>1231</v>
      </c>
      <c r="B587" s="7" t="s">
        <v>1232</v>
      </c>
      <c r="C587" s="7" t="s">
        <v>27</v>
      </c>
      <c r="D587" s="7" t="s">
        <v>1233</v>
      </c>
      <c r="E587" s="7" t="s">
        <v>1235</v>
      </c>
      <c r="F587" s="7" t="s">
        <v>568</v>
      </c>
      <c r="G587" s="5" t="s">
        <v>15</v>
      </c>
      <c r="H587" s="7"/>
      <c r="I587" s="7"/>
    </row>
    <row r="588" customFormat="false" ht="12.75" hidden="false" customHeight="true" outlineLevel="0" collapsed="false">
      <c r="A588" s="3" t="s">
        <v>1236</v>
      </c>
      <c r="B588" s="4" t="s">
        <v>1237</v>
      </c>
      <c r="C588" s="4" t="s">
        <v>27</v>
      </c>
      <c r="D588" s="4" t="s">
        <v>1238</v>
      </c>
      <c r="E588" s="4" t="s">
        <v>1239</v>
      </c>
      <c r="F588" s="4" t="s">
        <v>37</v>
      </c>
      <c r="G588" s="5" t="s">
        <v>15</v>
      </c>
      <c r="H588" s="4"/>
      <c r="I588" s="4"/>
    </row>
    <row r="589" customFormat="false" ht="12.75" hidden="false" customHeight="true" outlineLevel="0" collapsed="false">
      <c r="A589" s="6" t="s">
        <v>1240</v>
      </c>
      <c r="B589" s="7" t="s">
        <v>1241</v>
      </c>
      <c r="C589" s="7" t="s">
        <v>27</v>
      </c>
      <c r="D589" s="7" t="s">
        <v>1242</v>
      </c>
      <c r="E589" s="7" t="s">
        <v>1243</v>
      </c>
      <c r="F589" s="7" t="s">
        <v>37</v>
      </c>
      <c r="G589" s="5" t="s">
        <v>15</v>
      </c>
      <c r="H589" s="7"/>
      <c r="I589" s="7"/>
    </row>
    <row r="590" customFormat="false" ht="12.75" hidden="false" customHeight="true" outlineLevel="0" collapsed="false">
      <c r="A590" s="3" t="s">
        <v>1244</v>
      </c>
      <c r="B590" s="4" t="s">
        <v>1245</v>
      </c>
      <c r="C590" s="4" t="s">
        <v>27</v>
      </c>
      <c r="D590" s="4" t="s">
        <v>1246</v>
      </c>
      <c r="E590" s="4" t="s">
        <v>1247</v>
      </c>
      <c r="F590" s="4" t="s">
        <v>568</v>
      </c>
      <c r="G590" s="5" t="s">
        <v>15</v>
      </c>
      <c r="H590" s="4"/>
      <c r="I590" s="4"/>
    </row>
    <row r="591" customFormat="false" ht="12.75" hidden="false" customHeight="true" outlineLevel="0" collapsed="false">
      <c r="A591" s="6" t="s">
        <v>1244</v>
      </c>
      <c r="B591" s="7" t="s">
        <v>1245</v>
      </c>
      <c r="C591" s="7" t="s">
        <v>27</v>
      </c>
      <c r="D591" s="7" t="s">
        <v>1246</v>
      </c>
      <c r="E591" s="7" t="s">
        <v>1248</v>
      </c>
      <c r="F591" s="7" t="s">
        <v>37</v>
      </c>
      <c r="G591" s="5" t="s">
        <v>15</v>
      </c>
      <c r="H591" s="7"/>
      <c r="I591" s="7"/>
    </row>
    <row r="592" customFormat="false" ht="12.75" hidden="false" customHeight="true" outlineLevel="0" collapsed="false">
      <c r="A592" s="3" t="s">
        <v>1244</v>
      </c>
      <c r="B592" s="4" t="s">
        <v>1245</v>
      </c>
      <c r="C592" s="4" t="s">
        <v>27</v>
      </c>
      <c r="D592" s="4" t="s">
        <v>1246</v>
      </c>
      <c r="E592" s="4" t="s">
        <v>1249</v>
      </c>
      <c r="F592" s="4" t="s">
        <v>568</v>
      </c>
      <c r="G592" s="5" t="s">
        <v>15</v>
      </c>
      <c r="H592" s="4"/>
      <c r="I592" s="4"/>
    </row>
    <row r="593" customFormat="false" ht="12.75" hidden="false" customHeight="true" outlineLevel="0" collapsed="false">
      <c r="A593" s="6" t="s">
        <v>1244</v>
      </c>
      <c r="B593" s="7" t="s">
        <v>1245</v>
      </c>
      <c r="C593" s="7" t="s">
        <v>27</v>
      </c>
      <c r="D593" s="7" t="s">
        <v>1246</v>
      </c>
      <c r="E593" s="7" t="s">
        <v>1250</v>
      </c>
      <c r="F593" s="7" t="s">
        <v>568</v>
      </c>
      <c r="G593" s="5" t="s">
        <v>15</v>
      </c>
      <c r="H593" s="7"/>
      <c r="I593" s="7"/>
    </row>
    <row r="594" customFormat="false" ht="12.75" hidden="false" customHeight="true" outlineLevel="0" collapsed="false">
      <c r="A594" s="3" t="s">
        <v>1244</v>
      </c>
      <c r="B594" s="4" t="s">
        <v>1245</v>
      </c>
      <c r="C594" s="4" t="s">
        <v>27</v>
      </c>
      <c r="D594" s="4" t="s">
        <v>1246</v>
      </c>
      <c r="E594" s="4" t="s">
        <v>1251</v>
      </c>
      <c r="F594" s="4" t="s">
        <v>568</v>
      </c>
      <c r="G594" s="5" t="s">
        <v>15</v>
      </c>
      <c r="H594" s="4"/>
      <c r="I594" s="4"/>
    </row>
    <row r="595" customFormat="false" ht="12.75" hidden="false" customHeight="true" outlineLevel="0" collapsed="false">
      <c r="A595" s="6" t="s">
        <v>1252</v>
      </c>
      <c r="B595" s="7" t="s">
        <v>1253</v>
      </c>
      <c r="C595" s="7" t="s">
        <v>27</v>
      </c>
      <c r="D595" s="7" t="s">
        <v>1254</v>
      </c>
      <c r="E595" s="7" t="s">
        <v>1255</v>
      </c>
      <c r="F595" s="7" t="s">
        <v>37</v>
      </c>
      <c r="G595" s="5" t="s">
        <v>15</v>
      </c>
      <c r="H595" s="7"/>
      <c r="I595" s="7"/>
    </row>
    <row r="596" customFormat="false" ht="12.75" hidden="false" customHeight="true" outlineLevel="0" collapsed="false">
      <c r="A596" s="3" t="s">
        <v>1252</v>
      </c>
      <c r="B596" s="4" t="s">
        <v>1253</v>
      </c>
      <c r="C596" s="4" t="s">
        <v>27</v>
      </c>
      <c r="D596" s="4" t="s">
        <v>1254</v>
      </c>
      <c r="E596" s="4" t="s">
        <v>1256</v>
      </c>
      <c r="F596" s="4" t="s">
        <v>37</v>
      </c>
      <c r="G596" s="5" t="s">
        <v>15</v>
      </c>
      <c r="H596" s="4"/>
      <c r="I596" s="4"/>
    </row>
    <row r="597" customFormat="false" ht="12.75" hidden="false" customHeight="true" outlineLevel="0" collapsed="false">
      <c r="A597" s="6" t="s">
        <v>1252</v>
      </c>
      <c r="B597" s="7" t="s">
        <v>1253</v>
      </c>
      <c r="C597" s="7" t="s">
        <v>27</v>
      </c>
      <c r="D597" s="7" t="s">
        <v>1254</v>
      </c>
      <c r="E597" s="7" t="s">
        <v>1257</v>
      </c>
      <c r="F597" s="7" t="s">
        <v>37</v>
      </c>
      <c r="G597" s="5" t="s">
        <v>15</v>
      </c>
      <c r="H597" s="7"/>
      <c r="I597" s="7"/>
    </row>
    <row r="598" customFormat="false" ht="12.75" hidden="false" customHeight="true" outlineLevel="0" collapsed="false">
      <c r="A598" s="3" t="s">
        <v>1258</v>
      </c>
      <c r="B598" s="4" t="s">
        <v>39</v>
      </c>
      <c r="C598" s="4" t="s">
        <v>27</v>
      </c>
      <c r="D598" s="4" t="s">
        <v>1259</v>
      </c>
      <c r="E598" s="4" t="s">
        <v>1260</v>
      </c>
      <c r="F598" s="4" t="s">
        <v>37</v>
      </c>
      <c r="G598" s="5" t="s">
        <v>15</v>
      </c>
      <c r="H598" s="4"/>
      <c r="I598" s="4"/>
    </row>
    <row r="599" customFormat="false" ht="12.75" hidden="false" customHeight="true" outlineLevel="0" collapsed="false">
      <c r="A599" s="6" t="s">
        <v>1258</v>
      </c>
      <c r="B599" s="7" t="s">
        <v>39</v>
      </c>
      <c r="C599" s="7" t="s">
        <v>27</v>
      </c>
      <c r="D599" s="7" t="s">
        <v>1259</v>
      </c>
      <c r="E599" s="7" t="s">
        <v>1261</v>
      </c>
      <c r="F599" s="7" t="s">
        <v>568</v>
      </c>
      <c r="G599" s="5" t="s">
        <v>15</v>
      </c>
      <c r="H599" s="7"/>
      <c r="I599" s="7"/>
    </row>
    <row r="600" customFormat="false" ht="12.75" hidden="false" customHeight="true" outlineLevel="0" collapsed="false">
      <c r="A600" s="3" t="s">
        <v>1258</v>
      </c>
      <c r="B600" s="4" t="s">
        <v>39</v>
      </c>
      <c r="C600" s="4" t="s">
        <v>27</v>
      </c>
      <c r="D600" s="4" t="s">
        <v>1259</v>
      </c>
      <c r="E600" s="4" t="s">
        <v>1262</v>
      </c>
      <c r="F600" s="4" t="s">
        <v>568</v>
      </c>
      <c r="G600" s="5" t="s">
        <v>15</v>
      </c>
      <c r="H600" s="4"/>
      <c r="I600" s="4"/>
    </row>
    <row r="601" customFormat="false" ht="12.75" hidden="false" customHeight="true" outlineLevel="0" collapsed="false">
      <c r="A601" s="6" t="s">
        <v>1263</v>
      </c>
      <c r="B601" s="7" t="s">
        <v>585</v>
      </c>
      <c r="C601" s="7" t="s">
        <v>27</v>
      </c>
      <c r="D601" s="7" t="s">
        <v>1264</v>
      </c>
      <c r="E601" s="7" t="s">
        <v>1265</v>
      </c>
      <c r="F601" s="7" t="s">
        <v>568</v>
      </c>
      <c r="G601" s="5" t="s">
        <v>15</v>
      </c>
      <c r="H601" s="7"/>
      <c r="I601" s="7"/>
    </row>
    <row r="602" customFormat="false" ht="12.75" hidden="false" customHeight="true" outlineLevel="0" collapsed="false">
      <c r="A602" s="3" t="s">
        <v>1263</v>
      </c>
      <c r="B602" s="4" t="s">
        <v>585</v>
      </c>
      <c r="C602" s="4" t="s">
        <v>27</v>
      </c>
      <c r="D602" s="4" t="s">
        <v>1264</v>
      </c>
      <c r="E602" s="4" t="s">
        <v>1266</v>
      </c>
      <c r="F602" s="4" t="s">
        <v>568</v>
      </c>
      <c r="G602" s="5" t="s">
        <v>15</v>
      </c>
      <c r="H602" s="4"/>
      <c r="I602" s="4"/>
    </row>
    <row r="603" customFormat="false" ht="12.75" hidden="false" customHeight="true" outlineLevel="0" collapsed="false">
      <c r="A603" s="6" t="s">
        <v>1267</v>
      </c>
      <c r="B603" s="7" t="s">
        <v>1268</v>
      </c>
      <c r="C603" s="7" t="s">
        <v>27</v>
      </c>
      <c r="D603" s="7" t="s">
        <v>1269</v>
      </c>
      <c r="E603" s="7" t="s">
        <v>1270</v>
      </c>
      <c r="F603" s="7" t="s">
        <v>37</v>
      </c>
      <c r="G603" s="5" t="s">
        <v>15</v>
      </c>
      <c r="H603" s="7"/>
      <c r="I603" s="7"/>
    </row>
    <row r="604" customFormat="false" ht="12.75" hidden="false" customHeight="true" outlineLevel="0" collapsed="false">
      <c r="A604" s="3" t="s">
        <v>1267</v>
      </c>
      <c r="B604" s="4" t="s">
        <v>1268</v>
      </c>
      <c r="C604" s="4" t="s">
        <v>27</v>
      </c>
      <c r="D604" s="4" t="s">
        <v>1269</v>
      </c>
      <c r="E604" s="4" t="s">
        <v>1271</v>
      </c>
      <c r="F604" s="4" t="s">
        <v>568</v>
      </c>
      <c r="G604" s="5" t="s">
        <v>15</v>
      </c>
      <c r="H604" s="4"/>
      <c r="I604" s="4"/>
    </row>
    <row r="605" customFormat="false" ht="12.75" hidden="false" customHeight="true" outlineLevel="0" collapsed="false">
      <c r="A605" s="6" t="s">
        <v>1267</v>
      </c>
      <c r="B605" s="7" t="s">
        <v>1268</v>
      </c>
      <c r="C605" s="7" t="s">
        <v>27</v>
      </c>
      <c r="D605" s="7" t="s">
        <v>1269</v>
      </c>
      <c r="E605" s="7" t="s">
        <v>1272</v>
      </c>
      <c r="F605" s="7" t="s">
        <v>568</v>
      </c>
      <c r="G605" s="5" t="s">
        <v>15</v>
      </c>
      <c r="H605" s="7"/>
      <c r="I605" s="7"/>
    </row>
    <row r="606" customFormat="false" ht="12.75" hidden="false" customHeight="true" outlineLevel="0" collapsed="false">
      <c r="A606" s="3" t="s">
        <v>1273</v>
      </c>
      <c r="B606" s="4" t="s">
        <v>65</v>
      </c>
      <c r="C606" s="4" t="s">
        <v>27</v>
      </c>
      <c r="D606" s="4" t="s">
        <v>1274</v>
      </c>
      <c r="E606" s="4" t="s">
        <v>1275</v>
      </c>
      <c r="F606" s="4" t="s">
        <v>215</v>
      </c>
      <c r="G606" s="5" t="s">
        <v>15</v>
      </c>
      <c r="H606" s="4"/>
      <c r="I606" s="4"/>
    </row>
    <row r="607" customFormat="false" ht="12.75" hidden="false" customHeight="true" outlineLevel="0" collapsed="false">
      <c r="A607" s="6" t="s">
        <v>1273</v>
      </c>
      <c r="B607" s="7" t="s">
        <v>65</v>
      </c>
      <c r="C607" s="7" t="s">
        <v>27</v>
      </c>
      <c r="D607" s="7" t="s">
        <v>1274</v>
      </c>
      <c r="E607" s="7" t="s">
        <v>1276</v>
      </c>
      <c r="F607" s="7" t="s">
        <v>215</v>
      </c>
      <c r="G607" s="5" t="s">
        <v>15</v>
      </c>
      <c r="H607" s="7"/>
      <c r="I607" s="7"/>
    </row>
    <row r="608" customFormat="false" ht="12.75" hidden="false" customHeight="true" outlineLevel="0" collapsed="false">
      <c r="A608" s="3" t="s">
        <v>1273</v>
      </c>
      <c r="B608" s="4" t="s">
        <v>65</v>
      </c>
      <c r="C608" s="4" t="s">
        <v>27</v>
      </c>
      <c r="D608" s="4" t="s">
        <v>1274</v>
      </c>
      <c r="E608" s="4" t="s">
        <v>1277</v>
      </c>
      <c r="F608" s="4" t="s">
        <v>37</v>
      </c>
      <c r="G608" s="5" t="s">
        <v>15</v>
      </c>
      <c r="H608" s="4"/>
      <c r="I608" s="4"/>
    </row>
    <row r="609" customFormat="false" ht="12.75" hidden="false" customHeight="true" outlineLevel="0" collapsed="false">
      <c r="A609" s="6" t="s">
        <v>1273</v>
      </c>
      <c r="B609" s="7" t="s">
        <v>65</v>
      </c>
      <c r="C609" s="7" t="s">
        <v>27</v>
      </c>
      <c r="D609" s="7" t="s">
        <v>1274</v>
      </c>
      <c r="E609" s="7" t="s">
        <v>1278</v>
      </c>
      <c r="F609" s="7" t="s">
        <v>37</v>
      </c>
      <c r="G609" s="5" t="s">
        <v>15</v>
      </c>
      <c r="H609" s="7"/>
      <c r="I609" s="7"/>
    </row>
    <row r="610" customFormat="false" ht="12.75" hidden="false" customHeight="true" outlineLevel="0" collapsed="false">
      <c r="A610" s="3" t="s">
        <v>1273</v>
      </c>
      <c r="B610" s="4" t="s">
        <v>65</v>
      </c>
      <c r="C610" s="4" t="s">
        <v>27</v>
      </c>
      <c r="D610" s="4" t="s">
        <v>1274</v>
      </c>
      <c r="E610" s="4" t="s">
        <v>1279</v>
      </c>
      <c r="F610" s="4" t="s">
        <v>37</v>
      </c>
      <c r="G610" s="5" t="s">
        <v>15</v>
      </c>
      <c r="H610" s="4"/>
      <c r="I610" s="4"/>
    </row>
    <row r="611" customFormat="false" ht="12.75" hidden="false" customHeight="true" outlineLevel="0" collapsed="false">
      <c r="A611" s="6" t="s">
        <v>1273</v>
      </c>
      <c r="B611" s="7" t="s">
        <v>65</v>
      </c>
      <c r="C611" s="7" t="s">
        <v>27</v>
      </c>
      <c r="D611" s="7" t="s">
        <v>1274</v>
      </c>
      <c r="E611" s="7" t="s">
        <v>1280</v>
      </c>
      <c r="F611" s="7" t="s">
        <v>568</v>
      </c>
      <c r="G611" s="5" t="s">
        <v>15</v>
      </c>
      <c r="H611" s="7"/>
      <c r="I611" s="7"/>
    </row>
    <row r="612" customFormat="false" ht="12.75" hidden="false" customHeight="true" outlineLevel="0" collapsed="false">
      <c r="A612" s="3" t="s">
        <v>1273</v>
      </c>
      <c r="B612" s="4" t="s">
        <v>65</v>
      </c>
      <c r="C612" s="4" t="s">
        <v>27</v>
      </c>
      <c r="D612" s="4" t="s">
        <v>1274</v>
      </c>
      <c r="E612" s="4" t="s">
        <v>1281</v>
      </c>
      <c r="F612" s="4" t="s">
        <v>568</v>
      </c>
      <c r="G612" s="5" t="s">
        <v>15</v>
      </c>
      <c r="H612" s="4"/>
      <c r="I612" s="4"/>
    </row>
    <row r="613" customFormat="false" ht="12.75" hidden="false" customHeight="true" outlineLevel="0" collapsed="false">
      <c r="A613" s="6" t="s">
        <v>1273</v>
      </c>
      <c r="B613" s="7" t="s">
        <v>65</v>
      </c>
      <c r="C613" s="7" t="s">
        <v>27</v>
      </c>
      <c r="D613" s="7" t="s">
        <v>1274</v>
      </c>
      <c r="E613" s="7" t="s">
        <v>1282</v>
      </c>
      <c r="F613" s="7" t="s">
        <v>568</v>
      </c>
      <c r="G613" s="5" t="s">
        <v>15</v>
      </c>
      <c r="H613" s="7"/>
      <c r="I613" s="7"/>
    </row>
    <row r="614" customFormat="false" ht="12.75" hidden="false" customHeight="true" outlineLevel="0" collapsed="false">
      <c r="A614" s="3" t="s">
        <v>1273</v>
      </c>
      <c r="B614" s="4" t="s">
        <v>65</v>
      </c>
      <c r="C614" s="4" t="s">
        <v>27</v>
      </c>
      <c r="D614" s="4" t="s">
        <v>1274</v>
      </c>
      <c r="E614" s="4" t="s">
        <v>1283</v>
      </c>
      <c r="F614" s="4" t="s">
        <v>568</v>
      </c>
      <c r="G614" s="5" t="s">
        <v>15</v>
      </c>
      <c r="H614" s="4"/>
      <c r="I614" s="4"/>
    </row>
    <row r="615" customFormat="false" ht="12.75" hidden="false" customHeight="true" outlineLevel="0" collapsed="false">
      <c r="A615" s="6" t="s">
        <v>1284</v>
      </c>
      <c r="B615" s="7" t="s">
        <v>1101</v>
      </c>
      <c r="C615" s="7" t="s">
        <v>27</v>
      </c>
      <c r="D615" s="7" t="s">
        <v>1285</v>
      </c>
      <c r="E615" s="7" t="s">
        <v>1286</v>
      </c>
      <c r="F615" s="7" t="s">
        <v>568</v>
      </c>
      <c r="G615" s="5" t="s">
        <v>15</v>
      </c>
      <c r="H615" s="7"/>
      <c r="I615" s="7"/>
    </row>
    <row r="616" customFormat="false" ht="12.75" hidden="false" customHeight="true" outlineLevel="0" collapsed="false">
      <c r="A616" s="3" t="s">
        <v>1284</v>
      </c>
      <c r="B616" s="4" t="s">
        <v>1101</v>
      </c>
      <c r="C616" s="4" t="s">
        <v>27</v>
      </c>
      <c r="D616" s="4" t="s">
        <v>1285</v>
      </c>
      <c r="E616" s="4" t="s">
        <v>1287</v>
      </c>
      <c r="F616" s="4" t="s">
        <v>568</v>
      </c>
      <c r="G616" s="5" t="s">
        <v>15</v>
      </c>
      <c r="H616" s="4"/>
      <c r="I616" s="4"/>
    </row>
    <row r="617" customFormat="false" ht="12.75" hidden="false" customHeight="true" outlineLevel="0" collapsed="false">
      <c r="A617" s="6" t="s">
        <v>1288</v>
      </c>
      <c r="B617" s="7" t="s">
        <v>1289</v>
      </c>
      <c r="C617" s="7" t="s">
        <v>27</v>
      </c>
      <c r="D617" s="7" t="s">
        <v>1290</v>
      </c>
      <c r="E617" s="7" t="s">
        <v>1291</v>
      </c>
      <c r="F617" s="7" t="s">
        <v>568</v>
      </c>
      <c r="G617" s="5" t="s">
        <v>15</v>
      </c>
      <c r="H617" s="7"/>
      <c r="I617" s="7"/>
    </row>
    <row r="618" customFormat="false" ht="12.75" hidden="false" customHeight="true" outlineLevel="0" collapsed="false">
      <c r="A618" s="3" t="s">
        <v>1288</v>
      </c>
      <c r="B618" s="4" t="s">
        <v>1289</v>
      </c>
      <c r="C618" s="4" t="s">
        <v>27</v>
      </c>
      <c r="D618" s="4" t="s">
        <v>1290</v>
      </c>
      <c r="E618" s="4" t="s">
        <v>1292</v>
      </c>
      <c r="F618" s="4" t="s">
        <v>568</v>
      </c>
      <c r="G618" s="5" t="s">
        <v>15</v>
      </c>
      <c r="H618" s="4"/>
      <c r="I618" s="4"/>
    </row>
    <row r="619" customFormat="false" ht="12.75" hidden="false" customHeight="true" outlineLevel="0" collapsed="false">
      <c r="A619" s="6" t="s">
        <v>1288</v>
      </c>
      <c r="B619" s="7" t="s">
        <v>1289</v>
      </c>
      <c r="C619" s="7" t="s">
        <v>27</v>
      </c>
      <c r="D619" s="7" t="s">
        <v>1290</v>
      </c>
      <c r="E619" s="7" t="s">
        <v>1293</v>
      </c>
      <c r="F619" s="7" t="s">
        <v>568</v>
      </c>
      <c r="G619" s="5" t="s">
        <v>15</v>
      </c>
      <c r="H619" s="7"/>
      <c r="I619" s="7"/>
    </row>
    <row r="620" customFormat="false" ht="12.75" hidden="false" customHeight="true" outlineLevel="0" collapsed="false">
      <c r="A620" s="3" t="s">
        <v>1294</v>
      </c>
      <c r="B620" s="4" t="s">
        <v>1295</v>
      </c>
      <c r="C620" s="4" t="s">
        <v>27</v>
      </c>
      <c r="D620" s="4" t="s">
        <v>1296</v>
      </c>
      <c r="E620" s="4" t="s">
        <v>1297</v>
      </c>
      <c r="F620" s="4" t="s">
        <v>21</v>
      </c>
      <c r="G620" s="5" t="s">
        <v>15</v>
      </c>
      <c r="H620" s="4"/>
      <c r="I620" s="4"/>
    </row>
    <row r="621" customFormat="false" ht="12.75" hidden="false" customHeight="true" outlineLevel="0" collapsed="false">
      <c r="A621" s="6" t="s">
        <v>1294</v>
      </c>
      <c r="B621" s="7" t="s">
        <v>1295</v>
      </c>
      <c r="C621" s="7" t="s">
        <v>27</v>
      </c>
      <c r="D621" s="7" t="s">
        <v>1296</v>
      </c>
      <c r="E621" s="7" t="s">
        <v>1298</v>
      </c>
      <c r="F621" s="7" t="s">
        <v>21</v>
      </c>
      <c r="G621" s="5" t="s">
        <v>15</v>
      </c>
      <c r="H621" s="7"/>
      <c r="I621" s="7"/>
    </row>
    <row r="622" customFormat="false" ht="12.75" hidden="false" customHeight="true" outlineLevel="0" collapsed="false">
      <c r="A622" s="3" t="s">
        <v>1294</v>
      </c>
      <c r="B622" s="4" t="s">
        <v>1295</v>
      </c>
      <c r="C622" s="4" t="s">
        <v>27</v>
      </c>
      <c r="D622" s="4" t="s">
        <v>1296</v>
      </c>
      <c r="E622" s="4" t="s">
        <v>1299</v>
      </c>
      <c r="F622" s="4" t="s">
        <v>21</v>
      </c>
      <c r="G622" s="5" t="s">
        <v>15</v>
      </c>
      <c r="H622" s="4"/>
      <c r="I622" s="4"/>
    </row>
    <row r="623" customFormat="false" ht="12.75" hidden="false" customHeight="true" outlineLevel="0" collapsed="false">
      <c r="A623" s="6" t="s">
        <v>1294</v>
      </c>
      <c r="B623" s="7" t="s">
        <v>1295</v>
      </c>
      <c r="C623" s="7" t="s">
        <v>27</v>
      </c>
      <c r="D623" s="7" t="s">
        <v>1296</v>
      </c>
      <c r="E623" s="7" t="s">
        <v>1300</v>
      </c>
      <c r="F623" s="7" t="s">
        <v>37</v>
      </c>
      <c r="G623" s="5" t="s">
        <v>15</v>
      </c>
      <c r="H623" s="7"/>
      <c r="I623" s="7"/>
    </row>
    <row r="624" customFormat="false" ht="12.75" hidden="false" customHeight="true" outlineLevel="0" collapsed="false">
      <c r="A624" s="3" t="s">
        <v>1294</v>
      </c>
      <c r="B624" s="4" t="s">
        <v>1295</v>
      </c>
      <c r="C624" s="4" t="s">
        <v>27</v>
      </c>
      <c r="D624" s="4" t="s">
        <v>1296</v>
      </c>
      <c r="E624" s="4" t="s">
        <v>1301</v>
      </c>
      <c r="F624" s="4" t="s">
        <v>37</v>
      </c>
      <c r="G624" s="5" t="s">
        <v>15</v>
      </c>
      <c r="H624" s="4"/>
      <c r="I624" s="4"/>
    </row>
    <row r="625" customFormat="false" ht="12.75" hidden="false" customHeight="true" outlineLevel="0" collapsed="false">
      <c r="A625" s="6" t="s">
        <v>1294</v>
      </c>
      <c r="B625" s="7" t="s">
        <v>1295</v>
      </c>
      <c r="C625" s="7" t="s">
        <v>27</v>
      </c>
      <c r="D625" s="7" t="s">
        <v>1296</v>
      </c>
      <c r="E625" s="7" t="s">
        <v>1302</v>
      </c>
      <c r="F625" s="7" t="s">
        <v>37</v>
      </c>
      <c r="G625" s="5" t="s">
        <v>15</v>
      </c>
      <c r="H625" s="7"/>
      <c r="I625" s="7"/>
    </row>
    <row r="626" customFormat="false" ht="12.75" hidden="false" customHeight="true" outlineLevel="0" collapsed="false">
      <c r="A626" s="3" t="s">
        <v>1294</v>
      </c>
      <c r="B626" s="4" t="s">
        <v>1295</v>
      </c>
      <c r="C626" s="4" t="s">
        <v>27</v>
      </c>
      <c r="D626" s="4" t="s">
        <v>1296</v>
      </c>
      <c r="E626" s="4" t="s">
        <v>1303</v>
      </c>
      <c r="F626" s="4" t="s">
        <v>568</v>
      </c>
      <c r="G626" s="5" t="s">
        <v>15</v>
      </c>
      <c r="H626" s="4"/>
      <c r="I626" s="4"/>
    </row>
    <row r="627" customFormat="false" ht="12.75" hidden="false" customHeight="true" outlineLevel="0" collapsed="false">
      <c r="A627" s="6" t="s">
        <v>1294</v>
      </c>
      <c r="B627" s="7" t="s">
        <v>1295</v>
      </c>
      <c r="C627" s="7" t="s">
        <v>27</v>
      </c>
      <c r="D627" s="7" t="s">
        <v>1296</v>
      </c>
      <c r="E627" s="7" t="s">
        <v>1304</v>
      </c>
      <c r="F627" s="7" t="s">
        <v>568</v>
      </c>
      <c r="G627" s="5" t="s">
        <v>15</v>
      </c>
      <c r="H627" s="7"/>
      <c r="I627" s="7"/>
    </row>
    <row r="628" customFormat="false" ht="12.75" hidden="false" customHeight="true" outlineLevel="0" collapsed="false">
      <c r="A628" s="3" t="s">
        <v>1294</v>
      </c>
      <c r="B628" s="4" t="s">
        <v>1295</v>
      </c>
      <c r="C628" s="4" t="s">
        <v>27</v>
      </c>
      <c r="D628" s="4" t="s">
        <v>1296</v>
      </c>
      <c r="E628" s="4" t="s">
        <v>1305</v>
      </c>
      <c r="F628" s="4" t="s">
        <v>568</v>
      </c>
      <c r="G628" s="5" t="s">
        <v>15</v>
      </c>
      <c r="H628" s="4"/>
      <c r="I628" s="4"/>
    </row>
    <row r="629" customFormat="false" ht="12.75" hidden="false" customHeight="true" outlineLevel="0" collapsed="false">
      <c r="A629" s="6" t="s">
        <v>1294</v>
      </c>
      <c r="B629" s="7" t="s">
        <v>1295</v>
      </c>
      <c r="C629" s="7" t="s">
        <v>27</v>
      </c>
      <c r="D629" s="7" t="s">
        <v>1296</v>
      </c>
      <c r="E629" s="7" t="s">
        <v>1306</v>
      </c>
      <c r="F629" s="7" t="s">
        <v>568</v>
      </c>
      <c r="G629" s="5" t="s">
        <v>15</v>
      </c>
      <c r="H629" s="7"/>
      <c r="I629" s="7"/>
    </row>
    <row r="630" customFormat="false" ht="12.75" hidden="false" customHeight="true" outlineLevel="0" collapsed="false">
      <c r="A630" s="3" t="s">
        <v>1307</v>
      </c>
      <c r="B630" s="4" t="s">
        <v>1308</v>
      </c>
      <c r="C630" s="4" t="s">
        <v>27</v>
      </c>
      <c r="D630" s="4" t="s">
        <v>1309</v>
      </c>
      <c r="E630" s="4" t="s">
        <v>1310</v>
      </c>
      <c r="F630" s="4" t="s">
        <v>37</v>
      </c>
      <c r="G630" s="5" t="s">
        <v>15</v>
      </c>
      <c r="H630" s="4"/>
      <c r="I630" s="4"/>
    </row>
    <row r="631" customFormat="false" ht="12.75" hidden="false" customHeight="true" outlineLevel="0" collapsed="false">
      <c r="A631" s="6" t="s">
        <v>1307</v>
      </c>
      <c r="B631" s="7" t="s">
        <v>1308</v>
      </c>
      <c r="C631" s="7" t="s">
        <v>27</v>
      </c>
      <c r="D631" s="7" t="s">
        <v>1309</v>
      </c>
      <c r="E631" s="7" t="s">
        <v>1311</v>
      </c>
      <c r="F631" s="7" t="s">
        <v>568</v>
      </c>
      <c r="G631" s="5" t="s">
        <v>15</v>
      </c>
      <c r="H631" s="7"/>
      <c r="I631" s="7"/>
    </row>
    <row r="632" customFormat="false" ht="12.75" hidden="false" customHeight="true" outlineLevel="0" collapsed="false">
      <c r="A632" s="3" t="s">
        <v>1312</v>
      </c>
      <c r="B632" s="4" t="s">
        <v>1313</v>
      </c>
      <c r="C632" s="4" t="s">
        <v>27</v>
      </c>
      <c r="D632" s="4" t="s">
        <v>1314</v>
      </c>
      <c r="E632" s="4" t="s">
        <v>1315</v>
      </c>
      <c r="F632" s="4" t="s">
        <v>568</v>
      </c>
      <c r="G632" s="5" t="s">
        <v>15</v>
      </c>
      <c r="H632" s="4"/>
      <c r="I632" s="4"/>
    </row>
    <row r="633" customFormat="false" ht="12.75" hidden="false" customHeight="true" outlineLevel="0" collapsed="false">
      <c r="A633" s="6" t="s">
        <v>1316</v>
      </c>
      <c r="B633" s="7" t="s">
        <v>1317</v>
      </c>
      <c r="C633" s="7" t="s">
        <v>37</v>
      </c>
      <c r="D633" s="7" t="s">
        <v>1318</v>
      </c>
      <c r="E633" s="7" t="s">
        <v>1319</v>
      </c>
      <c r="F633" s="7" t="s">
        <v>100</v>
      </c>
      <c r="G633" s="5" t="s">
        <v>15</v>
      </c>
      <c r="H633" s="7"/>
      <c r="I633" s="7"/>
    </row>
    <row r="634" customFormat="false" ht="12.75" hidden="false" customHeight="true" outlineLevel="0" collapsed="false">
      <c r="A634" s="3" t="s">
        <v>1316</v>
      </c>
      <c r="B634" s="4" t="s">
        <v>1317</v>
      </c>
      <c r="C634" s="4" t="s">
        <v>37</v>
      </c>
      <c r="D634" s="4" t="s">
        <v>1318</v>
      </c>
      <c r="E634" s="4" t="s">
        <v>1320</v>
      </c>
      <c r="F634" s="4" t="s">
        <v>14</v>
      </c>
      <c r="G634" s="5" t="s">
        <v>15</v>
      </c>
      <c r="H634" s="4"/>
      <c r="I634" s="4"/>
    </row>
    <row r="635" customFormat="false" ht="12.75" hidden="false" customHeight="true" outlineLevel="0" collapsed="false">
      <c r="A635" s="6" t="s">
        <v>1316</v>
      </c>
      <c r="B635" s="7" t="s">
        <v>1317</v>
      </c>
      <c r="C635" s="7" t="s">
        <v>37</v>
      </c>
      <c r="D635" s="7" t="s">
        <v>1318</v>
      </c>
      <c r="E635" s="7" t="s">
        <v>1321</v>
      </c>
      <c r="F635" s="7" t="s">
        <v>270</v>
      </c>
      <c r="G635" s="5" t="s">
        <v>15</v>
      </c>
      <c r="H635" s="7"/>
      <c r="I635" s="7"/>
    </row>
    <row r="636" customFormat="false" ht="12.75" hidden="false" customHeight="true" outlineLevel="0" collapsed="false">
      <c r="A636" s="3" t="s">
        <v>1316</v>
      </c>
      <c r="B636" s="4" t="s">
        <v>1317</v>
      </c>
      <c r="C636" s="4" t="s">
        <v>37</v>
      </c>
      <c r="D636" s="4" t="s">
        <v>1318</v>
      </c>
      <c r="E636" s="4" t="s">
        <v>1322</v>
      </c>
      <c r="F636" s="4" t="s">
        <v>270</v>
      </c>
      <c r="G636" s="5" t="s">
        <v>15</v>
      </c>
      <c r="H636" s="4"/>
      <c r="I636" s="4"/>
    </row>
    <row r="637" customFormat="false" ht="12.75" hidden="false" customHeight="true" outlineLevel="0" collapsed="false">
      <c r="A637" s="6" t="s">
        <v>1316</v>
      </c>
      <c r="B637" s="7" t="s">
        <v>1317</v>
      </c>
      <c r="C637" s="7" t="s">
        <v>37</v>
      </c>
      <c r="D637" s="7" t="s">
        <v>1318</v>
      </c>
      <c r="E637" s="7" t="s">
        <v>1323</v>
      </c>
      <c r="F637" s="7" t="s">
        <v>568</v>
      </c>
      <c r="G637" s="5" t="s">
        <v>15</v>
      </c>
      <c r="H637" s="7"/>
      <c r="I637" s="7"/>
    </row>
    <row r="638" customFormat="false" ht="12.75" hidden="false" customHeight="true" outlineLevel="0" collapsed="false">
      <c r="A638" s="3" t="s">
        <v>1316</v>
      </c>
      <c r="B638" s="4" t="s">
        <v>1317</v>
      </c>
      <c r="C638" s="4" t="s">
        <v>37</v>
      </c>
      <c r="D638" s="4" t="s">
        <v>1318</v>
      </c>
      <c r="E638" s="4" t="s">
        <v>1324</v>
      </c>
      <c r="F638" s="4" t="s">
        <v>568</v>
      </c>
      <c r="G638" s="5" t="s">
        <v>15</v>
      </c>
      <c r="H638" s="4"/>
      <c r="I638" s="4"/>
    </row>
    <row r="639" customFormat="false" ht="12.75" hidden="false" customHeight="true" outlineLevel="0" collapsed="false">
      <c r="A639" s="6" t="s">
        <v>1325</v>
      </c>
      <c r="B639" s="7" t="s">
        <v>286</v>
      </c>
      <c r="C639" s="7" t="s">
        <v>37</v>
      </c>
      <c r="D639" s="7" t="s">
        <v>1326</v>
      </c>
      <c r="E639" s="7" t="s">
        <v>1327</v>
      </c>
      <c r="F639" s="7" t="s">
        <v>43</v>
      </c>
      <c r="G639" s="5" t="s">
        <v>15</v>
      </c>
      <c r="H639" s="7"/>
      <c r="I639" s="7"/>
    </row>
    <row r="640" customFormat="false" ht="12.75" hidden="false" customHeight="true" outlineLevel="0" collapsed="false">
      <c r="A640" s="3" t="s">
        <v>1325</v>
      </c>
      <c r="B640" s="4" t="s">
        <v>286</v>
      </c>
      <c r="C640" s="4" t="s">
        <v>37</v>
      </c>
      <c r="D640" s="4" t="s">
        <v>1326</v>
      </c>
      <c r="E640" s="4" t="s">
        <v>1328</v>
      </c>
      <c r="F640" s="4" t="s">
        <v>43</v>
      </c>
      <c r="G640" s="5" t="s">
        <v>15</v>
      </c>
      <c r="H640" s="4"/>
      <c r="I640" s="4"/>
    </row>
    <row r="641" customFormat="false" ht="12.75" hidden="false" customHeight="true" outlineLevel="0" collapsed="false">
      <c r="A641" s="6" t="s">
        <v>1325</v>
      </c>
      <c r="B641" s="7" t="s">
        <v>286</v>
      </c>
      <c r="C641" s="7" t="s">
        <v>37</v>
      </c>
      <c r="D641" s="7" t="s">
        <v>1326</v>
      </c>
      <c r="E641" s="7" t="s">
        <v>1329</v>
      </c>
      <c r="F641" s="7" t="s">
        <v>100</v>
      </c>
      <c r="G641" s="5" t="s">
        <v>15</v>
      </c>
      <c r="H641" s="7"/>
      <c r="I641" s="7"/>
    </row>
    <row r="642" customFormat="false" ht="12.75" hidden="false" customHeight="true" outlineLevel="0" collapsed="false">
      <c r="A642" s="3" t="s">
        <v>1325</v>
      </c>
      <c r="B642" s="4" t="s">
        <v>286</v>
      </c>
      <c r="C642" s="4" t="s">
        <v>37</v>
      </c>
      <c r="D642" s="4" t="s">
        <v>1326</v>
      </c>
      <c r="E642" s="4" t="s">
        <v>1330</v>
      </c>
      <c r="F642" s="4" t="s">
        <v>37</v>
      </c>
      <c r="G642" s="5" t="s">
        <v>15</v>
      </c>
      <c r="H642" s="4"/>
      <c r="I642" s="4"/>
    </row>
    <row r="643" customFormat="false" ht="12.75" hidden="false" customHeight="true" outlineLevel="0" collapsed="false">
      <c r="A643" s="6" t="s">
        <v>1325</v>
      </c>
      <c r="B643" s="7" t="s">
        <v>286</v>
      </c>
      <c r="C643" s="7" t="s">
        <v>37</v>
      </c>
      <c r="D643" s="7" t="s">
        <v>1326</v>
      </c>
      <c r="E643" s="7" t="s">
        <v>1331</v>
      </c>
      <c r="F643" s="7" t="s">
        <v>568</v>
      </c>
      <c r="G643" s="5" t="s">
        <v>15</v>
      </c>
      <c r="H643" s="7"/>
      <c r="I643" s="7"/>
    </row>
    <row r="644" customFormat="false" ht="12.75" hidden="false" customHeight="true" outlineLevel="0" collapsed="false">
      <c r="A644" s="3" t="s">
        <v>1325</v>
      </c>
      <c r="B644" s="4" t="s">
        <v>286</v>
      </c>
      <c r="C644" s="4" t="s">
        <v>37</v>
      </c>
      <c r="D644" s="4" t="s">
        <v>1326</v>
      </c>
      <c r="E644" s="4" t="s">
        <v>1332</v>
      </c>
      <c r="F644" s="4" t="s">
        <v>568</v>
      </c>
      <c r="G644" s="5" t="s">
        <v>15</v>
      </c>
      <c r="H644" s="4"/>
      <c r="I644" s="4"/>
    </row>
    <row r="645" customFormat="false" ht="12.75" hidden="false" customHeight="true" outlineLevel="0" collapsed="false">
      <c r="A645" s="6" t="s">
        <v>1325</v>
      </c>
      <c r="B645" s="7" t="s">
        <v>286</v>
      </c>
      <c r="C645" s="7" t="s">
        <v>37</v>
      </c>
      <c r="D645" s="7" t="s">
        <v>1326</v>
      </c>
      <c r="E645" s="7" t="s">
        <v>1333</v>
      </c>
      <c r="F645" s="7" t="s">
        <v>568</v>
      </c>
      <c r="G645" s="5" t="s">
        <v>15</v>
      </c>
      <c r="H645" s="7"/>
      <c r="I645" s="7"/>
    </row>
    <row r="646" customFormat="false" ht="12.75" hidden="false" customHeight="true" outlineLevel="0" collapsed="false">
      <c r="A646" s="3" t="s">
        <v>1334</v>
      </c>
      <c r="B646" s="4" t="s">
        <v>1335</v>
      </c>
      <c r="C646" s="4" t="s">
        <v>37</v>
      </c>
      <c r="D646" s="4" t="s">
        <v>1336</v>
      </c>
      <c r="E646" s="4" t="s">
        <v>1337</v>
      </c>
      <c r="F646" s="4" t="s">
        <v>568</v>
      </c>
      <c r="G646" s="5" t="s">
        <v>15</v>
      </c>
      <c r="H646" s="4"/>
      <c r="I646" s="4"/>
    </row>
    <row r="647" customFormat="false" ht="12.75" hidden="false" customHeight="true" outlineLevel="0" collapsed="false">
      <c r="A647" s="6" t="s">
        <v>1338</v>
      </c>
      <c r="B647" s="7" t="s">
        <v>1339</v>
      </c>
      <c r="C647" s="7" t="s">
        <v>37</v>
      </c>
      <c r="D647" s="7" t="s">
        <v>1340</v>
      </c>
      <c r="E647" s="7" t="s">
        <v>1341</v>
      </c>
      <c r="F647" s="7" t="s">
        <v>14</v>
      </c>
      <c r="G647" s="5" t="s">
        <v>15</v>
      </c>
      <c r="H647" s="7"/>
      <c r="I647" s="7"/>
    </row>
    <row r="648" customFormat="false" ht="12.75" hidden="false" customHeight="true" outlineLevel="0" collapsed="false">
      <c r="A648" s="3" t="s">
        <v>1338</v>
      </c>
      <c r="B648" s="4" t="s">
        <v>1339</v>
      </c>
      <c r="C648" s="4" t="s">
        <v>37</v>
      </c>
      <c r="D648" s="4" t="s">
        <v>1340</v>
      </c>
      <c r="E648" s="4" t="s">
        <v>1342</v>
      </c>
      <c r="F648" s="4" t="s">
        <v>14</v>
      </c>
      <c r="G648" s="5" t="s">
        <v>15</v>
      </c>
      <c r="H648" s="4"/>
      <c r="I648" s="4"/>
    </row>
    <row r="649" customFormat="false" ht="12.75" hidden="false" customHeight="true" outlineLevel="0" collapsed="false">
      <c r="A649" s="6" t="s">
        <v>1338</v>
      </c>
      <c r="B649" s="7" t="s">
        <v>1339</v>
      </c>
      <c r="C649" s="7" t="s">
        <v>37</v>
      </c>
      <c r="D649" s="7" t="s">
        <v>1340</v>
      </c>
      <c r="E649" s="7" t="s">
        <v>1343</v>
      </c>
      <c r="F649" s="7" t="s">
        <v>14</v>
      </c>
      <c r="G649" s="5" t="s">
        <v>15</v>
      </c>
      <c r="H649" s="7"/>
      <c r="I649" s="7"/>
    </row>
    <row r="650" customFormat="false" ht="12.75" hidden="false" customHeight="true" outlineLevel="0" collapsed="false">
      <c r="A650" s="3" t="s">
        <v>1338</v>
      </c>
      <c r="B650" s="4" t="s">
        <v>1339</v>
      </c>
      <c r="C650" s="4" t="s">
        <v>37</v>
      </c>
      <c r="D650" s="4" t="s">
        <v>1340</v>
      </c>
      <c r="E650" s="4" t="s">
        <v>1344</v>
      </c>
      <c r="F650" s="4" t="s">
        <v>568</v>
      </c>
      <c r="G650" s="5" t="s">
        <v>15</v>
      </c>
      <c r="H650" s="4"/>
      <c r="I650" s="4"/>
    </row>
    <row r="651" customFormat="false" ht="12.75" hidden="false" customHeight="true" outlineLevel="0" collapsed="false">
      <c r="A651" s="6" t="s">
        <v>1338</v>
      </c>
      <c r="B651" s="7" t="s">
        <v>1339</v>
      </c>
      <c r="C651" s="7" t="s">
        <v>37</v>
      </c>
      <c r="D651" s="7" t="s">
        <v>1340</v>
      </c>
      <c r="E651" s="7" t="s">
        <v>1345</v>
      </c>
      <c r="F651" s="7" t="s">
        <v>568</v>
      </c>
      <c r="G651" s="5" t="s">
        <v>15</v>
      </c>
      <c r="H651" s="7"/>
      <c r="I651" s="7"/>
    </row>
    <row r="652" customFormat="false" ht="12.75" hidden="false" customHeight="true" outlineLevel="0" collapsed="false">
      <c r="A652" s="3" t="s">
        <v>1346</v>
      </c>
      <c r="B652" s="4" t="s">
        <v>1347</v>
      </c>
      <c r="C652" s="4" t="s">
        <v>37</v>
      </c>
      <c r="D652" s="4" t="s">
        <v>1348</v>
      </c>
      <c r="E652" s="4" t="s">
        <v>1349</v>
      </c>
      <c r="F652" s="4" t="s">
        <v>568</v>
      </c>
      <c r="G652" s="5" t="s">
        <v>15</v>
      </c>
      <c r="H652" s="4"/>
      <c r="I652" s="4"/>
    </row>
    <row r="653" customFormat="false" ht="12.75" hidden="false" customHeight="true" outlineLevel="0" collapsed="false">
      <c r="A653" s="6" t="s">
        <v>1346</v>
      </c>
      <c r="B653" s="7" t="s">
        <v>1347</v>
      </c>
      <c r="C653" s="7" t="s">
        <v>37</v>
      </c>
      <c r="D653" s="7" t="s">
        <v>1348</v>
      </c>
      <c r="E653" s="7" t="s">
        <v>1350</v>
      </c>
      <c r="F653" s="7" t="s">
        <v>568</v>
      </c>
      <c r="G653" s="5" t="s">
        <v>15</v>
      </c>
      <c r="H653" s="7"/>
      <c r="I653" s="7"/>
    </row>
    <row r="654" customFormat="false" ht="12.75" hidden="false" customHeight="true" outlineLevel="0" collapsed="false">
      <c r="A654" s="3" t="s">
        <v>1351</v>
      </c>
      <c r="B654" s="4" t="s">
        <v>1352</v>
      </c>
      <c r="C654" s="4" t="s">
        <v>37</v>
      </c>
      <c r="D654" s="4" t="s">
        <v>1353</v>
      </c>
      <c r="E654" s="4" t="s">
        <v>1354</v>
      </c>
      <c r="F654" s="4" t="s">
        <v>568</v>
      </c>
      <c r="G654" s="5" t="s">
        <v>15</v>
      </c>
      <c r="H654" s="4"/>
      <c r="I654" s="4"/>
    </row>
    <row r="655" customFormat="false" ht="12.75" hidden="false" customHeight="true" outlineLevel="0" collapsed="false">
      <c r="A655" s="6" t="s">
        <v>1355</v>
      </c>
      <c r="B655" s="7" t="s">
        <v>1356</v>
      </c>
      <c r="C655" s="7" t="s">
        <v>37</v>
      </c>
      <c r="D655" s="7" t="s">
        <v>1357</v>
      </c>
      <c r="E655" s="7" t="s">
        <v>1358</v>
      </c>
      <c r="F655" s="7" t="s">
        <v>568</v>
      </c>
      <c r="G655" s="5" t="s">
        <v>15</v>
      </c>
      <c r="H655" s="7"/>
      <c r="I655" s="7"/>
    </row>
    <row r="656" customFormat="false" ht="12.75" hidden="false" customHeight="true" outlineLevel="0" collapsed="false">
      <c r="A656" s="3" t="s">
        <v>1355</v>
      </c>
      <c r="B656" s="4" t="s">
        <v>1356</v>
      </c>
      <c r="C656" s="4" t="s">
        <v>37</v>
      </c>
      <c r="D656" s="4" t="s">
        <v>1357</v>
      </c>
      <c r="E656" s="4" t="s">
        <v>1359</v>
      </c>
      <c r="F656" s="4" t="s">
        <v>568</v>
      </c>
      <c r="G656" s="5" t="s">
        <v>15</v>
      </c>
      <c r="H656" s="4"/>
      <c r="I656" s="4"/>
    </row>
    <row r="657" customFormat="false" ht="12.75" hidden="false" customHeight="true" outlineLevel="0" collapsed="false">
      <c r="A657" s="6" t="s">
        <v>1360</v>
      </c>
      <c r="B657" s="7" t="s">
        <v>1361</v>
      </c>
      <c r="C657" s="7" t="s">
        <v>37</v>
      </c>
      <c r="D657" s="7" t="s">
        <v>1362</v>
      </c>
      <c r="E657" s="7" t="s">
        <v>1363</v>
      </c>
      <c r="F657" s="7" t="s">
        <v>568</v>
      </c>
      <c r="G657" s="5" t="s">
        <v>15</v>
      </c>
      <c r="H657" s="7"/>
      <c r="I657" s="7"/>
    </row>
    <row r="658" customFormat="false" ht="12.75" hidden="false" customHeight="true" outlineLevel="0" collapsed="false">
      <c r="A658" s="3" t="s">
        <v>1360</v>
      </c>
      <c r="B658" s="4" t="s">
        <v>1361</v>
      </c>
      <c r="C658" s="4" t="s">
        <v>37</v>
      </c>
      <c r="D658" s="4" t="s">
        <v>1362</v>
      </c>
      <c r="E658" s="4" t="s">
        <v>1364</v>
      </c>
      <c r="F658" s="4" t="s">
        <v>568</v>
      </c>
      <c r="G658" s="5" t="s">
        <v>15</v>
      </c>
      <c r="H658" s="4"/>
      <c r="I658" s="4"/>
    </row>
    <row r="659" customFormat="false" ht="12.75" hidden="false" customHeight="true" outlineLevel="0" collapsed="false">
      <c r="A659" s="6" t="s">
        <v>1360</v>
      </c>
      <c r="B659" s="7" t="s">
        <v>1361</v>
      </c>
      <c r="C659" s="7" t="s">
        <v>37</v>
      </c>
      <c r="D659" s="7" t="s">
        <v>1362</v>
      </c>
      <c r="E659" s="7" t="s">
        <v>1365</v>
      </c>
      <c r="F659" s="7" t="s">
        <v>568</v>
      </c>
      <c r="G659" s="5" t="s">
        <v>15</v>
      </c>
      <c r="H659" s="7"/>
      <c r="I659" s="7"/>
    </row>
    <row r="660" customFormat="false" ht="12.75" hidden="false" customHeight="true" outlineLevel="0" collapsed="false">
      <c r="A660" s="3" t="s">
        <v>1366</v>
      </c>
      <c r="B660" s="4" t="s">
        <v>1367</v>
      </c>
      <c r="C660" s="4" t="s">
        <v>37</v>
      </c>
      <c r="D660" s="4" t="s">
        <v>1368</v>
      </c>
      <c r="E660" s="4" t="s">
        <v>1369</v>
      </c>
      <c r="F660" s="4" t="s">
        <v>568</v>
      </c>
      <c r="G660" s="5" t="s">
        <v>15</v>
      </c>
      <c r="H660" s="4"/>
      <c r="I660" s="4"/>
    </row>
    <row r="661" customFormat="false" ht="12.75" hidden="false" customHeight="true" outlineLevel="0" collapsed="false">
      <c r="A661" s="6" t="s">
        <v>1370</v>
      </c>
      <c r="B661" s="7" t="s">
        <v>531</v>
      </c>
      <c r="C661" s="7" t="s">
        <v>37</v>
      </c>
      <c r="D661" s="7" t="s">
        <v>1371</v>
      </c>
      <c r="E661" s="7" t="s">
        <v>1372</v>
      </c>
      <c r="F661" s="7" t="s">
        <v>568</v>
      </c>
      <c r="G661" s="5" t="s">
        <v>15</v>
      </c>
      <c r="H661" s="7"/>
      <c r="I661" s="7"/>
    </row>
    <row r="662" customFormat="false" ht="12.75" hidden="false" customHeight="true" outlineLevel="0" collapsed="false">
      <c r="A662" s="3" t="s">
        <v>1370</v>
      </c>
      <c r="B662" s="4" t="s">
        <v>531</v>
      </c>
      <c r="C662" s="4" t="s">
        <v>37</v>
      </c>
      <c r="D662" s="4" t="s">
        <v>1371</v>
      </c>
      <c r="E662" s="4" t="s">
        <v>1373</v>
      </c>
      <c r="F662" s="4" t="s">
        <v>568</v>
      </c>
      <c r="G662" s="5" t="s">
        <v>15</v>
      </c>
      <c r="H662" s="4"/>
      <c r="I662" s="4"/>
    </row>
    <row r="663" customFormat="false" ht="12.75" hidden="false" customHeight="true" outlineLevel="0" collapsed="false">
      <c r="A663" s="6" t="s">
        <v>1370</v>
      </c>
      <c r="B663" s="7" t="s">
        <v>531</v>
      </c>
      <c r="C663" s="7" t="s">
        <v>37</v>
      </c>
      <c r="D663" s="7" t="s">
        <v>1371</v>
      </c>
      <c r="E663" s="7" t="s">
        <v>1374</v>
      </c>
      <c r="F663" s="7" t="s">
        <v>568</v>
      </c>
      <c r="G663" s="5" t="s">
        <v>15</v>
      </c>
      <c r="H663" s="7"/>
      <c r="I663" s="7"/>
    </row>
    <row r="664" customFormat="false" ht="12.75" hidden="false" customHeight="true" outlineLevel="0" collapsed="false">
      <c r="A664" s="3" t="s">
        <v>1375</v>
      </c>
      <c r="B664" s="4" t="s">
        <v>85</v>
      </c>
      <c r="C664" s="4" t="s">
        <v>37</v>
      </c>
      <c r="D664" s="4" t="s">
        <v>1376</v>
      </c>
      <c r="E664" s="4" t="s">
        <v>1377</v>
      </c>
      <c r="F664" s="4" t="s">
        <v>568</v>
      </c>
      <c r="G664" s="5" t="s">
        <v>15</v>
      </c>
      <c r="H664" s="4"/>
      <c r="I664" s="4"/>
    </row>
    <row r="665" customFormat="false" ht="12.75" hidden="false" customHeight="true" outlineLevel="0" collapsed="false">
      <c r="A665" s="6" t="s">
        <v>1378</v>
      </c>
      <c r="B665" s="7" t="s">
        <v>1379</v>
      </c>
      <c r="C665" s="7" t="s">
        <v>37</v>
      </c>
      <c r="D665" s="7" t="s">
        <v>1380</v>
      </c>
      <c r="E665" s="7" t="s">
        <v>1381</v>
      </c>
      <c r="F665" s="7" t="s">
        <v>568</v>
      </c>
      <c r="G665" s="5" t="s">
        <v>15</v>
      </c>
      <c r="H665" s="7"/>
      <c r="I665" s="7"/>
    </row>
    <row r="666" customFormat="false" ht="12.75" hidden="false" customHeight="true" outlineLevel="0" collapsed="false">
      <c r="A666" s="3" t="s">
        <v>1382</v>
      </c>
      <c r="B666" s="4" t="s">
        <v>1295</v>
      </c>
      <c r="C666" s="4" t="s">
        <v>37</v>
      </c>
      <c r="D666" s="4" t="s">
        <v>1383</v>
      </c>
      <c r="E666" s="4" t="s">
        <v>1384</v>
      </c>
      <c r="F666" s="4" t="s">
        <v>568</v>
      </c>
      <c r="G666" s="5" t="s">
        <v>15</v>
      </c>
      <c r="H666" s="4"/>
      <c r="I666" s="4"/>
    </row>
    <row r="667" customFormat="false" ht="12.75" hidden="false" customHeight="true" outlineLevel="0" collapsed="false">
      <c r="A667" s="6" t="s">
        <v>1385</v>
      </c>
      <c r="B667" s="7" t="s">
        <v>1386</v>
      </c>
      <c r="C667" s="7" t="s">
        <v>37</v>
      </c>
      <c r="D667" s="7" t="s">
        <v>1387</v>
      </c>
      <c r="E667" s="7" t="s">
        <v>1388</v>
      </c>
      <c r="F667" s="7" t="s">
        <v>568</v>
      </c>
      <c r="G667" s="5" t="s">
        <v>15</v>
      </c>
      <c r="H667" s="7"/>
      <c r="I667" s="7"/>
    </row>
    <row r="668" customFormat="false" ht="12.75" hidden="false" customHeight="true" outlineLevel="0" collapsed="false">
      <c r="A668" s="3" t="s">
        <v>1389</v>
      </c>
      <c r="B668" s="4" t="s">
        <v>1390</v>
      </c>
      <c r="C668" s="4" t="s">
        <v>37</v>
      </c>
      <c r="D668" s="4" t="s">
        <v>1391</v>
      </c>
      <c r="E668" s="4" t="s">
        <v>1392</v>
      </c>
      <c r="F668" s="4" t="s">
        <v>568</v>
      </c>
      <c r="G668" s="5" t="s">
        <v>15</v>
      </c>
      <c r="H668" s="4"/>
      <c r="I668" s="4"/>
    </row>
    <row r="669" customFormat="false" ht="12.75" hidden="false" customHeight="true" outlineLevel="0" collapsed="false">
      <c r="A669" s="6" t="s">
        <v>1393</v>
      </c>
      <c r="B669" s="7" t="s">
        <v>1394</v>
      </c>
      <c r="C669" s="7" t="s">
        <v>37</v>
      </c>
      <c r="D669" s="7" t="s">
        <v>1395</v>
      </c>
      <c r="E669" s="7" t="s">
        <v>1396</v>
      </c>
      <c r="F669" s="7" t="s">
        <v>568</v>
      </c>
      <c r="G669" s="5" t="s">
        <v>15</v>
      </c>
      <c r="H669" s="7"/>
      <c r="I669" s="7"/>
    </row>
    <row r="670" customFormat="false" ht="12.75" hidden="false" customHeight="true" outlineLevel="0" collapsed="false">
      <c r="A670" s="3" t="s">
        <v>1397</v>
      </c>
      <c r="B670" s="4" t="s">
        <v>1398</v>
      </c>
      <c r="C670" s="4" t="s">
        <v>37</v>
      </c>
      <c r="D670" s="4" t="s">
        <v>1399</v>
      </c>
      <c r="E670" s="4" t="s">
        <v>1400</v>
      </c>
      <c r="F670" s="4" t="s">
        <v>568</v>
      </c>
      <c r="G670" s="5" t="s">
        <v>15</v>
      </c>
      <c r="H670" s="4"/>
      <c r="I670" s="4"/>
    </row>
    <row r="671" customFormat="false" ht="12.75" hidden="false" customHeight="true" outlineLevel="0" collapsed="false">
      <c r="A671" s="6" t="s">
        <v>1401</v>
      </c>
      <c r="B671" s="7" t="s">
        <v>1402</v>
      </c>
      <c r="C671" s="7" t="s">
        <v>37</v>
      </c>
      <c r="D671" s="7" t="s">
        <v>1403</v>
      </c>
      <c r="E671" s="7" t="s">
        <v>1404</v>
      </c>
      <c r="F671" s="7" t="s">
        <v>568</v>
      </c>
      <c r="G671" s="5" t="s">
        <v>15</v>
      </c>
      <c r="H671" s="7"/>
      <c r="I671" s="7"/>
    </row>
    <row r="672" customFormat="false" ht="12.75" hidden="false" customHeight="true" outlineLevel="0" collapsed="false">
      <c r="A672" s="3" t="s">
        <v>1401</v>
      </c>
      <c r="B672" s="4" t="s">
        <v>1402</v>
      </c>
      <c r="C672" s="4" t="s">
        <v>37</v>
      </c>
      <c r="D672" s="4" t="s">
        <v>1403</v>
      </c>
      <c r="E672" s="4" t="s">
        <v>1405</v>
      </c>
      <c r="F672" s="4" t="s">
        <v>568</v>
      </c>
      <c r="G672" s="5" t="s">
        <v>15</v>
      </c>
      <c r="H672" s="4"/>
      <c r="I672" s="4"/>
    </row>
    <row r="673" customFormat="false" ht="12.75" hidden="false" customHeight="true" outlineLevel="0" collapsed="false">
      <c r="A673" s="6" t="s">
        <v>1406</v>
      </c>
      <c r="B673" s="7" t="s">
        <v>1017</v>
      </c>
      <c r="C673" s="7" t="s">
        <v>37</v>
      </c>
      <c r="D673" s="7" t="s">
        <v>1407</v>
      </c>
      <c r="E673" s="7" t="s">
        <v>1408</v>
      </c>
      <c r="F673" s="7" t="s">
        <v>568</v>
      </c>
      <c r="G673" s="5" t="s">
        <v>15</v>
      </c>
      <c r="H673" s="7"/>
      <c r="I673" s="7"/>
    </row>
    <row r="674" customFormat="false" ht="12.75" hidden="false" customHeight="true" outlineLevel="0" collapsed="false">
      <c r="A674" s="3" t="s">
        <v>1406</v>
      </c>
      <c r="B674" s="4" t="s">
        <v>1017</v>
      </c>
      <c r="C674" s="4" t="s">
        <v>37</v>
      </c>
      <c r="D674" s="4" t="s">
        <v>1407</v>
      </c>
      <c r="E674" s="4" t="s">
        <v>1409</v>
      </c>
      <c r="F674" s="4" t="s">
        <v>568</v>
      </c>
      <c r="G674" s="5" t="s">
        <v>15</v>
      </c>
      <c r="H674" s="4"/>
      <c r="I674" s="4"/>
    </row>
    <row r="675" customFormat="false" ht="12.75" hidden="false" customHeight="true" outlineLevel="0" collapsed="false">
      <c r="A675" s="6" t="s">
        <v>1410</v>
      </c>
      <c r="B675" s="7" t="s">
        <v>1411</v>
      </c>
      <c r="C675" s="7" t="s">
        <v>37</v>
      </c>
      <c r="D675" s="7" t="s">
        <v>1412</v>
      </c>
      <c r="E675" s="7" t="s">
        <v>1413</v>
      </c>
      <c r="F675" s="7" t="s">
        <v>568</v>
      </c>
      <c r="G675" s="5" t="s">
        <v>15</v>
      </c>
      <c r="H675" s="7"/>
      <c r="I675" s="7"/>
    </row>
    <row r="676" customFormat="false" ht="12.75" hidden="false" customHeight="true" outlineLevel="0" collapsed="false">
      <c r="A676" s="3" t="s">
        <v>1410</v>
      </c>
      <c r="B676" s="4" t="s">
        <v>1411</v>
      </c>
      <c r="C676" s="4" t="s">
        <v>37</v>
      </c>
      <c r="D676" s="4" t="s">
        <v>1412</v>
      </c>
      <c r="E676" s="4" t="s">
        <v>1414</v>
      </c>
      <c r="F676" s="4" t="s">
        <v>568</v>
      </c>
      <c r="G676" s="5" t="s">
        <v>15</v>
      </c>
      <c r="H676" s="4"/>
      <c r="I676" s="4"/>
    </row>
    <row r="677" customFormat="false" ht="12.75" hidden="false" customHeight="true" outlineLevel="0" collapsed="false">
      <c r="A677" s="6" t="s">
        <v>1410</v>
      </c>
      <c r="B677" s="7" t="s">
        <v>1411</v>
      </c>
      <c r="C677" s="7" t="s">
        <v>37</v>
      </c>
      <c r="D677" s="7" t="s">
        <v>1412</v>
      </c>
      <c r="E677" s="7" t="s">
        <v>1415</v>
      </c>
      <c r="F677" s="7" t="s">
        <v>568</v>
      </c>
      <c r="G677" s="5" t="s">
        <v>15</v>
      </c>
      <c r="H677" s="7"/>
      <c r="I677" s="7"/>
    </row>
    <row r="678" customFormat="false" ht="12.75" hidden="false" customHeight="true" outlineLevel="0" collapsed="false">
      <c r="A678" s="3" t="s">
        <v>1416</v>
      </c>
      <c r="B678" s="4" t="s">
        <v>365</v>
      </c>
      <c r="C678" s="4" t="s">
        <v>37</v>
      </c>
      <c r="D678" s="4" t="s">
        <v>1417</v>
      </c>
      <c r="E678" s="4" t="s">
        <v>1418</v>
      </c>
      <c r="F678" s="4" t="s">
        <v>100</v>
      </c>
      <c r="G678" s="5" t="s">
        <v>15</v>
      </c>
      <c r="H678" s="4"/>
      <c r="I678" s="4"/>
    </row>
    <row r="679" customFormat="false" ht="12.75" hidden="false" customHeight="true" outlineLevel="0" collapsed="false">
      <c r="A679" s="6" t="s">
        <v>1416</v>
      </c>
      <c r="B679" s="7" t="s">
        <v>365</v>
      </c>
      <c r="C679" s="7" t="s">
        <v>37</v>
      </c>
      <c r="D679" s="7" t="s">
        <v>1417</v>
      </c>
      <c r="E679" s="7" t="s">
        <v>1419</v>
      </c>
      <c r="F679" s="7" t="s">
        <v>215</v>
      </c>
      <c r="G679" s="5" t="s">
        <v>15</v>
      </c>
      <c r="H679" s="7"/>
      <c r="I679" s="7"/>
    </row>
    <row r="680" customFormat="false" ht="12.75" hidden="false" customHeight="true" outlineLevel="0" collapsed="false">
      <c r="A680" s="3" t="s">
        <v>1416</v>
      </c>
      <c r="B680" s="4" t="s">
        <v>365</v>
      </c>
      <c r="C680" s="4" t="s">
        <v>37</v>
      </c>
      <c r="D680" s="4" t="s">
        <v>1417</v>
      </c>
      <c r="E680" s="4" t="s">
        <v>1420</v>
      </c>
      <c r="F680" s="4" t="s">
        <v>270</v>
      </c>
      <c r="G680" s="5" t="s">
        <v>15</v>
      </c>
      <c r="H680" s="4"/>
      <c r="I680" s="4"/>
    </row>
    <row r="681" customFormat="false" ht="12.75" hidden="false" customHeight="true" outlineLevel="0" collapsed="false">
      <c r="A681" s="6" t="s">
        <v>1416</v>
      </c>
      <c r="B681" s="7" t="s">
        <v>365</v>
      </c>
      <c r="C681" s="7" t="s">
        <v>37</v>
      </c>
      <c r="D681" s="7" t="s">
        <v>1417</v>
      </c>
      <c r="E681" s="7" t="s">
        <v>1421</v>
      </c>
      <c r="F681" s="7" t="s">
        <v>568</v>
      </c>
      <c r="G681" s="5" t="s">
        <v>15</v>
      </c>
      <c r="H681" s="7"/>
      <c r="I681" s="7"/>
    </row>
    <row r="682" customFormat="false" ht="12.75" hidden="false" customHeight="true" outlineLevel="0" collapsed="false">
      <c r="A682" s="3" t="s">
        <v>1416</v>
      </c>
      <c r="B682" s="4" t="s">
        <v>365</v>
      </c>
      <c r="C682" s="4" t="s">
        <v>37</v>
      </c>
      <c r="D682" s="4" t="s">
        <v>1417</v>
      </c>
      <c r="E682" s="4" t="s">
        <v>1422</v>
      </c>
      <c r="F682" s="4" t="s">
        <v>568</v>
      </c>
      <c r="G682" s="5" t="s">
        <v>15</v>
      </c>
      <c r="H682" s="4"/>
      <c r="I682" s="4"/>
    </row>
    <row r="683" customFormat="false" ht="12.75" hidden="false" customHeight="true" outlineLevel="0" collapsed="false">
      <c r="A683" s="6" t="s">
        <v>1423</v>
      </c>
      <c r="B683" s="7" t="s">
        <v>1424</v>
      </c>
      <c r="C683" s="7" t="s">
        <v>37</v>
      </c>
      <c r="D683" s="7" t="s">
        <v>1425</v>
      </c>
      <c r="E683" s="7" t="s">
        <v>1426</v>
      </c>
      <c r="F683" s="7" t="s">
        <v>568</v>
      </c>
      <c r="G683" s="5" t="s">
        <v>15</v>
      </c>
      <c r="H683" s="7"/>
      <c r="I683" s="7"/>
    </row>
    <row r="684" customFormat="false" ht="12.75" hidden="false" customHeight="true" outlineLevel="0" collapsed="false">
      <c r="A684" s="3" t="s">
        <v>1427</v>
      </c>
      <c r="B684" s="4" t="s">
        <v>1428</v>
      </c>
      <c r="C684" s="4" t="s">
        <v>37</v>
      </c>
      <c r="D684" s="4" t="s">
        <v>1429</v>
      </c>
      <c r="E684" s="4" t="s">
        <v>1430</v>
      </c>
      <c r="F684" s="4" t="s">
        <v>568</v>
      </c>
      <c r="G684" s="5" t="s">
        <v>15</v>
      </c>
      <c r="H684" s="4"/>
      <c r="I684" s="4"/>
    </row>
    <row r="685" customFormat="false" ht="12.75" hidden="false" customHeight="true" outlineLevel="0" collapsed="false">
      <c r="A685" s="6" t="s">
        <v>1431</v>
      </c>
      <c r="B685" s="7" t="s">
        <v>901</v>
      </c>
      <c r="C685" s="7" t="s">
        <v>37</v>
      </c>
      <c r="D685" s="7" t="s">
        <v>1432</v>
      </c>
      <c r="E685" s="7" t="s">
        <v>1433</v>
      </c>
      <c r="F685" s="7" t="s">
        <v>568</v>
      </c>
      <c r="G685" s="5" t="s">
        <v>15</v>
      </c>
      <c r="H685" s="7"/>
      <c r="I685" s="7"/>
    </row>
    <row r="686" customFormat="false" ht="12.75" hidden="false" customHeight="true" outlineLevel="0" collapsed="false">
      <c r="A686" s="3" t="s">
        <v>1434</v>
      </c>
      <c r="B686" s="4" t="s">
        <v>1435</v>
      </c>
      <c r="C686" s="4" t="s">
        <v>37</v>
      </c>
      <c r="D686" s="4" t="s">
        <v>1436</v>
      </c>
      <c r="E686" s="4" t="s">
        <v>1437</v>
      </c>
      <c r="F686" s="4" t="s">
        <v>568</v>
      </c>
      <c r="G686" s="5" t="s">
        <v>15</v>
      </c>
      <c r="H686" s="4"/>
      <c r="I686" s="4"/>
    </row>
    <row r="687" customFormat="false" ht="12.75" hidden="false" customHeight="true" outlineLevel="0" collapsed="false">
      <c r="A687" s="6" t="s">
        <v>1434</v>
      </c>
      <c r="B687" s="7" t="s">
        <v>1435</v>
      </c>
      <c r="C687" s="7" t="s">
        <v>37</v>
      </c>
      <c r="D687" s="7" t="s">
        <v>1436</v>
      </c>
      <c r="E687" s="7" t="s">
        <v>1438</v>
      </c>
      <c r="F687" s="7" t="s">
        <v>568</v>
      </c>
      <c r="G687" s="5" t="s">
        <v>15</v>
      </c>
      <c r="H687" s="7"/>
      <c r="I687" s="7"/>
    </row>
    <row r="688" customFormat="false" ht="12.75" hidden="false" customHeight="true" outlineLevel="0" collapsed="false">
      <c r="A688" s="3" t="s">
        <v>1434</v>
      </c>
      <c r="B688" s="4" t="s">
        <v>1435</v>
      </c>
      <c r="C688" s="4" t="s">
        <v>37</v>
      </c>
      <c r="D688" s="4" t="s">
        <v>1436</v>
      </c>
      <c r="E688" s="4" t="s">
        <v>1439</v>
      </c>
      <c r="F688" s="4" t="s">
        <v>568</v>
      </c>
      <c r="G688" s="5" t="s">
        <v>15</v>
      </c>
      <c r="H688" s="4"/>
      <c r="I688" s="4"/>
    </row>
    <row r="689" customFormat="false" ht="12.75" hidden="false" customHeight="true" outlineLevel="0" collapsed="false">
      <c r="A689" s="6" t="s">
        <v>1434</v>
      </c>
      <c r="B689" s="7" t="s">
        <v>1435</v>
      </c>
      <c r="C689" s="7" t="s">
        <v>37</v>
      </c>
      <c r="D689" s="7" t="s">
        <v>1436</v>
      </c>
      <c r="E689" s="7" t="s">
        <v>1440</v>
      </c>
      <c r="F689" s="7" t="s">
        <v>568</v>
      </c>
      <c r="G689" s="5" t="s">
        <v>15</v>
      </c>
      <c r="H689" s="7"/>
      <c r="I689" s="7"/>
    </row>
    <row r="690" customFormat="false" ht="12.75" hidden="false" customHeight="true" outlineLevel="0" collapsed="false">
      <c r="A690" s="3" t="s">
        <v>1441</v>
      </c>
      <c r="B690" s="4" t="s">
        <v>1442</v>
      </c>
      <c r="C690" s="4" t="s">
        <v>37</v>
      </c>
      <c r="D690" s="4" t="s">
        <v>1443</v>
      </c>
      <c r="E690" s="4" t="s">
        <v>1444</v>
      </c>
      <c r="F690" s="4" t="s">
        <v>568</v>
      </c>
      <c r="G690" s="5" t="s">
        <v>15</v>
      </c>
      <c r="H690" s="4"/>
      <c r="I690" s="4"/>
    </row>
    <row r="691" customFormat="false" ht="12.75" hidden="false" customHeight="true" outlineLevel="0" collapsed="false">
      <c r="A691" s="6" t="s">
        <v>1441</v>
      </c>
      <c r="B691" s="7" t="s">
        <v>1442</v>
      </c>
      <c r="C691" s="7" t="s">
        <v>37</v>
      </c>
      <c r="D691" s="7" t="s">
        <v>1443</v>
      </c>
      <c r="E691" s="7" t="s">
        <v>1445</v>
      </c>
      <c r="F691" s="7" t="s">
        <v>568</v>
      </c>
      <c r="G691" s="5" t="s">
        <v>15</v>
      </c>
      <c r="H691" s="7"/>
      <c r="I691" s="7"/>
    </row>
    <row r="692" customFormat="false" ht="12.75" hidden="false" customHeight="true" outlineLevel="0" collapsed="false">
      <c r="A692" s="3" t="s">
        <v>1441</v>
      </c>
      <c r="B692" s="4" t="s">
        <v>1442</v>
      </c>
      <c r="C692" s="4" t="s">
        <v>37</v>
      </c>
      <c r="D692" s="4" t="s">
        <v>1443</v>
      </c>
      <c r="E692" s="4" t="s">
        <v>1446</v>
      </c>
      <c r="F692" s="4" t="s">
        <v>568</v>
      </c>
      <c r="G692" s="5" t="s">
        <v>15</v>
      </c>
      <c r="H692" s="4"/>
      <c r="I692" s="4"/>
    </row>
    <row r="693" customFormat="false" ht="12.75" hidden="false" customHeight="true" outlineLevel="0" collapsed="false">
      <c r="A693" s="6" t="s">
        <v>1441</v>
      </c>
      <c r="B693" s="7" t="s">
        <v>1442</v>
      </c>
      <c r="C693" s="7" t="s">
        <v>37</v>
      </c>
      <c r="D693" s="7" t="s">
        <v>1443</v>
      </c>
      <c r="E693" s="7" t="s">
        <v>1447</v>
      </c>
      <c r="F693" s="7" t="s">
        <v>568</v>
      </c>
      <c r="G693" s="5" t="s">
        <v>15</v>
      </c>
      <c r="H693" s="7"/>
      <c r="I693" s="7"/>
    </row>
    <row r="694" customFormat="false" ht="12.75" hidden="false" customHeight="true" outlineLevel="0" collapsed="false">
      <c r="A694" s="3" t="s">
        <v>1448</v>
      </c>
      <c r="B694" s="4" t="s">
        <v>1449</v>
      </c>
      <c r="C694" s="4" t="s">
        <v>37</v>
      </c>
      <c r="D694" s="4" t="s">
        <v>1450</v>
      </c>
      <c r="E694" s="4" t="s">
        <v>1451</v>
      </c>
      <c r="F694" s="4" t="s">
        <v>568</v>
      </c>
      <c r="G694" s="5" t="s">
        <v>15</v>
      </c>
      <c r="H694" s="4"/>
      <c r="I694" s="4"/>
    </row>
    <row r="695" customFormat="false" ht="12.75" hidden="false" customHeight="true" outlineLevel="0" collapsed="false">
      <c r="A695" s="6" t="s">
        <v>1452</v>
      </c>
      <c r="B695" s="7" t="s">
        <v>1453</v>
      </c>
      <c r="C695" s="7" t="s">
        <v>37</v>
      </c>
      <c r="D695" s="7" t="s">
        <v>1454</v>
      </c>
      <c r="E695" s="7" t="s">
        <v>1455</v>
      </c>
      <c r="F695" s="7" t="s">
        <v>43</v>
      </c>
      <c r="G695" s="5" t="s">
        <v>15</v>
      </c>
      <c r="H695" s="7"/>
      <c r="I695" s="7"/>
    </row>
    <row r="696" customFormat="false" ht="12.75" hidden="false" customHeight="true" outlineLevel="0" collapsed="false">
      <c r="A696" s="3" t="s">
        <v>1452</v>
      </c>
      <c r="B696" s="4" t="s">
        <v>1453</v>
      </c>
      <c r="C696" s="4" t="s">
        <v>37</v>
      </c>
      <c r="D696" s="4" t="s">
        <v>1454</v>
      </c>
      <c r="E696" s="4" t="s">
        <v>1456</v>
      </c>
      <c r="F696" s="4" t="s">
        <v>43</v>
      </c>
      <c r="G696" s="5" t="s">
        <v>15</v>
      </c>
      <c r="H696" s="4"/>
      <c r="I696" s="4"/>
    </row>
    <row r="697" customFormat="false" ht="12.75" hidden="false" customHeight="true" outlineLevel="0" collapsed="false">
      <c r="A697" s="6" t="s">
        <v>1452</v>
      </c>
      <c r="B697" s="7" t="s">
        <v>1453</v>
      </c>
      <c r="C697" s="7" t="s">
        <v>37</v>
      </c>
      <c r="D697" s="7" t="s">
        <v>1454</v>
      </c>
      <c r="E697" s="7" t="s">
        <v>1457</v>
      </c>
      <c r="F697" s="7" t="s">
        <v>100</v>
      </c>
      <c r="G697" s="5" t="s">
        <v>15</v>
      </c>
      <c r="H697" s="7"/>
      <c r="I697" s="7"/>
    </row>
    <row r="698" customFormat="false" ht="12.75" hidden="false" customHeight="true" outlineLevel="0" collapsed="false">
      <c r="A698" s="3" t="s">
        <v>1452</v>
      </c>
      <c r="B698" s="4" t="s">
        <v>1453</v>
      </c>
      <c r="C698" s="4" t="s">
        <v>37</v>
      </c>
      <c r="D698" s="4" t="s">
        <v>1454</v>
      </c>
      <c r="E698" s="4" t="s">
        <v>1458</v>
      </c>
      <c r="F698" s="4" t="s">
        <v>100</v>
      </c>
      <c r="G698" s="5" t="s">
        <v>15</v>
      </c>
      <c r="H698" s="4"/>
      <c r="I698" s="4"/>
    </row>
    <row r="699" customFormat="false" ht="12.75" hidden="false" customHeight="true" outlineLevel="0" collapsed="false">
      <c r="A699" s="6" t="s">
        <v>1452</v>
      </c>
      <c r="B699" s="7" t="s">
        <v>1453</v>
      </c>
      <c r="C699" s="7" t="s">
        <v>37</v>
      </c>
      <c r="D699" s="7" t="s">
        <v>1454</v>
      </c>
      <c r="E699" s="7" t="s">
        <v>1459</v>
      </c>
      <c r="F699" s="7" t="s">
        <v>568</v>
      </c>
      <c r="G699" s="5" t="s">
        <v>15</v>
      </c>
      <c r="H699" s="7"/>
      <c r="I699" s="7"/>
    </row>
    <row r="700" customFormat="false" ht="12.75" hidden="false" customHeight="true" outlineLevel="0" collapsed="false">
      <c r="A700" s="3" t="s">
        <v>1452</v>
      </c>
      <c r="B700" s="4" t="s">
        <v>1453</v>
      </c>
      <c r="C700" s="4" t="s">
        <v>37</v>
      </c>
      <c r="D700" s="4" t="s">
        <v>1454</v>
      </c>
      <c r="E700" s="4" t="s">
        <v>1460</v>
      </c>
      <c r="F700" s="4" t="s">
        <v>568</v>
      </c>
      <c r="G700" s="5" t="s">
        <v>15</v>
      </c>
      <c r="H700" s="4"/>
      <c r="I700" s="4"/>
    </row>
    <row r="701" customFormat="false" ht="12.75" hidden="false" customHeight="true" outlineLevel="0" collapsed="false">
      <c r="A701" s="6" t="s">
        <v>1461</v>
      </c>
      <c r="B701" s="7" t="s">
        <v>901</v>
      </c>
      <c r="C701" s="7" t="s">
        <v>37</v>
      </c>
      <c r="D701" s="7" t="s">
        <v>1462</v>
      </c>
      <c r="E701" s="7" t="s">
        <v>1463</v>
      </c>
      <c r="F701" s="7" t="s">
        <v>568</v>
      </c>
      <c r="G701" s="5" t="s">
        <v>15</v>
      </c>
      <c r="H701" s="7"/>
      <c r="I701" s="7"/>
    </row>
    <row r="702" customFormat="false" ht="12.75" hidden="false" customHeight="true" outlineLevel="0" collapsed="false">
      <c r="A702" s="3" t="s">
        <v>1461</v>
      </c>
      <c r="B702" s="4" t="s">
        <v>901</v>
      </c>
      <c r="C702" s="4" t="s">
        <v>37</v>
      </c>
      <c r="D702" s="4" t="s">
        <v>1462</v>
      </c>
      <c r="E702" s="4" t="s">
        <v>1464</v>
      </c>
      <c r="F702" s="4" t="s">
        <v>568</v>
      </c>
      <c r="G702" s="5" t="s">
        <v>15</v>
      </c>
      <c r="H702" s="4"/>
      <c r="I702" s="4"/>
    </row>
    <row r="703" customFormat="false" ht="12.75" hidden="false" customHeight="true" outlineLevel="0" collapsed="false">
      <c r="A703" s="6" t="s">
        <v>1461</v>
      </c>
      <c r="B703" s="7" t="s">
        <v>901</v>
      </c>
      <c r="C703" s="7" t="s">
        <v>37</v>
      </c>
      <c r="D703" s="7" t="s">
        <v>1462</v>
      </c>
      <c r="E703" s="7" t="s">
        <v>1465</v>
      </c>
      <c r="F703" s="7" t="s">
        <v>568</v>
      </c>
      <c r="G703" s="5" t="s">
        <v>15</v>
      </c>
      <c r="H703" s="7"/>
      <c r="I703" s="7"/>
    </row>
    <row r="704" customFormat="false" ht="12.75" hidden="false" customHeight="true" outlineLevel="0" collapsed="false">
      <c r="A704" s="3" t="s">
        <v>1466</v>
      </c>
      <c r="B704" s="4" t="s">
        <v>482</v>
      </c>
      <c r="C704" s="4" t="s">
        <v>37</v>
      </c>
      <c r="D704" s="4" t="s">
        <v>1467</v>
      </c>
      <c r="E704" s="4" t="s">
        <v>1468</v>
      </c>
      <c r="F704" s="4" t="s">
        <v>568</v>
      </c>
      <c r="G704" s="5" t="s">
        <v>15</v>
      </c>
      <c r="H704" s="4"/>
      <c r="I704" s="4"/>
    </row>
    <row r="705" customFormat="false" ht="12.75" hidden="false" customHeight="true" outlineLevel="0" collapsed="false">
      <c r="A705" s="6" t="s">
        <v>1469</v>
      </c>
      <c r="B705" s="7" t="s">
        <v>1289</v>
      </c>
      <c r="C705" s="7" t="s">
        <v>37</v>
      </c>
      <c r="D705" s="7" t="s">
        <v>1470</v>
      </c>
      <c r="E705" s="7" t="s">
        <v>1471</v>
      </c>
      <c r="F705" s="7" t="s">
        <v>568</v>
      </c>
      <c r="G705" s="5" t="s">
        <v>15</v>
      </c>
      <c r="H705" s="7"/>
      <c r="I705" s="7"/>
    </row>
    <row r="706" customFormat="false" ht="12.75" hidden="false" customHeight="true" outlineLevel="0" collapsed="false">
      <c r="A706" s="3" t="s">
        <v>1472</v>
      </c>
      <c r="B706" s="4" t="s">
        <v>1473</v>
      </c>
      <c r="C706" s="4" t="s">
        <v>37</v>
      </c>
      <c r="D706" s="4" t="s">
        <v>1474</v>
      </c>
      <c r="E706" s="4" t="s">
        <v>1475</v>
      </c>
      <c r="F706" s="4" t="s">
        <v>27</v>
      </c>
      <c r="G706" s="5" t="s">
        <v>15</v>
      </c>
      <c r="H706" s="4"/>
      <c r="I706" s="4"/>
    </row>
    <row r="707" customFormat="false" ht="12.75" hidden="false" customHeight="true" outlineLevel="0" collapsed="false">
      <c r="A707" s="6" t="s">
        <v>1472</v>
      </c>
      <c r="B707" s="7" t="s">
        <v>1473</v>
      </c>
      <c r="C707" s="7" t="s">
        <v>37</v>
      </c>
      <c r="D707" s="7" t="s">
        <v>1474</v>
      </c>
      <c r="E707" s="7" t="s">
        <v>1476</v>
      </c>
      <c r="F707" s="7" t="s">
        <v>568</v>
      </c>
      <c r="G707" s="5" t="s">
        <v>15</v>
      </c>
      <c r="H707" s="7"/>
      <c r="I707" s="7"/>
    </row>
    <row r="708" customFormat="false" ht="12.75" hidden="false" customHeight="true" outlineLevel="0" collapsed="false">
      <c r="A708" s="3" t="s">
        <v>1477</v>
      </c>
      <c r="B708" s="4" t="s">
        <v>1478</v>
      </c>
      <c r="C708" s="4" t="s">
        <v>37</v>
      </c>
      <c r="D708" s="4" t="s">
        <v>1479</v>
      </c>
      <c r="E708" s="4" t="s">
        <v>1480</v>
      </c>
      <c r="F708" s="4" t="s">
        <v>568</v>
      </c>
      <c r="G708" s="5" t="s">
        <v>15</v>
      </c>
      <c r="H708" s="4"/>
      <c r="I708" s="4"/>
    </row>
    <row r="709" customFormat="false" ht="12.75" hidden="false" customHeight="true" outlineLevel="0" collapsed="false">
      <c r="A709" s="6" t="s">
        <v>1477</v>
      </c>
      <c r="B709" s="7" t="s">
        <v>1478</v>
      </c>
      <c r="C709" s="7" t="s">
        <v>37</v>
      </c>
      <c r="D709" s="7" t="s">
        <v>1479</v>
      </c>
      <c r="E709" s="7" t="s">
        <v>1481</v>
      </c>
      <c r="F709" s="7" t="s">
        <v>568</v>
      </c>
      <c r="G709" s="5" t="s">
        <v>15</v>
      </c>
      <c r="H709" s="7"/>
      <c r="I709" s="7"/>
    </row>
    <row r="710" customFormat="false" ht="12.75" hidden="false" customHeight="true" outlineLevel="0" collapsed="false">
      <c r="A710" s="3" t="s">
        <v>1482</v>
      </c>
      <c r="B710" s="4" t="s">
        <v>901</v>
      </c>
      <c r="C710" s="4" t="s">
        <v>37</v>
      </c>
      <c r="D710" s="4" t="s">
        <v>1483</v>
      </c>
      <c r="E710" s="4" t="s">
        <v>1484</v>
      </c>
      <c r="F710" s="4" t="s">
        <v>270</v>
      </c>
      <c r="G710" s="5" t="s">
        <v>15</v>
      </c>
      <c r="H710" s="4"/>
      <c r="I710" s="4"/>
    </row>
    <row r="711" customFormat="false" ht="12.75" hidden="false" customHeight="true" outlineLevel="0" collapsed="false">
      <c r="A711" s="6" t="s">
        <v>1482</v>
      </c>
      <c r="B711" s="7" t="s">
        <v>901</v>
      </c>
      <c r="C711" s="7" t="s">
        <v>37</v>
      </c>
      <c r="D711" s="7" t="s">
        <v>1483</v>
      </c>
      <c r="E711" s="7" t="s">
        <v>1485</v>
      </c>
      <c r="F711" s="7" t="s">
        <v>14</v>
      </c>
      <c r="G711" s="5" t="s">
        <v>15</v>
      </c>
      <c r="H711" s="7"/>
      <c r="I711" s="7"/>
    </row>
    <row r="712" customFormat="false" ht="12.75" hidden="false" customHeight="true" outlineLevel="0" collapsed="false">
      <c r="A712" s="3" t="s">
        <v>1482</v>
      </c>
      <c r="B712" s="4" t="s">
        <v>901</v>
      </c>
      <c r="C712" s="4" t="s">
        <v>37</v>
      </c>
      <c r="D712" s="4" t="s">
        <v>1483</v>
      </c>
      <c r="E712" s="4" t="s">
        <v>1486</v>
      </c>
      <c r="F712" s="4" t="s">
        <v>14</v>
      </c>
      <c r="G712" s="5" t="s">
        <v>15</v>
      </c>
      <c r="H712" s="4"/>
      <c r="I712" s="4"/>
    </row>
    <row r="713" customFormat="false" ht="12.75" hidden="false" customHeight="true" outlineLevel="0" collapsed="false">
      <c r="A713" s="6" t="s">
        <v>1482</v>
      </c>
      <c r="B713" s="7" t="s">
        <v>901</v>
      </c>
      <c r="C713" s="7" t="s">
        <v>37</v>
      </c>
      <c r="D713" s="7" t="s">
        <v>1483</v>
      </c>
      <c r="E713" s="7" t="s">
        <v>1487</v>
      </c>
      <c r="F713" s="7" t="s">
        <v>568</v>
      </c>
      <c r="G713" s="5" t="s">
        <v>15</v>
      </c>
      <c r="H713" s="7"/>
      <c r="I713" s="7"/>
    </row>
    <row r="714" customFormat="false" ht="12.75" hidden="false" customHeight="true" outlineLevel="0" collapsed="false">
      <c r="A714" s="3" t="s">
        <v>1482</v>
      </c>
      <c r="B714" s="4" t="s">
        <v>901</v>
      </c>
      <c r="C714" s="4" t="s">
        <v>37</v>
      </c>
      <c r="D714" s="4" t="s">
        <v>1483</v>
      </c>
      <c r="E714" s="4" t="s">
        <v>1488</v>
      </c>
      <c r="F714" s="4" t="s">
        <v>568</v>
      </c>
      <c r="G714" s="5" t="s">
        <v>15</v>
      </c>
      <c r="H714" s="4"/>
      <c r="I714" s="4"/>
    </row>
    <row r="715" customFormat="false" ht="12.75" hidden="false" customHeight="true" outlineLevel="0" collapsed="false">
      <c r="A715" s="6" t="s">
        <v>1489</v>
      </c>
      <c r="B715" s="7" t="s">
        <v>940</v>
      </c>
      <c r="C715" s="7" t="s">
        <v>37</v>
      </c>
      <c r="D715" s="7" t="s">
        <v>1490</v>
      </c>
      <c r="E715" s="7" t="s">
        <v>1491</v>
      </c>
      <c r="F715" s="7" t="s">
        <v>568</v>
      </c>
      <c r="G715" s="5" t="s">
        <v>15</v>
      </c>
      <c r="H715" s="7"/>
      <c r="I715" s="7"/>
    </row>
    <row r="716" customFormat="false" ht="12.75" hidden="false" customHeight="true" outlineLevel="0" collapsed="false">
      <c r="A716" s="3" t="s">
        <v>1492</v>
      </c>
      <c r="B716" s="4" t="s">
        <v>176</v>
      </c>
      <c r="C716" s="4" t="s">
        <v>37</v>
      </c>
      <c r="D716" s="4" t="s">
        <v>1493</v>
      </c>
      <c r="E716" s="4" t="s">
        <v>1494</v>
      </c>
      <c r="F716" s="4" t="s">
        <v>14</v>
      </c>
      <c r="G716" s="5" t="s">
        <v>15</v>
      </c>
      <c r="H716" s="4"/>
      <c r="I716" s="4"/>
    </row>
    <row r="717" customFormat="false" ht="12.75" hidden="false" customHeight="true" outlineLevel="0" collapsed="false">
      <c r="A717" s="6" t="s">
        <v>1492</v>
      </c>
      <c r="B717" s="7" t="s">
        <v>176</v>
      </c>
      <c r="C717" s="7" t="s">
        <v>37</v>
      </c>
      <c r="D717" s="7" t="s">
        <v>1493</v>
      </c>
      <c r="E717" s="7" t="s">
        <v>1495</v>
      </c>
      <c r="F717" s="7" t="s">
        <v>27</v>
      </c>
      <c r="G717" s="5" t="s">
        <v>15</v>
      </c>
      <c r="H717" s="7"/>
      <c r="I717" s="7"/>
    </row>
    <row r="718" customFormat="false" ht="12.75" hidden="false" customHeight="true" outlineLevel="0" collapsed="false">
      <c r="A718" s="3" t="s">
        <v>1492</v>
      </c>
      <c r="B718" s="4" t="s">
        <v>176</v>
      </c>
      <c r="C718" s="4" t="s">
        <v>37</v>
      </c>
      <c r="D718" s="4" t="s">
        <v>1493</v>
      </c>
      <c r="E718" s="4" t="s">
        <v>1496</v>
      </c>
      <c r="F718" s="4" t="s">
        <v>568</v>
      </c>
      <c r="G718" s="5" t="s">
        <v>15</v>
      </c>
      <c r="H718" s="4"/>
      <c r="I718" s="4"/>
    </row>
    <row r="719" customFormat="false" ht="12.75" hidden="false" customHeight="true" outlineLevel="0" collapsed="false">
      <c r="A719" s="6" t="s">
        <v>1492</v>
      </c>
      <c r="B719" s="7" t="s">
        <v>176</v>
      </c>
      <c r="C719" s="7" t="s">
        <v>37</v>
      </c>
      <c r="D719" s="7" t="s">
        <v>1493</v>
      </c>
      <c r="E719" s="7" t="s">
        <v>1497</v>
      </c>
      <c r="F719" s="7" t="s">
        <v>568</v>
      </c>
      <c r="G719" s="5" t="s">
        <v>15</v>
      </c>
      <c r="H719" s="7"/>
      <c r="I719" s="7"/>
    </row>
    <row r="720" customFormat="false" ht="12.75" hidden="false" customHeight="true" outlineLevel="0" collapsed="false">
      <c r="A720" s="3" t="s">
        <v>1492</v>
      </c>
      <c r="B720" s="4" t="s">
        <v>176</v>
      </c>
      <c r="C720" s="4" t="s">
        <v>37</v>
      </c>
      <c r="D720" s="4" t="s">
        <v>1493</v>
      </c>
      <c r="E720" s="4" t="s">
        <v>1498</v>
      </c>
      <c r="F720" s="4" t="s">
        <v>568</v>
      </c>
      <c r="G720" s="5" t="s">
        <v>15</v>
      </c>
      <c r="H720" s="4"/>
      <c r="I720" s="4"/>
    </row>
    <row r="721" customFormat="false" ht="12.75" hidden="false" customHeight="true" outlineLevel="0" collapsed="false">
      <c r="A721" s="6" t="s">
        <v>1499</v>
      </c>
      <c r="B721" s="7" t="s">
        <v>1500</v>
      </c>
      <c r="C721" s="7" t="s">
        <v>37</v>
      </c>
      <c r="D721" s="7" t="s">
        <v>1501</v>
      </c>
      <c r="E721" s="7" t="s">
        <v>1502</v>
      </c>
      <c r="F721" s="7" t="s">
        <v>100</v>
      </c>
      <c r="G721" s="5" t="s">
        <v>15</v>
      </c>
      <c r="H721" s="7"/>
      <c r="I721" s="7"/>
    </row>
    <row r="722" customFormat="false" ht="12.75" hidden="false" customHeight="true" outlineLevel="0" collapsed="false">
      <c r="A722" s="3" t="s">
        <v>1499</v>
      </c>
      <c r="B722" s="4" t="s">
        <v>1500</v>
      </c>
      <c r="C722" s="4" t="s">
        <v>37</v>
      </c>
      <c r="D722" s="4" t="s">
        <v>1501</v>
      </c>
      <c r="E722" s="4" t="s">
        <v>1503</v>
      </c>
      <c r="F722" s="4" t="s">
        <v>100</v>
      </c>
      <c r="G722" s="5" t="s">
        <v>15</v>
      </c>
      <c r="H722" s="4"/>
      <c r="I722" s="4"/>
    </row>
    <row r="723" customFormat="false" ht="12.75" hidden="false" customHeight="true" outlineLevel="0" collapsed="false">
      <c r="A723" s="6" t="s">
        <v>1499</v>
      </c>
      <c r="B723" s="7" t="s">
        <v>1500</v>
      </c>
      <c r="C723" s="7" t="s">
        <v>37</v>
      </c>
      <c r="D723" s="7" t="s">
        <v>1501</v>
      </c>
      <c r="E723" s="7" t="s">
        <v>1504</v>
      </c>
      <c r="F723" s="7" t="s">
        <v>215</v>
      </c>
      <c r="G723" s="5" t="s">
        <v>15</v>
      </c>
      <c r="H723" s="7"/>
      <c r="I723" s="7"/>
    </row>
    <row r="724" customFormat="false" ht="12.75" hidden="false" customHeight="true" outlineLevel="0" collapsed="false">
      <c r="A724" s="3" t="s">
        <v>1499</v>
      </c>
      <c r="B724" s="4" t="s">
        <v>1500</v>
      </c>
      <c r="C724" s="4" t="s">
        <v>37</v>
      </c>
      <c r="D724" s="4" t="s">
        <v>1501</v>
      </c>
      <c r="E724" s="4" t="s">
        <v>1505</v>
      </c>
      <c r="F724" s="4" t="s">
        <v>568</v>
      </c>
      <c r="G724" s="5" t="s">
        <v>15</v>
      </c>
      <c r="H724" s="4"/>
      <c r="I724" s="4"/>
    </row>
    <row r="725" customFormat="false" ht="12.75" hidden="false" customHeight="true" outlineLevel="0" collapsed="false">
      <c r="A725" s="6" t="s">
        <v>1499</v>
      </c>
      <c r="B725" s="7" t="s">
        <v>1500</v>
      </c>
      <c r="C725" s="7" t="s">
        <v>37</v>
      </c>
      <c r="D725" s="7" t="s">
        <v>1501</v>
      </c>
      <c r="E725" s="7" t="s">
        <v>1506</v>
      </c>
      <c r="F725" s="7" t="s">
        <v>568</v>
      </c>
      <c r="G725" s="5" t="s">
        <v>15</v>
      </c>
      <c r="H725" s="7"/>
      <c r="I725" s="7"/>
    </row>
    <row r="726" customFormat="false" ht="12.75" hidden="false" customHeight="true" outlineLevel="0" collapsed="false">
      <c r="A726" s="3" t="s">
        <v>1499</v>
      </c>
      <c r="B726" s="4" t="s">
        <v>1500</v>
      </c>
      <c r="C726" s="4" t="s">
        <v>37</v>
      </c>
      <c r="D726" s="4" t="s">
        <v>1501</v>
      </c>
      <c r="E726" s="4" t="s">
        <v>1507</v>
      </c>
      <c r="F726" s="4" t="s">
        <v>568</v>
      </c>
      <c r="G726" s="5" t="s">
        <v>15</v>
      </c>
      <c r="H726" s="4"/>
      <c r="I726" s="4"/>
    </row>
    <row r="727" customFormat="false" ht="12.75" hidden="false" customHeight="true" outlineLevel="0" collapsed="false">
      <c r="A727" s="6" t="s">
        <v>1508</v>
      </c>
      <c r="B727" s="7" t="s">
        <v>1509</v>
      </c>
      <c r="C727" s="7" t="s">
        <v>37</v>
      </c>
      <c r="D727" s="7" t="s">
        <v>1510</v>
      </c>
      <c r="E727" s="7" t="s">
        <v>1511</v>
      </c>
      <c r="F727" s="7" t="s">
        <v>568</v>
      </c>
      <c r="G727" s="5" t="s">
        <v>15</v>
      </c>
      <c r="H727" s="7"/>
      <c r="I727" s="7"/>
    </row>
    <row r="728" customFormat="false" ht="12.75" hidden="false" customHeight="true" outlineLevel="0" collapsed="false">
      <c r="A728" s="3" t="s">
        <v>1512</v>
      </c>
      <c r="B728" s="4" t="s">
        <v>1513</v>
      </c>
      <c r="C728" s="4" t="s">
        <v>37</v>
      </c>
      <c r="D728" s="4" t="s">
        <v>1514</v>
      </c>
      <c r="E728" s="4" t="s">
        <v>1515</v>
      </c>
      <c r="F728" s="4" t="s">
        <v>568</v>
      </c>
      <c r="G728" s="5" t="s">
        <v>15</v>
      </c>
      <c r="H728" s="4"/>
      <c r="I728" s="4"/>
    </row>
    <row r="729" customFormat="false" ht="12.75" hidden="false" customHeight="true" outlineLevel="0" collapsed="false">
      <c r="A729" s="6" t="s">
        <v>1516</v>
      </c>
      <c r="B729" s="7" t="s">
        <v>1517</v>
      </c>
      <c r="C729" s="7" t="s">
        <v>37</v>
      </c>
      <c r="D729" s="7" t="s">
        <v>1518</v>
      </c>
      <c r="E729" s="7" t="s">
        <v>1519</v>
      </c>
      <c r="F729" s="7" t="s">
        <v>568</v>
      </c>
      <c r="G729" s="5" t="s">
        <v>15</v>
      </c>
      <c r="H729" s="7"/>
      <c r="I729" s="7"/>
    </row>
    <row r="730" customFormat="false" ht="12.75" hidden="false" customHeight="true" outlineLevel="0" collapsed="false">
      <c r="A730" s="3" t="s">
        <v>1520</v>
      </c>
      <c r="B730" s="4" t="s">
        <v>1521</v>
      </c>
      <c r="C730" s="4" t="s">
        <v>37</v>
      </c>
      <c r="D730" s="4" t="s">
        <v>1522</v>
      </c>
      <c r="E730" s="4" t="s">
        <v>1523</v>
      </c>
      <c r="F730" s="4" t="s">
        <v>568</v>
      </c>
      <c r="G730" s="5" t="s">
        <v>15</v>
      </c>
      <c r="H730" s="4"/>
      <c r="I730" s="4"/>
    </row>
    <row r="731" customFormat="false" ht="12.75" hidden="false" customHeight="true" outlineLevel="0" collapsed="false">
      <c r="A731" s="6" t="s">
        <v>1520</v>
      </c>
      <c r="B731" s="7" t="s">
        <v>1521</v>
      </c>
      <c r="C731" s="7" t="s">
        <v>37</v>
      </c>
      <c r="D731" s="7" t="s">
        <v>1522</v>
      </c>
      <c r="E731" s="7" t="s">
        <v>1524</v>
      </c>
      <c r="F731" s="7" t="s">
        <v>568</v>
      </c>
      <c r="G731" s="5" t="s">
        <v>15</v>
      </c>
      <c r="H731" s="7"/>
      <c r="I731" s="7"/>
    </row>
    <row r="732" customFormat="false" ht="12.75" hidden="false" customHeight="true" outlineLevel="0" collapsed="false">
      <c r="A732" s="3" t="s">
        <v>1525</v>
      </c>
      <c r="B732" s="4" t="s">
        <v>1526</v>
      </c>
      <c r="C732" s="4" t="s">
        <v>37</v>
      </c>
      <c r="D732" s="4" t="s">
        <v>1527</v>
      </c>
      <c r="E732" s="4" t="s">
        <v>1528</v>
      </c>
      <c r="F732" s="4" t="s">
        <v>27</v>
      </c>
      <c r="G732" s="5" t="s">
        <v>15</v>
      </c>
      <c r="H732" s="4"/>
      <c r="I732" s="4"/>
    </row>
    <row r="733" customFormat="false" ht="12.75" hidden="false" customHeight="true" outlineLevel="0" collapsed="false">
      <c r="A733" s="6" t="s">
        <v>1525</v>
      </c>
      <c r="B733" s="7" t="s">
        <v>1526</v>
      </c>
      <c r="C733" s="7" t="s">
        <v>37</v>
      </c>
      <c r="D733" s="7" t="s">
        <v>1527</v>
      </c>
      <c r="E733" s="7" t="s">
        <v>1529</v>
      </c>
      <c r="F733" s="7" t="s">
        <v>568</v>
      </c>
      <c r="G733" s="5" t="s">
        <v>15</v>
      </c>
      <c r="H733" s="7"/>
      <c r="I733" s="7"/>
    </row>
    <row r="734" customFormat="false" ht="12.75" hidden="false" customHeight="true" outlineLevel="0" collapsed="false">
      <c r="A734" s="3" t="s">
        <v>1530</v>
      </c>
      <c r="B734" s="4" t="s">
        <v>585</v>
      </c>
      <c r="C734" s="4" t="s">
        <v>37</v>
      </c>
      <c r="D734" s="4" t="s">
        <v>1531</v>
      </c>
      <c r="E734" s="4" t="s">
        <v>1532</v>
      </c>
      <c r="F734" s="4" t="s">
        <v>568</v>
      </c>
      <c r="G734" s="5" t="s">
        <v>15</v>
      </c>
      <c r="H734" s="4"/>
      <c r="I734" s="4"/>
    </row>
    <row r="735" customFormat="false" ht="12.75" hidden="false" customHeight="true" outlineLevel="0" collapsed="false">
      <c r="A735" s="6" t="s">
        <v>1533</v>
      </c>
      <c r="B735" s="7" t="s">
        <v>1534</v>
      </c>
      <c r="C735" s="7" t="s">
        <v>568</v>
      </c>
      <c r="D735" s="7" t="s">
        <v>1535</v>
      </c>
      <c r="E735" s="7" t="s">
        <v>1536</v>
      </c>
      <c r="F735" s="7" t="s">
        <v>43</v>
      </c>
      <c r="G735" s="5" t="s">
        <v>15</v>
      </c>
      <c r="H735" s="7"/>
      <c r="I735" s="7"/>
    </row>
    <row r="736" customFormat="false" ht="12.75" hidden="false" customHeight="true" outlineLevel="0" collapsed="false">
      <c r="A736" s="3" t="s">
        <v>1533</v>
      </c>
      <c r="B736" s="4" t="s">
        <v>1534</v>
      </c>
      <c r="C736" s="4" t="s">
        <v>568</v>
      </c>
      <c r="D736" s="4" t="s">
        <v>1535</v>
      </c>
      <c r="E736" s="4" t="s">
        <v>1537</v>
      </c>
      <c r="F736" s="4" t="s">
        <v>43</v>
      </c>
      <c r="G736" s="5" t="s">
        <v>15</v>
      </c>
      <c r="H736" s="4"/>
      <c r="I736" s="4"/>
    </row>
    <row r="737" customFormat="false" ht="12.75" hidden="false" customHeight="true" outlineLevel="0" collapsed="false">
      <c r="A737" s="6" t="s">
        <v>1533</v>
      </c>
      <c r="B737" s="7" t="s">
        <v>1534</v>
      </c>
      <c r="C737" s="7" t="s">
        <v>568</v>
      </c>
      <c r="D737" s="7" t="s">
        <v>1535</v>
      </c>
      <c r="E737" s="7" t="s">
        <v>1538</v>
      </c>
      <c r="F737" s="7" t="s">
        <v>43</v>
      </c>
      <c r="G737" s="5" t="s">
        <v>15</v>
      </c>
      <c r="H737" s="7"/>
      <c r="I737" s="7"/>
    </row>
    <row r="738" customFormat="false" ht="12.75" hidden="false" customHeight="true" outlineLevel="0" collapsed="false">
      <c r="A738" s="3" t="s">
        <v>1533</v>
      </c>
      <c r="B738" s="4" t="s">
        <v>1534</v>
      </c>
      <c r="C738" s="4" t="s">
        <v>568</v>
      </c>
      <c r="D738" s="4" t="s">
        <v>1535</v>
      </c>
      <c r="E738" s="4" t="s">
        <v>1539</v>
      </c>
      <c r="F738" s="4" t="s">
        <v>100</v>
      </c>
      <c r="G738" s="5" t="s">
        <v>15</v>
      </c>
      <c r="H738" s="4"/>
      <c r="I738" s="4"/>
    </row>
    <row r="739" customFormat="false" ht="12.75" hidden="false" customHeight="true" outlineLevel="0" collapsed="false">
      <c r="A739" s="6" t="s">
        <v>1533</v>
      </c>
      <c r="B739" s="7" t="s">
        <v>1534</v>
      </c>
      <c r="C739" s="7" t="s">
        <v>568</v>
      </c>
      <c r="D739" s="7" t="s">
        <v>1535</v>
      </c>
      <c r="E739" s="7" t="s">
        <v>1540</v>
      </c>
      <c r="F739" s="7" t="s">
        <v>100</v>
      </c>
      <c r="G739" s="5" t="s">
        <v>15</v>
      </c>
      <c r="H739" s="7"/>
      <c r="I739" s="7"/>
    </row>
    <row r="740" customFormat="false" ht="12.75" hidden="false" customHeight="true" outlineLevel="0" collapsed="false">
      <c r="A740" s="3" t="s">
        <v>1533</v>
      </c>
      <c r="B740" s="4" t="s">
        <v>1534</v>
      </c>
      <c r="C740" s="4" t="s">
        <v>568</v>
      </c>
      <c r="D740" s="4" t="s">
        <v>1535</v>
      </c>
      <c r="E740" s="4" t="s">
        <v>1541</v>
      </c>
      <c r="F740" s="4" t="s">
        <v>27</v>
      </c>
      <c r="G740" s="5" t="s">
        <v>15</v>
      </c>
      <c r="H740" s="4"/>
      <c r="I740" s="4"/>
    </row>
    <row r="741" customFormat="false" ht="12.75" hidden="false" customHeight="true" outlineLevel="0" collapsed="false">
      <c r="A741" s="6" t="s">
        <v>1542</v>
      </c>
      <c r="B741" s="7" t="s">
        <v>1543</v>
      </c>
      <c r="C741" s="7" t="s">
        <v>568</v>
      </c>
      <c r="D741" s="7" t="s">
        <v>1544</v>
      </c>
      <c r="E741" s="7" t="s">
        <v>1545</v>
      </c>
      <c r="F741" s="7" t="s">
        <v>21</v>
      </c>
      <c r="G741" s="5" t="s">
        <v>15</v>
      </c>
      <c r="H741" s="7"/>
      <c r="I741" s="7"/>
    </row>
    <row r="742" customFormat="false" ht="12.75" hidden="false" customHeight="true" outlineLevel="0" collapsed="false">
      <c r="A742" s="3" t="s">
        <v>1542</v>
      </c>
      <c r="B742" s="4" t="s">
        <v>1543</v>
      </c>
      <c r="C742" s="4" t="s">
        <v>568</v>
      </c>
      <c r="D742" s="4" t="s">
        <v>1544</v>
      </c>
      <c r="E742" s="4" t="s">
        <v>1546</v>
      </c>
      <c r="F742" s="4" t="s">
        <v>21</v>
      </c>
      <c r="G742" s="5" t="s">
        <v>15</v>
      </c>
      <c r="H742" s="4"/>
      <c r="I742" s="4"/>
    </row>
    <row r="743" customFormat="false" ht="12.75" hidden="false" customHeight="true" outlineLevel="0" collapsed="false">
      <c r="A743" s="6" t="s">
        <v>1547</v>
      </c>
      <c r="B743" s="7" t="s">
        <v>1548</v>
      </c>
      <c r="C743" s="7" t="s">
        <v>568</v>
      </c>
      <c r="D743" s="7" t="s">
        <v>1549</v>
      </c>
      <c r="E743" s="7" t="s">
        <v>1550</v>
      </c>
      <c r="F743" s="7" t="s">
        <v>27</v>
      </c>
      <c r="G743" s="5" t="s">
        <v>15</v>
      </c>
      <c r="H743" s="7"/>
      <c r="I743" s="7"/>
    </row>
    <row r="744" customFormat="false" ht="12.75" hidden="false" customHeight="true" outlineLevel="0" collapsed="false">
      <c r="A744" s="3" t="s">
        <v>1551</v>
      </c>
      <c r="B744" s="4" t="s">
        <v>1552</v>
      </c>
      <c r="C744" s="4" t="s">
        <v>568</v>
      </c>
      <c r="D744" s="4" t="s">
        <v>1553</v>
      </c>
      <c r="E744" s="4" t="s">
        <v>1554</v>
      </c>
      <c r="F744" s="4" t="s">
        <v>43</v>
      </c>
      <c r="G744" s="5" t="s">
        <v>15</v>
      </c>
      <c r="H744" s="4"/>
      <c r="I744" s="4"/>
    </row>
    <row r="745" customFormat="false" ht="12.75" hidden="false" customHeight="true" outlineLevel="0" collapsed="false">
      <c r="A745" s="6" t="s">
        <v>1551</v>
      </c>
      <c r="B745" s="7" t="s">
        <v>1552</v>
      </c>
      <c r="C745" s="7" t="s">
        <v>568</v>
      </c>
      <c r="D745" s="7" t="s">
        <v>1553</v>
      </c>
      <c r="E745" s="7" t="s">
        <v>1555</v>
      </c>
      <c r="F745" s="7" t="s">
        <v>100</v>
      </c>
      <c r="G745" s="5" t="s">
        <v>15</v>
      </c>
      <c r="H745" s="7"/>
      <c r="I745" s="7"/>
    </row>
    <row r="746" customFormat="false" ht="12.75" hidden="false" customHeight="true" outlineLevel="0" collapsed="false">
      <c r="A746" s="3" t="s">
        <v>1551</v>
      </c>
      <c r="B746" s="4" t="s">
        <v>1552</v>
      </c>
      <c r="C746" s="4" t="s">
        <v>568</v>
      </c>
      <c r="D746" s="4" t="s">
        <v>1553</v>
      </c>
      <c r="E746" s="4" t="s">
        <v>1556</v>
      </c>
      <c r="F746" s="4" t="s">
        <v>100</v>
      </c>
      <c r="G746" s="5" t="s">
        <v>15</v>
      </c>
      <c r="H746" s="4"/>
      <c r="I746" s="4"/>
    </row>
    <row r="747" customFormat="false" ht="12.75" hidden="false" customHeight="true" outlineLevel="0" collapsed="false">
      <c r="A747" s="6" t="s">
        <v>1551</v>
      </c>
      <c r="B747" s="7" t="s">
        <v>1552</v>
      </c>
      <c r="C747" s="7" t="s">
        <v>568</v>
      </c>
      <c r="D747" s="7" t="s">
        <v>1553</v>
      </c>
      <c r="E747" s="7" t="s">
        <v>1557</v>
      </c>
      <c r="F747" s="7" t="s">
        <v>215</v>
      </c>
      <c r="G747" s="5" t="s">
        <v>15</v>
      </c>
      <c r="H747" s="7"/>
      <c r="I747" s="7"/>
    </row>
  </sheetData>
  <dataValidations count="1">
    <dataValidation allowBlank="false" errorStyle="stop" operator="between" showDropDown="false" showErrorMessage="false" showInputMessage="false" sqref="G2:G747" type="list">
      <formula1>"PENDIENTE,CONFIRMADO,EN PROCESO,NO INTERESADO,SIN RESPUESTA IMO,NÚMERO INVÁLIDO"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12"/>
    <col collapsed="false" customWidth="true" hidden="false" outlineLevel="0" max="4" min="4" style="1" width="14"/>
    <col collapsed="false" customWidth="true" hidden="false" outlineLevel="0" max="5" min="5" style="1" width="9"/>
    <col collapsed="false" customWidth="true" hidden="false" outlineLevel="0" max="6" min="6" style="1" width="12"/>
    <col collapsed="false" customWidth="true" hidden="false" outlineLevel="0" max="7" min="7" style="1" width="16"/>
    <col collapsed="false" customWidth="true" hidden="false" outlineLevel="0" max="8" min="8" style="1" width="76"/>
  </cols>
  <sheetData>
    <row r="1" customFormat="false" ht="24.75" hidden="false" customHeight="true" outlineLevel="0" collapsed="false">
      <c r="A1" s="8" t="s">
        <v>1558</v>
      </c>
      <c r="B1" s="8"/>
      <c r="C1" s="8"/>
      <c r="D1" s="8"/>
      <c r="E1" s="8"/>
      <c r="F1" s="8"/>
      <c r="G1" s="8"/>
      <c r="H1" s="8"/>
    </row>
    <row r="2" customFormat="false" ht="15.75" hidden="false" customHeight="true" outlineLevel="0" collapsed="false">
      <c r="A2" s="9" t="str">
        <f aca="false">"IMOs: "&amp;COUNTA(MENSAJES_IMO!B5:B9999)&amp;"  |  Px campaña: "&amp;COUNTA(DATA!E2:E9999)&amp;"  |  Confirmados: "&amp;COUNTIF(DATA!G:G,"CONFIRMADO")&amp;"  |  Pendientes: "&amp;COUNTIF(DATA!G:G,"PENDIENTE")</f>
        <v>IMOs: 282  |  Px campaña: 746  |  Confirmados: 0  |  Pendientes: 746</v>
      </c>
      <c r="B2" s="9"/>
      <c r="C2" s="9"/>
      <c r="D2" s="9"/>
      <c r="E2" s="9"/>
      <c r="F2" s="9"/>
      <c r="G2" s="9"/>
      <c r="H2" s="9"/>
    </row>
    <row r="3" customFormat="false" ht="27.75" hidden="false" customHeight="true" outlineLevel="0" collapsed="false">
      <c r="A3" s="2" t="s">
        <v>1559</v>
      </c>
      <c r="B3" s="2" t="s">
        <v>1560</v>
      </c>
      <c r="C3" s="2" t="s">
        <v>1561</v>
      </c>
      <c r="D3" s="2" t="s">
        <v>1562</v>
      </c>
      <c r="E3" s="2" t="s">
        <v>1563</v>
      </c>
      <c r="F3" s="2" t="s">
        <v>1564</v>
      </c>
      <c r="G3" s="2" t="s">
        <v>6</v>
      </c>
      <c r="H3" s="2" t="s">
        <v>1565</v>
      </c>
    </row>
    <row r="5" customFormat="false" ht="105" hidden="false" customHeight="true" outlineLevel="0" collapsed="false">
      <c r="A5" s="10" t="n">
        <v>1</v>
      </c>
      <c r="B5" s="6" t="s">
        <v>9</v>
      </c>
      <c r="C5" s="7" t="s">
        <v>11</v>
      </c>
      <c r="D5" s="7" t="s">
        <v>12</v>
      </c>
      <c r="E5" s="11" t="n">
        <f aca="false">COUNTIF(DATA!A:A,B5)</f>
        <v>1</v>
      </c>
      <c r="F5" s="11" t="n">
        <f aca="false">COUNTIFS(DATA!A:A,B5,DATA!G:G,"CONFIRMADO")</f>
        <v>0</v>
      </c>
      <c r="G5" s="5" t="str">
        <f aca="false">IF(E5=0,"SIN DATA",IF(F5=E5,"✅ COMPLETO",IF(F5&gt;0,"🔄 PARCIAL",IF(COUNTIFS(DATA!A:A,B5,DATA!G:G,"PENDIENTE")=E5,"⏳ PENDIENTE","⚠ MIXTO"))))</f>
        <v>⏳ PENDIENTE</v>
      </c>
      <c r="H5" s="12" t="str">
        <f aca="false">"Hola "&amp;IFERROR(LEFT(TRIM(MID(B5,FIND(" ",B5,FIND(" ",B5)+1)+1,100)),IFERROR(FIND(" ",TRIM(MID(B5,FIND(" ",B5,FIND(" ",B5)+1)+1,100)))-1,100)),TRIM(MID(B5,FIND(" ",B5&amp;" ")+1,100)))&amp;", buen día."&amp;CHAR(10)&amp;CHAR(10)&amp;"Te escribo porque una persona de tu equipo aún no se ha sentado en el Capítulo 1:"&amp;CHAR(10)&amp;CHAR(10)&amp;"1. Jorge Jeyner Uceda Agapito"&amp;CHAR(10)&amp;CHAR(10)&amp;"El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Mayra, buen día.
Te escribo porque una persona de tu equipo aún no se ha sentado en el Capítulo 1:
1. Jorge Jeyner Uceda Agapito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6" customFormat="false" ht="105" hidden="false" customHeight="true" outlineLevel="0" collapsed="false">
      <c r="A6" s="13" t="n">
        <v>2</v>
      </c>
      <c r="B6" s="3" t="s">
        <v>16</v>
      </c>
      <c r="C6" s="4" t="s">
        <v>18</v>
      </c>
      <c r="D6" s="4" t="s">
        <v>19</v>
      </c>
      <c r="E6" s="14" t="n">
        <f aca="false">COUNTIF(DATA!A:A,B6)</f>
        <v>1</v>
      </c>
      <c r="F6" s="14" t="n">
        <f aca="false">COUNTIFS(DATA!A:A,B6,DATA!G:G,"CONFIRMADO")</f>
        <v>0</v>
      </c>
      <c r="G6" s="5" t="str">
        <f aca="false">IF(E6=0,"SIN DATA",IF(F6=E6,"✅ COMPLETO",IF(F6&gt;0,"🔄 PARCIAL",IF(COUNTIFS(DATA!A:A,B6,DATA!G:G,"PENDIENTE")=E6,"⏳ PENDIENTE","⚠ MIXTO"))))</f>
        <v>⏳ PENDIENTE</v>
      </c>
      <c r="H6" s="12" t="str">
        <f aca="false">"Hola "&amp;IFERROR(LEFT(TRIM(MID(B6,FIND(" ",B6,FIND(" ",B6)+1)+1,100)),IFERROR(FIND(" ",TRIM(MID(B6,FIND(" ",B6,FIND(" ",B6)+1)+1,100)))-1,100)),TRIM(MID(B6,FIND(" ",B6&amp;" ")+1,100)))&amp;", buen día."&amp;CHAR(10)&amp;CHAR(10)&amp;"Te escribo porque una persona de tu equipo aún no se ha sentado en el Capítulo 1:"&amp;CHAR(10)&amp;CHAR(10)&amp;"1. Mary Laura Donayre Navarrete"&amp;CHAR(10)&amp;CHAR(10)&amp;"El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Briana, buen día.
Te escribo porque una persona de tu equipo aún no se ha sentado en el Capítulo 1:
1. Mary Laura Donayre Navarrete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 customFormat="false" ht="105" hidden="false" customHeight="true" outlineLevel="0" collapsed="false">
      <c r="A7" s="10" t="n">
        <v>3</v>
      </c>
      <c r="B7" s="6" t="s">
        <v>22</v>
      </c>
      <c r="C7" s="7" t="s">
        <v>24</v>
      </c>
      <c r="D7" s="7" t="s">
        <v>25</v>
      </c>
      <c r="E7" s="11" t="n">
        <f aca="false">COUNTIF(DATA!A:A,B7)</f>
        <v>1</v>
      </c>
      <c r="F7" s="11" t="n">
        <f aca="false">COUNTIFS(DATA!A:A,B7,DATA!G:G,"CONFIRMADO")</f>
        <v>0</v>
      </c>
      <c r="G7" s="5" t="str">
        <f aca="false">IF(E7=0,"SIN DATA",IF(F7=E7,"✅ COMPLETO",IF(F7&gt;0,"🔄 PARCIAL",IF(COUNTIFS(DATA!A:A,B7,DATA!G:G,"PENDIENTE")=E7,"⏳ PENDIENTE","⚠ MIXTO"))))</f>
        <v>⏳ PENDIENTE</v>
      </c>
      <c r="H7" s="12" t="str">
        <f aca="false">"Hola "&amp;IFERROR(LEFT(TRIM(MID(B7,FIND(" ",B7,FIND(" ",B7)+1)+1,100)),IFERROR(FIND(" ",TRIM(MID(B7,FIND(" ",B7,FIND(" ",B7)+1)+1,100)))-1,100)),TRIM(MID(B7,FIND(" ",B7&amp;" ")+1,100)))&amp;", buen día."&amp;CHAR(10)&amp;CHAR(10)&amp;"Te escribo porque una persona de tu equipo aún no se ha sentado en el Capítulo 1:"&amp;CHAR(10)&amp;CHAR(10)&amp;"1. Yoneglis May-Ling Conde Garcia"&amp;CHAR(10)&amp;CHAR(10)&amp;"El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Daniela, buen día.
Te escribo porque una persona de tu equipo aún no se ha sentado en el Capítulo 1:
1. Yoneglis May-Ling Conde Garcia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 customFormat="false" ht="105" hidden="false" customHeight="true" outlineLevel="0" collapsed="false">
      <c r="A8" s="13" t="n">
        <v>4</v>
      </c>
      <c r="B8" s="3" t="s">
        <v>28</v>
      </c>
      <c r="C8" s="4" t="s">
        <v>30</v>
      </c>
      <c r="D8" s="4" t="s">
        <v>31</v>
      </c>
      <c r="E8" s="14" t="n">
        <f aca="false">COUNTIF(DATA!A:A,B8)</f>
        <v>1</v>
      </c>
      <c r="F8" s="14" t="n">
        <f aca="false">COUNTIFS(DATA!A:A,B8,DATA!G:G,"CONFIRMADO")</f>
        <v>0</v>
      </c>
      <c r="G8" s="5" t="str">
        <f aca="false">IF(E8=0,"SIN DATA",IF(F8=E8,"✅ COMPLETO",IF(F8&gt;0,"🔄 PARCIAL",IF(COUNTIFS(DATA!A:A,B8,DATA!G:G,"PENDIENTE")=E8,"⏳ PENDIENTE","⚠ MIXTO"))))</f>
        <v>⏳ PENDIENTE</v>
      </c>
      <c r="H8" s="12" t="str">
        <f aca="false">"Hola "&amp;IFERROR(LEFT(TRIM(MID(B8,FIND(" ",B8,FIND(" ",B8)+1)+1,100)),IFERROR(FIND(" ",TRIM(MID(B8,FIND(" ",B8,FIND(" ",B8)+1)+1,100)))-1,100)),TRIM(MID(B8,FIND(" ",B8&amp;" ")+1,100)))&amp;", buen día."&amp;CHAR(10)&amp;CHAR(10)&amp;"Te escribo porque una persona de tu equipo aún no se ha sentado en el Capítulo 1:"&amp;CHAR(10)&amp;CHAR(10)&amp;"1. Twiggy Carmen Aguirre Sanchez"&amp;CHAR(10)&amp;CHAR(10)&amp;"El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Liliana, buen día.
Te escribo porque una persona de tu equipo aún no se ha sentado en el Capítulo 1:
1. Twiggy Carmen Aguirre Sanchez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9" customFormat="false" ht="105" hidden="false" customHeight="true" outlineLevel="0" collapsed="false">
      <c r="A9" s="10" t="n">
        <v>5</v>
      </c>
      <c r="B9" s="6" t="s">
        <v>33</v>
      </c>
      <c r="C9" s="7" t="s">
        <v>30</v>
      </c>
      <c r="D9" s="7" t="s">
        <v>35</v>
      </c>
      <c r="E9" s="11" t="n">
        <f aca="false">COUNTIF(DATA!A:A,B9)</f>
        <v>1</v>
      </c>
      <c r="F9" s="11" t="n">
        <f aca="false">COUNTIFS(DATA!A:A,B9,DATA!G:G,"CONFIRMADO")</f>
        <v>0</v>
      </c>
      <c r="G9" s="5" t="str">
        <f aca="false">IF(E9=0,"SIN DATA",IF(F9=E9,"✅ COMPLETO",IF(F9&gt;0,"🔄 PARCIAL",IF(COUNTIFS(DATA!A:A,B9,DATA!G:G,"PENDIENTE")=E9,"⏳ PENDIENTE","⚠ MIXTO"))))</f>
        <v>⏳ PENDIENTE</v>
      </c>
      <c r="H9" s="12" t="str">
        <f aca="false">"Hola "&amp;IFERROR(LEFT(TRIM(MID(B9,FIND(" ",B9,FIND(" ",B9)+1)+1,100)),IFERROR(FIND(" ",TRIM(MID(B9,FIND(" ",B9,FIND(" ",B9)+1)+1,100)))-1,100)),TRIM(MID(B9,FIND(" ",B9&amp;" ")+1,100)))&amp;", buen día."&amp;CHAR(10)&amp;CHAR(10)&amp;"Te escribo porque una persona de tu equipo aún no se ha sentado en el Capítulo 1:"&amp;CHAR(10)&amp;CHAR(10)&amp;"1. Camila Celena Machaca Pacompia"&amp;CHAR(10)&amp;CHAR(10)&amp;"El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Adrian, buen día.
Te escribo porque una persona de tu equipo aún no se ha sentado en el Capítulo 1:
1. Camila Celena Machaca Pacompia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 customFormat="false" ht="120" hidden="false" customHeight="true" outlineLevel="0" collapsed="false">
      <c r="A10" s="13" t="n">
        <v>6</v>
      </c>
      <c r="B10" s="3" t="s">
        <v>38</v>
      </c>
      <c r="C10" s="4" t="s">
        <v>40</v>
      </c>
      <c r="D10" s="4" t="s">
        <v>41</v>
      </c>
      <c r="E10" s="14" t="n">
        <f aca="false">COUNTIF(DATA!A:A,B10)</f>
        <v>2</v>
      </c>
      <c r="F10" s="14" t="n">
        <f aca="false">COUNTIFS(DATA!A:A,B10,DATA!G:G,"CONFIRMADO")</f>
        <v>0</v>
      </c>
      <c r="G10" s="5" t="str">
        <f aca="false">IF(E10=0,"SIN DATA",IF(F10=E10,"✅ COMPLETO",IF(F10&gt;0,"🔄 PARCIAL",IF(COUNTIFS(DATA!A:A,B10,DATA!G:G,"PENDIENTE")=E10,"⏳ PENDIENTE","⚠ MIXTO"))))</f>
        <v>⏳ PENDIENTE</v>
      </c>
      <c r="H10" s="12" t="str">
        <f aca="false">"Hola "&amp;IFERROR(LEFT(TRIM(MID(B10,FIND(" ",B10,FIND(" ",B10)+1)+1,100)),IFERROR(FIND(" ",TRIM(MID(B10,FIND(" ",B10,FIND(" ",B10)+1)+1,100)))-1,100)),TRIM(MID(B10,FIND(" ",B10&amp;" ")+1,100)))&amp;", buen día."&amp;CHAR(10)&amp;CHAR(10)&amp;"Te escribo porque "&amp;E10&amp;" personas de tu equipo aún no se han sentado en el Capítulo 1:"&amp;CHAR(10)&amp;CHAR(10)&amp;"1. Moises Mancisidor Dominguez
2. Lida Mancisidor Lopez"&amp;CHAR(10)&amp;CHAR(10)&amp;"El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Sandra, buen día.
Te escribo porque 2 personas de tu equipo aún no se han sentado en el Capítulo 1:
1. Moises Mancisidor Dominguez
2. Lida Mancisidor Lopez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 customFormat="false" ht="120" hidden="false" customHeight="true" outlineLevel="0" collapsed="false">
      <c r="A11" s="10" t="n">
        <v>7</v>
      </c>
      <c r="B11" s="6" t="s">
        <v>45</v>
      </c>
      <c r="C11" s="7" t="s">
        <v>40</v>
      </c>
      <c r="D11" s="7" t="s">
        <v>47</v>
      </c>
      <c r="E11" s="11" t="n">
        <f aca="false">COUNTIF(DATA!A:A,B11)</f>
        <v>2</v>
      </c>
      <c r="F11" s="11" t="n">
        <f aca="false">COUNTIFS(DATA!A:A,B11,DATA!G:G,"CONFIRMADO")</f>
        <v>0</v>
      </c>
      <c r="G11" s="5" t="str">
        <f aca="false">IF(E11=0,"SIN DATA",IF(F11=E11,"✅ COMPLETO",IF(F11&gt;0,"🔄 PARCIAL",IF(COUNTIFS(DATA!A:A,B11,DATA!G:G,"PENDIENTE")=E11,"⏳ PENDIENTE","⚠ MIXTO"))))</f>
        <v>⏳ PENDIENTE</v>
      </c>
      <c r="H11" s="12" t="str">
        <f aca="false">"Hola "&amp;IFERROR(LEFT(TRIM(MID(B11,FIND(" ",B11,FIND(" ",B11)+1)+1,100)),IFERROR(FIND(" ",TRIM(MID(B11,FIND(" ",B11,FIND(" ",B11)+1)+1,100)))-1,100)),TRIM(MID(B11,FIND(" ",B11&amp;" ")+1,100)))&amp;", buen día."&amp;CHAR(10)&amp;CHAR(10)&amp;"Te escribo porque "&amp;E11&amp;" personas de tu equipo aún no se han sentado en el Capítulo 1:"&amp;CHAR(10)&amp;CHAR(10)&amp;"1. Belén María Gutiérrez Vásquez
2. Yessenia Brillith Robles Zamora"&amp;CHAR(10)&amp;CHAR(10)&amp;"El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Roxana, buen día.
Te escribo porque 2 personas de tu equipo aún no se han sentado en el Capítulo 1:
1. Belén María Gutiérrez Vásquez
2. Yessenia Brillith Robles Zamora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2" customFormat="false" ht="105" hidden="false" customHeight="true" outlineLevel="0" collapsed="false">
      <c r="A12" s="13" t="n">
        <v>8</v>
      </c>
      <c r="B12" s="3" t="s">
        <v>50</v>
      </c>
      <c r="C12" s="4" t="s">
        <v>40</v>
      </c>
      <c r="D12" s="4" t="s">
        <v>52</v>
      </c>
      <c r="E12" s="14" t="n">
        <f aca="false">COUNTIF(DATA!A:A,B12)</f>
        <v>1</v>
      </c>
      <c r="F12" s="14" t="n">
        <f aca="false">COUNTIFS(DATA!A:A,B12,DATA!G:G,"CONFIRMADO")</f>
        <v>0</v>
      </c>
      <c r="G12" s="5" t="str">
        <f aca="false">IF(E12=0,"SIN DATA",IF(F12=E12,"✅ COMPLETO",IF(F12&gt;0,"🔄 PARCIAL",IF(COUNTIFS(DATA!A:A,B12,DATA!G:G,"PENDIENTE")=E12,"⏳ PENDIENTE","⚠ MIXTO"))))</f>
        <v>⏳ PENDIENTE</v>
      </c>
      <c r="H12" s="12" t="str">
        <f aca="false">"Hola "&amp;IFERROR(LEFT(TRIM(MID(B12,FIND(" ",B12,FIND(" ",B12)+1)+1,100)),IFERROR(FIND(" ",TRIM(MID(B12,FIND(" ",B12,FIND(" ",B12)+1)+1,100)))-1,100)),TRIM(MID(B12,FIND(" ",B12&amp;" ")+1,100)))&amp;", buen día."&amp;CHAR(10)&amp;CHAR(10)&amp;"Te escribo porque una persona de tu equipo aún no se ha sentado en el Capítulo 1:"&amp;CHAR(10)&amp;CHAR(10)&amp;"1. Anyeli Suney Prado Gómez"&amp;CHAR(10)&amp;CHAR(10)&amp;"El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Nora, buen día.
Te escribo porque una persona de tu equipo aún no se ha sentado en el Capítulo 1:
1. Anyeli Suney Prado Gómez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3" customFormat="false" ht="105" hidden="false" customHeight="true" outlineLevel="0" collapsed="false">
      <c r="A13" s="10" t="n">
        <v>9</v>
      </c>
      <c r="B13" s="6" t="s">
        <v>54</v>
      </c>
      <c r="C13" s="7" t="s">
        <v>40</v>
      </c>
      <c r="D13" s="7" t="s">
        <v>56</v>
      </c>
      <c r="E13" s="11" t="n">
        <f aca="false">COUNTIF(DATA!A:A,B13)</f>
        <v>1</v>
      </c>
      <c r="F13" s="11" t="n">
        <f aca="false">COUNTIFS(DATA!A:A,B13,DATA!G:G,"CONFIRMADO")</f>
        <v>0</v>
      </c>
      <c r="G13" s="5" t="str">
        <f aca="false">IF(E13=0,"SIN DATA",IF(F13=E13,"✅ COMPLETO",IF(F13&gt;0,"🔄 PARCIAL",IF(COUNTIFS(DATA!A:A,B13,DATA!G:G,"PENDIENTE")=E13,"⏳ PENDIENTE","⚠ MIXTO"))))</f>
        <v>⏳ PENDIENTE</v>
      </c>
      <c r="H13" s="12" t="str">
        <f aca="false">"Hola "&amp;IFERROR(LEFT(TRIM(MID(B13,FIND(" ",B13,FIND(" ",B13)+1)+1,100)),IFERROR(FIND(" ",TRIM(MID(B13,FIND(" ",B13,FIND(" ",B13)+1)+1,100)))-1,100)),TRIM(MID(B13,FIND(" ",B13&amp;" ")+1,100)))&amp;", buen día."&amp;CHAR(10)&amp;CHAR(10)&amp;"Te escribo porque una persona de tu equipo aún no se ha sentado en el Capítulo 1:"&amp;CHAR(10)&amp;CHAR(10)&amp;"1. Magaly Yenny Jaramillo Pinedo"&amp;CHAR(10)&amp;CHAR(10)&amp;"El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Reyna, buen día.
Te escribo porque una persona de tu equipo aún no se ha sentado en el Capítulo 1:
1. Magaly Yenny Jaramillo Pinedo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4" customFormat="false" ht="135" hidden="false" customHeight="true" outlineLevel="0" collapsed="false">
      <c r="A14" s="13" t="n">
        <v>10</v>
      </c>
      <c r="B14" s="3" t="s">
        <v>58</v>
      </c>
      <c r="C14" s="4" t="s">
        <v>40</v>
      </c>
      <c r="D14" s="4" t="s">
        <v>60</v>
      </c>
      <c r="E14" s="14" t="n">
        <f aca="false">COUNTIF(DATA!A:A,B14)</f>
        <v>3</v>
      </c>
      <c r="F14" s="14" t="n">
        <f aca="false">COUNTIFS(DATA!A:A,B14,DATA!G:G,"CONFIRMADO")</f>
        <v>0</v>
      </c>
      <c r="G14" s="5" t="str">
        <f aca="false">IF(E14=0,"SIN DATA",IF(F14=E14,"✅ COMPLETO",IF(F14&gt;0,"🔄 PARCIAL",IF(COUNTIFS(DATA!A:A,B14,DATA!G:G,"PENDIENTE")=E14,"⏳ PENDIENTE","⚠ MIXTO"))))</f>
        <v>⏳ PENDIENTE</v>
      </c>
      <c r="H14" s="12" t="str">
        <f aca="false">"Hola "&amp;IFERROR(LEFT(TRIM(MID(B14,FIND(" ",B14,FIND(" ",B14)+1)+1,100)),IFERROR(FIND(" ",TRIM(MID(B14,FIND(" ",B14,FIND(" ",B14)+1)+1,100)))-1,100)),TRIM(MID(B14,FIND(" ",B14&amp;" ")+1,100)))&amp;", buen día."&amp;CHAR(10)&amp;CHAR(10)&amp;"Te escribo porque "&amp;E14&amp;" personas de tu equipo aún no se han sentado en el Capítulo 1:"&amp;CHAR(10)&amp;CHAR(10)&amp;"1. Silvia Cecilia Tello Rojas
2. Julio Cesar Tello Rojas
3. Hermelinda Delgado Heredia"&amp;CHAR(10)&amp;CHAR(10)&amp;"El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Flor, buen día.
Te escribo porque 3 personas de tu equipo aún no se han sentado en el Capítulo 1:
1. Silvia Cecilia Tello Rojas
2. Julio Cesar Tello Rojas
3. Hermelinda Delgado Heredia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 customFormat="false" ht="105" hidden="false" customHeight="true" outlineLevel="0" collapsed="false">
      <c r="A15" s="10" t="n">
        <v>11</v>
      </c>
      <c r="B15" s="6" t="s">
        <v>64</v>
      </c>
      <c r="C15" s="7" t="s">
        <v>40</v>
      </c>
      <c r="D15" s="7" t="s">
        <v>66</v>
      </c>
      <c r="E15" s="11" t="n">
        <f aca="false">COUNTIF(DATA!A:A,B15)</f>
        <v>1</v>
      </c>
      <c r="F15" s="11" t="n">
        <f aca="false">COUNTIFS(DATA!A:A,B15,DATA!G:G,"CONFIRMADO")</f>
        <v>0</v>
      </c>
      <c r="G15" s="5" t="str">
        <f aca="false">IF(E15=0,"SIN DATA",IF(F15=E15,"✅ COMPLETO",IF(F15&gt;0,"🔄 PARCIAL",IF(COUNTIFS(DATA!A:A,B15,DATA!G:G,"PENDIENTE")=E15,"⏳ PENDIENTE","⚠ MIXTO"))))</f>
        <v>⏳ PENDIENTE</v>
      </c>
      <c r="H15" s="12" t="str">
        <f aca="false">"Hola "&amp;IFERROR(LEFT(TRIM(MID(B15,FIND(" ",B15,FIND(" ",B15)+1)+1,100)),IFERROR(FIND(" ",TRIM(MID(B15,FIND(" ",B15,FIND(" ",B15)+1)+1,100)))-1,100)),TRIM(MID(B15,FIND(" ",B15&amp;" ")+1,100)))&amp;", buen día."&amp;CHAR(10)&amp;CHAR(10)&amp;"Te escribo porque una persona de tu equipo aún no se ha sentado en el Capítulo 1:"&amp;CHAR(10)&amp;CHAR(10)&amp;"1. Carolina Floresmila Montoro Acosta"&amp;CHAR(10)&amp;CHAR(10)&amp;"El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Jessica, buen día.
Te escribo porque una persona de tu equipo aún no se ha sentado en el Capítulo 1:
1. Carolina Floresmila Montoro Acosta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6" customFormat="false" ht="105" hidden="false" customHeight="true" outlineLevel="0" collapsed="false">
      <c r="A16" s="13" t="n">
        <v>12</v>
      </c>
      <c r="B16" s="3" t="s">
        <v>68</v>
      </c>
      <c r="C16" s="4" t="s">
        <v>40</v>
      </c>
      <c r="D16" s="4" t="s">
        <v>70</v>
      </c>
      <c r="E16" s="14" t="n">
        <f aca="false">COUNTIF(DATA!A:A,B16)</f>
        <v>1</v>
      </c>
      <c r="F16" s="14" t="n">
        <f aca="false">COUNTIFS(DATA!A:A,B16,DATA!G:G,"CONFIRMADO")</f>
        <v>0</v>
      </c>
      <c r="G16" s="5" t="str">
        <f aca="false">IF(E16=0,"SIN DATA",IF(F16=E16,"✅ COMPLETO",IF(F16&gt;0,"🔄 PARCIAL",IF(COUNTIFS(DATA!A:A,B16,DATA!G:G,"PENDIENTE")=E16,"⏳ PENDIENTE","⚠ MIXTO"))))</f>
        <v>⏳ PENDIENTE</v>
      </c>
      <c r="H16" s="12" t="str">
        <f aca="false">"Hola "&amp;IFERROR(LEFT(TRIM(MID(B16,FIND(" ",B16,FIND(" ",B16)+1)+1,100)),IFERROR(FIND(" ",TRIM(MID(B16,FIND(" ",B16,FIND(" ",B16)+1)+1,100)))-1,100)),TRIM(MID(B16,FIND(" ",B16&amp;" ")+1,100)))&amp;", buen día."&amp;CHAR(10)&amp;CHAR(10)&amp;"Te escribo porque una persona de tu equipo aún no se ha sentado en el Capítulo 1:"&amp;CHAR(10)&amp;CHAR(10)&amp;"1. Jose Luis Montoya Garcia"&amp;CHAR(10)&amp;CHAR(10)&amp;"El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Gian, buen día.
Te escribo porque una persona de tu equipo aún no se ha sentado en el Capítulo 1:
1. Jose Luis Montoya Garcia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7" customFormat="false" ht="105" hidden="false" customHeight="true" outlineLevel="0" collapsed="false">
      <c r="A17" s="10" t="n">
        <v>13</v>
      </c>
      <c r="B17" s="6" t="s">
        <v>72</v>
      </c>
      <c r="C17" s="7" t="s">
        <v>40</v>
      </c>
      <c r="D17" s="7" t="s">
        <v>74</v>
      </c>
      <c r="E17" s="11" t="n">
        <f aca="false">COUNTIF(DATA!A:A,B17)</f>
        <v>1</v>
      </c>
      <c r="F17" s="11" t="n">
        <f aca="false">COUNTIFS(DATA!A:A,B17,DATA!G:G,"CONFIRMADO")</f>
        <v>0</v>
      </c>
      <c r="G17" s="5" t="str">
        <f aca="false">IF(E17=0,"SIN DATA",IF(F17=E17,"✅ COMPLETO",IF(F17&gt;0,"🔄 PARCIAL",IF(COUNTIFS(DATA!A:A,B17,DATA!G:G,"PENDIENTE")=E17,"⏳ PENDIENTE","⚠ MIXTO"))))</f>
        <v>⏳ PENDIENTE</v>
      </c>
      <c r="H17" s="12" t="str">
        <f aca="false">"Hola "&amp;IFERROR(LEFT(TRIM(MID(B17,FIND(" ",B17,FIND(" ",B17)+1)+1,100)),IFERROR(FIND(" ",TRIM(MID(B17,FIND(" ",B17,FIND(" ",B17)+1)+1,100)))-1,100)),TRIM(MID(B17,FIND(" ",B17&amp;" ")+1,100)))&amp;", buen día."&amp;CHAR(10)&amp;CHAR(10)&amp;"Te escribo porque una persona de tu equipo aún no se ha sentado en el Capítulo 1:"&amp;CHAR(10)&amp;CHAR(10)&amp;"1. Ruth Milagros Morán Morán"&amp;CHAR(10)&amp;CHAR(10)&amp;"El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Marilin, buen día.
Te escribo porque una persona de tu equipo aún no se ha sentado en el Capítulo 1:
1. Ruth Milagros Morán Morán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8" customFormat="false" ht="105" hidden="false" customHeight="true" outlineLevel="0" collapsed="false">
      <c r="A18" s="13" t="n">
        <v>14</v>
      </c>
      <c r="B18" s="3" t="s">
        <v>76</v>
      </c>
      <c r="C18" s="4" t="s">
        <v>40</v>
      </c>
      <c r="D18" s="4" t="s">
        <v>78</v>
      </c>
      <c r="E18" s="14" t="n">
        <f aca="false">COUNTIF(DATA!A:A,B18)</f>
        <v>1</v>
      </c>
      <c r="F18" s="14" t="n">
        <f aca="false">COUNTIFS(DATA!A:A,B18,DATA!G:G,"CONFIRMADO")</f>
        <v>0</v>
      </c>
      <c r="G18" s="5" t="str">
        <f aca="false">IF(E18=0,"SIN DATA",IF(F18=E18,"✅ COMPLETO",IF(F18&gt;0,"🔄 PARCIAL",IF(COUNTIFS(DATA!A:A,B18,DATA!G:G,"PENDIENTE")=E18,"⏳ PENDIENTE","⚠ MIXTO"))))</f>
        <v>⏳ PENDIENTE</v>
      </c>
      <c r="H18" s="12" t="str">
        <f aca="false">"Hola "&amp;IFERROR(LEFT(TRIM(MID(B18,FIND(" ",B18,FIND(" ",B18)+1)+1,100)),IFERROR(FIND(" ",TRIM(MID(B18,FIND(" ",B18,FIND(" ",B18)+1)+1,100)))-1,100)),TRIM(MID(B18,FIND(" ",B18&amp;" ")+1,100)))&amp;", buen día."&amp;CHAR(10)&amp;CHAR(10)&amp;"Te escribo porque una persona de tu equipo aún no se ha sentado en el Capítulo 1:"&amp;CHAR(10)&amp;CHAR(10)&amp;"1. Mercedes Niquin Dominguez"&amp;CHAR(10)&amp;CHAR(10)&amp;"El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Carmen, buen día.
Te escribo porque una persona de tu equipo aún no se ha sentado en el Capítulo 1:
1. Mercedes Niquin Dominguez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 customFormat="false" ht="105" hidden="false" customHeight="true" outlineLevel="0" collapsed="false">
      <c r="A19" s="10" t="n">
        <v>15</v>
      </c>
      <c r="B19" s="6" t="s">
        <v>80</v>
      </c>
      <c r="C19" s="7" t="s">
        <v>40</v>
      </c>
      <c r="D19" s="7" t="s">
        <v>82</v>
      </c>
      <c r="E19" s="11" t="n">
        <f aca="false">COUNTIF(DATA!A:A,B19)</f>
        <v>1</v>
      </c>
      <c r="F19" s="11" t="n">
        <f aca="false">COUNTIFS(DATA!A:A,B19,DATA!G:G,"CONFIRMADO")</f>
        <v>0</v>
      </c>
      <c r="G19" s="5" t="str">
        <f aca="false">IF(E19=0,"SIN DATA",IF(F19=E19,"✅ COMPLETO",IF(F19&gt;0,"🔄 PARCIAL",IF(COUNTIFS(DATA!A:A,B19,DATA!G:G,"PENDIENTE")=E19,"⏳ PENDIENTE","⚠ MIXTO"))))</f>
        <v>⏳ PENDIENTE</v>
      </c>
      <c r="H19" s="12" t="str">
        <f aca="false">"Hola "&amp;IFERROR(LEFT(TRIM(MID(B19,FIND(" ",B19,FIND(" ",B19)+1)+1,100)),IFERROR(FIND(" ",TRIM(MID(B19,FIND(" ",B19,FIND(" ",B19)+1)+1,100)))-1,100)),TRIM(MID(B19,FIND(" ",B19&amp;" ")+1,100)))&amp;", buen día."&amp;CHAR(10)&amp;CHAR(10)&amp;"Te escribo porque una persona de tu equipo aún no se ha sentado en el Capítulo 1:"&amp;CHAR(10)&amp;CHAR(10)&amp;"1. Lessly Ossorio C."&amp;CHAR(10)&amp;CHAR(10)&amp;"El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Jesus, buen día.
Te escribo porque una persona de tu equipo aún no se ha sentado en el Capítulo 1:
1. Lessly Ossorio C.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0" customFormat="false" ht="120" hidden="false" customHeight="true" outlineLevel="0" collapsed="false">
      <c r="A20" s="13" t="n">
        <v>16</v>
      </c>
      <c r="B20" s="3" t="s">
        <v>84</v>
      </c>
      <c r="C20" s="4" t="s">
        <v>40</v>
      </c>
      <c r="D20" s="4" t="s">
        <v>86</v>
      </c>
      <c r="E20" s="14" t="n">
        <f aca="false">COUNTIF(DATA!A:A,B20)</f>
        <v>2</v>
      </c>
      <c r="F20" s="14" t="n">
        <f aca="false">COUNTIFS(DATA!A:A,B20,DATA!G:G,"CONFIRMADO")</f>
        <v>0</v>
      </c>
      <c r="G20" s="5" t="str">
        <f aca="false">IF(E20=0,"SIN DATA",IF(F20=E20,"✅ COMPLETO",IF(F20&gt;0,"🔄 PARCIAL",IF(COUNTIFS(DATA!A:A,B20,DATA!G:G,"PENDIENTE")=E20,"⏳ PENDIENTE","⚠ MIXTO"))))</f>
        <v>⏳ PENDIENTE</v>
      </c>
      <c r="H20" s="12" t="str">
        <f aca="false">"Hola "&amp;IFERROR(LEFT(TRIM(MID(B20,FIND(" ",B20,FIND(" ",B20)+1)+1,100)),IFERROR(FIND(" ",TRIM(MID(B20,FIND(" ",B20,FIND(" ",B20)+1)+1,100)))-1,100)),TRIM(MID(B20,FIND(" ",B20&amp;" ")+1,100)))&amp;", buen día."&amp;CHAR(10)&amp;CHAR(10)&amp;"Te escribo porque "&amp;E20&amp;" personas de tu equipo aún no se han sentado en el Capítulo 1:"&amp;CHAR(10)&amp;CHAR(10)&amp;"1. Kevin Pedro Perez Garcia
2. Jossymar Alberto Leon Alba"&amp;CHAR(10)&amp;CHAR(10)&amp;"El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Diego, buen día.
Te escribo porque 2 personas de tu equipo aún no se han sentado en el Capítulo 1:
1. Kevin Pedro Perez Garcia
2. Jossymar Alberto Leon Alba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 customFormat="false" ht="135" hidden="false" customHeight="true" outlineLevel="0" collapsed="false">
      <c r="A21" s="10" t="n">
        <v>17</v>
      </c>
      <c r="B21" s="6" t="s">
        <v>89</v>
      </c>
      <c r="C21" s="7" t="s">
        <v>40</v>
      </c>
      <c r="D21" s="7" t="s">
        <v>91</v>
      </c>
      <c r="E21" s="11" t="n">
        <f aca="false">COUNTIF(DATA!A:A,B21)</f>
        <v>3</v>
      </c>
      <c r="F21" s="11" t="n">
        <f aca="false">COUNTIFS(DATA!A:A,B21,DATA!G:G,"CONFIRMADO")</f>
        <v>0</v>
      </c>
      <c r="G21" s="5" t="str">
        <f aca="false">IF(E21=0,"SIN DATA",IF(F21=E21,"✅ COMPLETO",IF(F21&gt;0,"🔄 PARCIAL",IF(COUNTIFS(DATA!A:A,B21,DATA!G:G,"PENDIENTE")=E21,"⏳ PENDIENTE","⚠ MIXTO"))))</f>
        <v>⏳ PENDIENTE</v>
      </c>
      <c r="H21" s="12" t="str">
        <f aca="false">"Hola "&amp;IFERROR(LEFT(TRIM(MID(B21,FIND(" ",B21,FIND(" ",B21)+1)+1,100)),IFERROR(FIND(" ",TRIM(MID(B21,FIND(" ",B21,FIND(" ",B21)+1)+1,100)))-1,100)),TRIM(MID(B21,FIND(" ",B21&amp;" ")+1,100)))&amp;", buen día."&amp;CHAR(10)&amp;CHAR(10)&amp;"Te escribo porque "&amp;E21&amp;" personas de tu equipo aún no se han sentado en el Capítulo 1:"&amp;CHAR(10)&amp;CHAR(10)&amp;"1. Gianella Brissete Gutierrez Narvaez
2. Zadid Días
3. Rosa Marysabell Romero Cárdenas"&amp;CHAR(10)&amp;CHAR(10)&amp;"El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Bryan, buen día.
Te escribo porque 3 personas de tu equipo aún no se han sentado en el Capítulo 1:
1. Gianella Brissete Gutierrez Narvaez
2. Zadid Días
3. Rosa Marysabell Romero Cárdenas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2" customFormat="false" ht="105" hidden="false" customHeight="true" outlineLevel="0" collapsed="false">
      <c r="A22" s="13" t="n">
        <v>18</v>
      </c>
      <c r="B22" s="3" t="s">
        <v>95</v>
      </c>
      <c r="C22" s="4" t="s">
        <v>97</v>
      </c>
      <c r="D22" s="4" t="s">
        <v>98</v>
      </c>
      <c r="E22" s="14" t="n">
        <f aca="false">COUNTIF(DATA!A:A,B22)</f>
        <v>1</v>
      </c>
      <c r="F22" s="14" t="n">
        <f aca="false">COUNTIFS(DATA!A:A,B22,DATA!G:G,"CONFIRMADO")</f>
        <v>0</v>
      </c>
      <c r="G22" s="5" t="str">
        <f aca="false">IF(E22=0,"SIN DATA",IF(F22=E22,"✅ COMPLETO",IF(F22&gt;0,"🔄 PARCIAL",IF(COUNTIFS(DATA!A:A,B22,DATA!G:G,"PENDIENTE")=E22,"⏳ PENDIENTE","⚠ MIXTO"))))</f>
        <v>⏳ PENDIENTE</v>
      </c>
      <c r="H22" s="12" t="str">
        <f aca="false">"Hola "&amp;IFERROR(LEFT(TRIM(MID(B22,FIND(" ",B22,FIND(" ",B22)+1)+1,100)),IFERROR(FIND(" ",TRIM(MID(B22,FIND(" ",B22,FIND(" ",B22)+1)+1,100)))-1,100)),TRIM(MID(B22,FIND(" ",B22&amp;" ")+1,100)))&amp;", buen día."&amp;CHAR(10)&amp;CHAR(10)&amp;"Te escribo porque una persona de tu equipo aún no se ha sentado en el Capítulo 1:"&amp;CHAR(10)&amp;CHAR(10)&amp;"1. Thalia Giorgina Gamboa Valdivia"&amp;CHAR(10)&amp;CHAR(10)&amp;"El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Nathaly, buen día.
Te escribo porque una persona de tu equipo aún no se ha sentado en el Capítulo 1:
1. Thalia Giorgina Gamboa Valdivia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3" customFormat="false" ht="105" hidden="false" customHeight="true" outlineLevel="0" collapsed="false">
      <c r="A23" s="10" t="n">
        <v>19</v>
      </c>
      <c r="B23" s="6" t="s">
        <v>101</v>
      </c>
      <c r="C23" s="7" t="s">
        <v>97</v>
      </c>
      <c r="D23" s="7" t="s">
        <v>103</v>
      </c>
      <c r="E23" s="11" t="n">
        <f aca="false">COUNTIF(DATA!A:A,B23)</f>
        <v>1</v>
      </c>
      <c r="F23" s="11" t="n">
        <f aca="false">COUNTIFS(DATA!A:A,B23,DATA!G:G,"CONFIRMADO")</f>
        <v>0</v>
      </c>
      <c r="G23" s="5" t="str">
        <f aca="false">IF(E23=0,"SIN DATA",IF(F23=E23,"✅ COMPLETO",IF(F23&gt;0,"🔄 PARCIAL",IF(COUNTIFS(DATA!A:A,B23,DATA!G:G,"PENDIENTE")=E23,"⏳ PENDIENTE","⚠ MIXTO"))))</f>
        <v>⏳ PENDIENTE</v>
      </c>
      <c r="H23" s="12" t="str">
        <f aca="false">"Hola "&amp;IFERROR(LEFT(TRIM(MID(B23,FIND(" ",B23,FIND(" ",B23)+1)+1,100)),IFERROR(FIND(" ",TRIM(MID(B23,FIND(" ",B23,FIND(" ",B23)+1)+1,100)))-1,100)),TRIM(MID(B23,FIND(" ",B23&amp;" ")+1,100)))&amp;", buen día."&amp;CHAR(10)&amp;CHAR(10)&amp;"Te escribo porque una persona de tu equipo aún no se ha sentado en el Capítulo 1:"&amp;CHAR(10)&amp;CHAR(10)&amp;"1. Richard Elvis Tolentino Angulo"&amp;CHAR(10)&amp;CHAR(10)&amp;"El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Roberto, buen día.
Te escribo porque una persona de tu equipo aún no se ha sentado en el Capítulo 1:
1. Richard Elvis Tolentino Angulo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4" customFormat="false" ht="105" hidden="false" customHeight="true" outlineLevel="0" collapsed="false">
      <c r="A24" s="13" t="n">
        <v>20</v>
      </c>
      <c r="B24" s="3" t="s">
        <v>105</v>
      </c>
      <c r="C24" s="4" t="s">
        <v>97</v>
      </c>
      <c r="D24" s="4" t="s">
        <v>107</v>
      </c>
      <c r="E24" s="14" t="n">
        <f aca="false">COUNTIF(DATA!A:A,B24)</f>
        <v>1</v>
      </c>
      <c r="F24" s="14" t="n">
        <f aca="false">COUNTIFS(DATA!A:A,B24,DATA!G:G,"CONFIRMADO")</f>
        <v>0</v>
      </c>
      <c r="G24" s="5" t="str">
        <f aca="false">IF(E24=0,"SIN DATA",IF(F24=E24,"✅ COMPLETO",IF(F24&gt;0,"🔄 PARCIAL",IF(COUNTIFS(DATA!A:A,B24,DATA!G:G,"PENDIENTE")=E24,"⏳ PENDIENTE","⚠ MIXTO"))))</f>
        <v>⏳ PENDIENTE</v>
      </c>
      <c r="H24" s="12" t="str">
        <f aca="false">"Hola "&amp;IFERROR(LEFT(TRIM(MID(B24,FIND(" ",B24,FIND(" ",B24)+1)+1,100)),IFERROR(FIND(" ",TRIM(MID(B24,FIND(" ",B24,FIND(" ",B24)+1)+1,100)))-1,100)),TRIM(MID(B24,FIND(" ",B24&amp;" ")+1,100)))&amp;", buen día."&amp;CHAR(10)&amp;CHAR(10)&amp;"Te escribo porque una persona de tu equipo aún no se ha sentado en el Capítulo 1:"&amp;CHAR(10)&amp;CHAR(10)&amp;"1. Vooictor Eugenio Rodolfo Guerrero Soto"&amp;CHAR(10)&amp;CHAR(10)&amp;"El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Liz, buen día.
Te escribo porque una persona de tu equipo aún no se ha sentado en el Capítulo 1:
1. Vooictor Eugenio Rodolfo Guerrero Soto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 customFormat="false" ht="135" hidden="false" customHeight="true" outlineLevel="0" collapsed="false">
      <c r="A25" s="10" t="n">
        <v>21</v>
      </c>
      <c r="B25" s="6" t="s">
        <v>109</v>
      </c>
      <c r="C25" s="7" t="s">
        <v>97</v>
      </c>
      <c r="D25" s="7" t="s">
        <v>111</v>
      </c>
      <c r="E25" s="11" t="n">
        <f aca="false">COUNTIF(DATA!A:A,B25)</f>
        <v>3</v>
      </c>
      <c r="F25" s="11" t="n">
        <f aca="false">COUNTIFS(DATA!A:A,B25,DATA!G:G,"CONFIRMADO")</f>
        <v>0</v>
      </c>
      <c r="G25" s="5" t="str">
        <f aca="false">IF(E25=0,"SIN DATA",IF(F25=E25,"✅ COMPLETO",IF(F25&gt;0,"🔄 PARCIAL",IF(COUNTIFS(DATA!A:A,B25,DATA!G:G,"PENDIENTE")=E25,"⏳ PENDIENTE","⚠ MIXTO"))))</f>
        <v>⏳ PENDIENTE</v>
      </c>
      <c r="H25" s="12" t="str">
        <f aca="false">"Hola "&amp;IFERROR(LEFT(TRIM(MID(B25,FIND(" ",B25,FIND(" ",B25)+1)+1,100)),IFERROR(FIND(" ",TRIM(MID(B25,FIND(" ",B25,FIND(" ",B25)+1)+1,100)))-1,100)),TRIM(MID(B25,FIND(" ",B25&amp;" ")+1,100)))&amp;", buen día."&amp;CHAR(10)&amp;CHAR(10)&amp;"Te escribo porque "&amp;E25&amp;" personas de tu equipo aún no se han sentado en el Capítulo 1:"&amp;CHAR(10)&amp;CHAR(10)&amp;"1. David Eduardo Luque Tejada
2. Flor De María Montoya Cruzado
3. Mercedes Margot Flores Ipanaqui"&amp;CHAR(10)&amp;CHAR(10)&amp;"El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Rodrigo, buen día.
Te escribo porque 3 personas de tu equipo aún no se han sentado en el Capítulo 1:
1. David Eduardo Luque Tejada
2. Flor De María Montoya Cruzado
3. Mercedes Margot Flores Ipanaqui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 customFormat="false" ht="105" hidden="false" customHeight="true" outlineLevel="0" collapsed="false">
      <c r="A26" s="13" t="n">
        <v>22</v>
      </c>
      <c r="B26" s="3" t="s">
        <v>115</v>
      </c>
      <c r="C26" s="4" t="s">
        <v>97</v>
      </c>
      <c r="D26" s="4" t="s">
        <v>117</v>
      </c>
      <c r="E26" s="14" t="n">
        <f aca="false">COUNTIF(DATA!A:A,B26)</f>
        <v>1</v>
      </c>
      <c r="F26" s="14" t="n">
        <f aca="false">COUNTIFS(DATA!A:A,B26,DATA!G:G,"CONFIRMADO")</f>
        <v>0</v>
      </c>
      <c r="G26" s="5" t="str">
        <f aca="false">IF(E26=0,"SIN DATA",IF(F26=E26,"✅ COMPLETO",IF(F26&gt;0,"🔄 PARCIAL",IF(COUNTIFS(DATA!A:A,B26,DATA!G:G,"PENDIENTE")=E26,"⏳ PENDIENTE","⚠ MIXTO"))))</f>
        <v>⏳ PENDIENTE</v>
      </c>
      <c r="H26" s="12" t="str">
        <f aca="false">"Hola "&amp;IFERROR(LEFT(TRIM(MID(B26,FIND(" ",B26,FIND(" ",B26)+1)+1,100)),IFERROR(FIND(" ",TRIM(MID(B26,FIND(" ",B26,FIND(" ",B26)+1)+1,100)))-1,100)),TRIM(MID(B26,FIND(" ",B26&amp;" ")+1,100)))&amp;", buen día."&amp;CHAR(10)&amp;CHAR(10)&amp;"Te escribo porque una persona de tu equipo aún no se ha sentado en el Capítulo 1:"&amp;CHAR(10)&amp;CHAR(10)&amp;"1. Julián Aquino Huaman"&amp;CHAR(10)&amp;CHAR(10)&amp;"El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Sebastian, buen día.
Te escribo porque una persona de tu equipo aún no se ha sentado en el Capítulo 1:
1. Julián Aquino Huaman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 customFormat="false" ht="135" hidden="false" customHeight="true" outlineLevel="0" collapsed="false">
      <c r="A27" s="10" t="n">
        <v>23</v>
      </c>
      <c r="B27" s="6" t="s">
        <v>119</v>
      </c>
      <c r="C27" s="7" t="s">
        <v>97</v>
      </c>
      <c r="D27" s="7" t="s">
        <v>121</v>
      </c>
      <c r="E27" s="11" t="n">
        <f aca="false">COUNTIF(DATA!A:A,B27)</f>
        <v>3</v>
      </c>
      <c r="F27" s="11" t="n">
        <f aca="false">COUNTIFS(DATA!A:A,B27,DATA!G:G,"CONFIRMADO")</f>
        <v>0</v>
      </c>
      <c r="G27" s="5" t="str">
        <f aca="false">IF(E27=0,"SIN DATA",IF(F27=E27,"✅ COMPLETO",IF(F27&gt;0,"🔄 PARCIAL",IF(COUNTIFS(DATA!A:A,B27,DATA!G:G,"PENDIENTE")=E27,"⏳ PENDIENTE","⚠ MIXTO"))))</f>
        <v>⏳ PENDIENTE</v>
      </c>
      <c r="H27" s="12" t="str">
        <f aca="false">"Hola "&amp;IFERROR(LEFT(TRIM(MID(B27,FIND(" ",B27,FIND(" ",B27)+1)+1,100)),IFERROR(FIND(" ",TRIM(MID(B27,FIND(" ",B27,FIND(" ",B27)+1)+1,100)))-1,100)),TRIM(MID(B27,FIND(" ",B27&amp;" ")+1,100)))&amp;", buen día."&amp;CHAR(10)&amp;CHAR(10)&amp;"Te escribo porque "&amp;E27&amp;" personas de tu equipo aún no se han sentado en el Capítulo 1:"&amp;CHAR(10)&amp;CHAR(10)&amp;"1. Rosalin Carolina Pernia Bandera
2. Lizbeth Briceño Heredia
3. Veronica Delgado Rimarachin"&amp;CHAR(10)&amp;CHAR(10)&amp;"El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Cruz, buen día.
Te escribo porque 3 personas de tu equipo aún no se han sentado en el Capítulo 1:
1. Rosalin Carolina Pernia Bandera
2. Lizbeth Briceño Heredia
3. Veronica Delgado Rimarachin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8" customFormat="false" ht="105" hidden="false" customHeight="true" outlineLevel="0" collapsed="false">
      <c r="A28" s="13" t="n">
        <v>24</v>
      </c>
      <c r="B28" s="3" t="s">
        <v>125</v>
      </c>
      <c r="C28" s="4" t="s">
        <v>97</v>
      </c>
      <c r="D28" s="4" t="s">
        <v>127</v>
      </c>
      <c r="E28" s="14" t="n">
        <f aca="false">COUNTIF(DATA!A:A,B28)</f>
        <v>1</v>
      </c>
      <c r="F28" s="14" t="n">
        <f aca="false">COUNTIFS(DATA!A:A,B28,DATA!G:G,"CONFIRMADO")</f>
        <v>0</v>
      </c>
      <c r="G28" s="5" t="str">
        <f aca="false">IF(E28=0,"SIN DATA",IF(F28=E28,"✅ COMPLETO",IF(F28&gt;0,"🔄 PARCIAL",IF(COUNTIFS(DATA!A:A,B28,DATA!G:G,"PENDIENTE")=E28,"⏳ PENDIENTE","⚠ MIXTO"))))</f>
        <v>⏳ PENDIENTE</v>
      </c>
      <c r="H28" s="12" t="str">
        <f aca="false">"Hola "&amp;IFERROR(LEFT(TRIM(MID(B28,FIND(" ",B28,FIND(" ",B28)+1)+1,100)),IFERROR(FIND(" ",TRIM(MID(B28,FIND(" ",B28,FIND(" ",B28)+1)+1,100)))-1,100)),TRIM(MID(B28,FIND(" ",B28&amp;" ")+1,100)))&amp;", buen día."&amp;CHAR(10)&amp;CHAR(10)&amp;"Te escribo porque una persona de tu equipo aún no se ha sentado en el Capítulo 1:"&amp;CHAR(10)&amp;CHAR(10)&amp;"1. Rafael Gonzales Aranzaens"&amp;CHAR(10)&amp;CHAR(10)&amp;"El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Mauricio, buen día.
Te escribo porque una persona de tu equipo aún no se ha sentado en el Capítulo 1:
1. Rafael Gonzales Aranzaens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9" customFormat="false" ht="105" hidden="false" customHeight="true" outlineLevel="0" collapsed="false">
      <c r="A29" s="10" t="n">
        <v>25</v>
      </c>
      <c r="B29" s="6" t="s">
        <v>129</v>
      </c>
      <c r="C29" s="7" t="s">
        <v>97</v>
      </c>
      <c r="D29" s="7" t="s">
        <v>131</v>
      </c>
      <c r="E29" s="11" t="n">
        <f aca="false">COUNTIF(DATA!A:A,B29)</f>
        <v>1</v>
      </c>
      <c r="F29" s="11" t="n">
        <f aca="false">COUNTIFS(DATA!A:A,B29,DATA!G:G,"CONFIRMADO")</f>
        <v>0</v>
      </c>
      <c r="G29" s="5" t="str">
        <f aca="false">IF(E29=0,"SIN DATA",IF(F29=E29,"✅ COMPLETO",IF(F29&gt;0,"🔄 PARCIAL",IF(COUNTIFS(DATA!A:A,B29,DATA!G:G,"PENDIENTE")=E29,"⏳ PENDIENTE","⚠ MIXTO"))))</f>
        <v>⏳ PENDIENTE</v>
      </c>
      <c r="H29" s="12" t="str">
        <f aca="false">"Hola "&amp;IFERROR(LEFT(TRIM(MID(B29,FIND(" ",B29,FIND(" ",B29)+1)+1,100)),IFERROR(FIND(" ",TRIM(MID(B29,FIND(" ",B29,FIND(" ",B29)+1)+1,100)))-1,100)),TRIM(MID(B29,FIND(" ",B29&amp;" ")+1,100)))&amp;", buen día."&amp;CHAR(10)&amp;CHAR(10)&amp;"Te escribo porque una persona de tu equipo aún no se ha sentado en el Capítulo 1:"&amp;CHAR(10)&amp;CHAR(10)&amp;"1. Jhanet De La Cruz Bautista"&amp;CHAR(10)&amp;CHAR(10)&amp;"El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Carlos, buen día.
Te escribo porque una persona de tu equipo aún no se ha sentado en el Capítulo 1:
1. Jhanet De La Cruz Bautista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0" customFormat="false" ht="105" hidden="false" customHeight="true" outlineLevel="0" collapsed="false">
      <c r="A30" s="13" t="n">
        <v>26</v>
      </c>
      <c r="B30" s="3" t="s">
        <v>133</v>
      </c>
      <c r="C30" s="4" t="s">
        <v>97</v>
      </c>
      <c r="D30" s="4" t="s">
        <v>135</v>
      </c>
      <c r="E30" s="14" t="n">
        <f aca="false">COUNTIF(DATA!A:A,B30)</f>
        <v>1</v>
      </c>
      <c r="F30" s="14" t="n">
        <f aca="false">COUNTIFS(DATA!A:A,B30,DATA!G:G,"CONFIRMADO")</f>
        <v>0</v>
      </c>
      <c r="G30" s="5" t="str">
        <f aca="false">IF(E30=0,"SIN DATA",IF(F30=E30,"✅ COMPLETO",IF(F30&gt;0,"🔄 PARCIAL",IF(COUNTIFS(DATA!A:A,B30,DATA!G:G,"PENDIENTE")=E30,"⏳ PENDIENTE","⚠ MIXTO"))))</f>
        <v>⏳ PENDIENTE</v>
      </c>
      <c r="H30" s="12" t="str">
        <f aca="false">"Hola "&amp;IFERROR(LEFT(TRIM(MID(B30,FIND(" ",B30,FIND(" ",B30)+1)+1,100)),IFERROR(FIND(" ",TRIM(MID(B30,FIND(" ",B30,FIND(" ",B30)+1)+1,100)))-1,100)),TRIM(MID(B30,FIND(" ",B30&amp;" ")+1,100)))&amp;", buen día."&amp;CHAR(10)&amp;CHAR(10)&amp;"Te escribo porque una persona de tu equipo aún no se ha sentado en el Capítulo 1:"&amp;CHAR(10)&amp;CHAR(10)&amp;"1. Willy Adrian Quispe"&amp;CHAR(10)&amp;CHAR(10)&amp;"El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Jorge, buen día.
Te escribo porque una persona de tu equipo aún no se ha sentado en el Capítulo 1:
1. Willy Adrian Quispe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1" customFormat="false" ht="105" hidden="false" customHeight="true" outlineLevel="0" collapsed="false">
      <c r="A31" s="10" t="n">
        <v>27</v>
      </c>
      <c r="B31" s="6" t="s">
        <v>137</v>
      </c>
      <c r="C31" s="7" t="s">
        <v>97</v>
      </c>
      <c r="D31" s="7" t="s">
        <v>139</v>
      </c>
      <c r="E31" s="11" t="n">
        <f aca="false">COUNTIF(DATA!A:A,B31)</f>
        <v>1</v>
      </c>
      <c r="F31" s="11" t="n">
        <f aca="false">COUNTIFS(DATA!A:A,B31,DATA!G:G,"CONFIRMADO")</f>
        <v>0</v>
      </c>
      <c r="G31" s="5" t="str">
        <f aca="false">IF(E31=0,"SIN DATA",IF(F31=E31,"✅ COMPLETO",IF(F31&gt;0,"🔄 PARCIAL",IF(COUNTIFS(DATA!A:A,B31,DATA!G:G,"PENDIENTE")=E31,"⏳ PENDIENTE","⚠ MIXTO"))))</f>
        <v>⏳ PENDIENTE</v>
      </c>
      <c r="H31" s="12" t="str">
        <f aca="false">"Hola "&amp;IFERROR(LEFT(TRIM(MID(B31,FIND(" ",B31,FIND(" ",B31)+1)+1,100)),IFERROR(FIND(" ",TRIM(MID(B31,FIND(" ",B31,FIND(" ",B31)+1)+1,100)))-1,100)),TRIM(MID(B31,FIND(" ",B31&amp;" ")+1,100)))&amp;", buen día."&amp;CHAR(10)&amp;CHAR(10)&amp;"Te escribo porque una persona de tu equipo aún no se ha sentado en el Capítulo 1:"&amp;CHAR(10)&amp;CHAR(10)&amp;"1. Giannina Giselle Espiritu Palomino"&amp;CHAR(10)&amp;CHAR(10)&amp;"El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Kresly, buen día.
Te escribo porque una persona de tu equipo aún no se ha sentado en el Capítulo 1:
1. Giannina Giselle Espiritu Palomino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2" customFormat="false" ht="105" hidden="false" customHeight="true" outlineLevel="0" collapsed="false">
      <c r="A32" s="13" t="n">
        <v>28</v>
      </c>
      <c r="B32" s="3" t="s">
        <v>141</v>
      </c>
      <c r="C32" s="4" t="s">
        <v>97</v>
      </c>
      <c r="D32" s="4" t="s">
        <v>143</v>
      </c>
      <c r="E32" s="14" t="n">
        <f aca="false">COUNTIF(DATA!A:A,B32)</f>
        <v>1</v>
      </c>
      <c r="F32" s="14" t="n">
        <f aca="false">COUNTIFS(DATA!A:A,B32,DATA!G:G,"CONFIRMADO")</f>
        <v>0</v>
      </c>
      <c r="G32" s="5" t="str">
        <f aca="false">IF(E32=0,"SIN DATA",IF(F32=E32,"✅ COMPLETO",IF(F32&gt;0,"🔄 PARCIAL",IF(COUNTIFS(DATA!A:A,B32,DATA!G:G,"PENDIENTE")=E32,"⏳ PENDIENTE","⚠ MIXTO"))))</f>
        <v>⏳ PENDIENTE</v>
      </c>
      <c r="H32" s="12" t="str">
        <f aca="false">"Hola "&amp;IFERROR(LEFT(TRIM(MID(B32,FIND(" ",B32,FIND(" ",B32)+1)+1,100)),IFERROR(FIND(" ",TRIM(MID(B32,FIND(" ",B32,FIND(" ",B32)+1)+1,100)))-1,100)),TRIM(MID(B32,FIND(" ",B32&amp;" ")+1,100)))&amp;", buen día."&amp;CHAR(10)&amp;CHAR(10)&amp;"Te escribo porque una persona de tu equipo aún no se ha sentado en el Capítulo 1:"&amp;CHAR(10)&amp;CHAR(10)&amp;"1. Vanesa Otrera"&amp;CHAR(10)&amp;CHAR(10)&amp;"El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Meza, buen día.
Te escribo porque una persona de tu equipo aún no se ha sentado en el Capítulo 1:
1. Vanesa Otrera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3" customFormat="false" ht="105" hidden="false" customHeight="true" outlineLevel="0" collapsed="false">
      <c r="A33" s="10" t="n">
        <v>29</v>
      </c>
      <c r="B33" s="6" t="s">
        <v>145</v>
      </c>
      <c r="C33" s="7" t="s">
        <v>97</v>
      </c>
      <c r="D33" s="7" t="s">
        <v>147</v>
      </c>
      <c r="E33" s="11" t="n">
        <f aca="false">COUNTIF(DATA!A:A,B33)</f>
        <v>1</v>
      </c>
      <c r="F33" s="11" t="n">
        <f aca="false">COUNTIFS(DATA!A:A,B33,DATA!G:G,"CONFIRMADO")</f>
        <v>0</v>
      </c>
      <c r="G33" s="5" t="str">
        <f aca="false">IF(E33=0,"SIN DATA",IF(F33=E33,"✅ COMPLETO",IF(F33&gt;0,"🔄 PARCIAL",IF(COUNTIFS(DATA!A:A,B33,DATA!G:G,"PENDIENTE")=E33,"⏳ PENDIENTE","⚠ MIXTO"))))</f>
        <v>⏳ PENDIENTE</v>
      </c>
      <c r="H33" s="12" t="str">
        <f aca="false">"Hola "&amp;IFERROR(LEFT(TRIM(MID(B33,FIND(" ",B33,FIND(" ",B33)+1)+1,100)),IFERROR(FIND(" ",TRIM(MID(B33,FIND(" ",B33,FIND(" ",B33)+1)+1,100)))-1,100)),TRIM(MID(B33,FIND(" ",B33&amp;" ")+1,100)))&amp;", buen día."&amp;CHAR(10)&amp;CHAR(10)&amp;"Te escribo porque una persona de tu equipo aún no se ha sentado en el Capítulo 1:"&amp;CHAR(10)&amp;CHAR(10)&amp;"1. Enrique Marco Navarro"&amp;CHAR(10)&amp;CHAR(10)&amp;"El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Nancy, buen día.
Te escribo porque una persona de tu equipo aún no se ha sentado en el Capítulo 1:
1. Enrique Marco Navarro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4" customFormat="false" ht="120" hidden="false" customHeight="true" outlineLevel="0" collapsed="false">
      <c r="A34" s="13" t="n">
        <v>30</v>
      </c>
      <c r="B34" s="3" t="s">
        <v>149</v>
      </c>
      <c r="C34" s="4" t="s">
        <v>97</v>
      </c>
      <c r="D34" s="4" t="s">
        <v>150</v>
      </c>
      <c r="E34" s="14" t="n">
        <f aca="false">COUNTIF(DATA!A:A,B34)</f>
        <v>2</v>
      </c>
      <c r="F34" s="14" t="n">
        <f aca="false">COUNTIFS(DATA!A:A,B34,DATA!G:G,"CONFIRMADO")</f>
        <v>0</v>
      </c>
      <c r="G34" s="5" t="str">
        <f aca="false">IF(E34=0,"SIN DATA",IF(F34=E34,"✅ COMPLETO",IF(F34&gt;0,"🔄 PARCIAL",IF(COUNTIFS(DATA!A:A,B34,DATA!G:G,"PENDIENTE")=E34,"⏳ PENDIENTE","⚠ MIXTO"))))</f>
        <v>⏳ PENDIENTE</v>
      </c>
      <c r="H34" s="12" t="str">
        <f aca="false">"Hola "&amp;IFERROR(LEFT(TRIM(MID(B34,FIND(" ",B34,FIND(" ",B34)+1)+1,100)),IFERROR(FIND(" ",TRIM(MID(B34,FIND(" ",B34,FIND(" ",B34)+1)+1,100)))-1,100)),TRIM(MID(B34,FIND(" ",B34&amp;" ")+1,100)))&amp;", buen día."&amp;CHAR(10)&amp;CHAR(10)&amp;"Te escribo porque "&amp;E34&amp;" personas de tu equipo aún no se han sentado en el Capítulo 1:"&amp;CHAR(10)&amp;CHAR(10)&amp;"1. Héctor Wiliam Torres Choquez
2. Angella Marianne Hernandez Salvatierra"&amp;CHAR(10)&amp;CHAR(10)&amp;"El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Mayra, buen día.
Te escribo porque 2 personas de tu equipo aún no se han sentado en el Capítulo 1:
1. Héctor Wiliam Torres Choquez
2. Angella Marianne Hernandez Salvatierra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35" customFormat="false" ht="105" hidden="false" customHeight="true" outlineLevel="0" collapsed="false">
      <c r="A35" s="10" t="n">
        <v>31</v>
      </c>
      <c r="B35" s="6" t="s">
        <v>153</v>
      </c>
      <c r="C35" s="7" t="s">
        <v>97</v>
      </c>
      <c r="D35" s="7" t="s">
        <v>155</v>
      </c>
      <c r="E35" s="11" t="n">
        <f aca="false">COUNTIF(DATA!A:A,B35)</f>
        <v>1</v>
      </c>
      <c r="F35" s="11" t="n">
        <f aca="false">COUNTIFS(DATA!A:A,B35,DATA!G:G,"CONFIRMADO")</f>
        <v>0</v>
      </c>
      <c r="G35" s="5" t="str">
        <f aca="false">IF(E35=0,"SIN DATA",IF(F35=E35,"✅ COMPLETO",IF(F35&gt;0,"🔄 PARCIAL",IF(COUNTIFS(DATA!A:A,B35,DATA!G:G,"PENDIENTE")=E35,"⏳ PENDIENTE","⚠ MIXTO"))))</f>
        <v>⏳ PENDIENTE</v>
      </c>
      <c r="H35" s="12" t="str">
        <f aca="false">"Hola "&amp;IFERROR(LEFT(TRIM(MID(B35,FIND(" ",B35,FIND(" ",B35)+1)+1,100)),IFERROR(FIND(" ",TRIM(MID(B35,FIND(" ",B35,FIND(" ",B35)+1)+1,100)))-1,100)),TRIM(MID(B35,FIND(" ",B35&amp;" ")+1,100)))&amp;", buen día."&amp;CHAR(10)&amp;CHAR(10)&amp;"Te escribo porque una persona de tu equipo aún no se ha sentado en el Capítulo 1:"&amp;CHAR(10)&amp;CHAR(10)&amp;"1. Alisson Yuviri Simón Cabello"&amp;CHAR(10)&amp;CHAR(10)&amp;"El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Joel, buen día.
Te escribo porque una persona de tu equipo aún no se ha sentado en el Capítulo 1:
1. Alisson Yuviri Simón Cabello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6" customFormat="false" ht="120" hidden="false" customHeight="true" outlineLevel="0" collapsed="false">
      <c r="A36" s="13" t="n">
        <v>32</v>
      </c>
      <c r="B36" s="3" t="s">
        <v>157</v>
      </c>
      <c r="C36" s="4" t="s">
        <v>97</v>
      </c>
      <c r="D36" s="4" t="s">
        <v>159</v>
      </c>
      <c r="E36" s="14" t="n">
        <f aca="false">COUNTIF(DATA!A:A,B36)</f>
        <v>2</v>
      </c>
      <c r="F36" s="14" t="n">
        <f aca="false">COUNTIFS(DATA!A:A,B36,DATA!G:G,"CONFIRMADO")</f>
        <v>0</v>
      </c>
      <c r="G36" s="5" t="str">
        <f aca="false">IF(E36=0,"SIN DATA",IF(F36=E36,"✅ COMPLETO",IF(F36&gt;0,"🔄 PARCIAL",IF(COUNTIFS(DATA!A:A,B36,DATA!G:G,"PENDIENTE")=E36,"⏳ PENDIENTE","⚠ MIXTO"))))</f>
        <v>⏳ PENDIENTE</v>
      </c>
      <c r="H36" s="12" t="str">
        <f aca="false">"Hola "&amp;IFERROR(LEFT(TRIM(MID(B36,FIND(" ",B36,FIND(" ",B36)+1)+1,100)),IFERROR(FIND(" ",TRIM(MID(B36,FIND(" ",B36,FIND(" ",B36)+1)+1,100)))-1,100)),TRIM(MID(B36,FIND(" ",B36&amp;" ")+1,100)))&amp;", buen día."&amp;CHAR(10)&amp;CHAR(10)&amp;"Te escribo porque "&amp;E36&amp;" personas de tu equipo aún no se han sentado en el Capítulo 1:"&amp;CHAR(10)&amp;CHAR(10)&amp;"1. Diana Edith Sánchez Correa
2. Prudencio Arone Robles"&amp;CHAR(10)&amp;CHAR(10)&amp;"El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Cristian, buen día.
Te escribo porque 2 personas de tu equipo aún no se han sentado en el Capítulo 1:
1. Diana Edith Sánchez Correa
2. Prudencio Arone Robles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37" customFormat="false" ht="120" hidden="false" customHeight="true" outlineLevel="0" collapsed="false">
      <c r="A37" s="10" t="n">
        <v>33</v>
      </c>
      <c r="B37" s="6" t="s">
        <v>162</v>
      </c>
      <c r="C37" s="7" t="s">
        <v>97</v>
      </c>
      <c r="D37" s="7" t="s">
        <v>164</v>
      </c>
      <c r="E37" s="11" t="n">
        <f aca="false">COUNTIF(DATA!A:A,B37)</f>
        <v>2</v>
      </c>
      <c r="F37" s="11" t="n">
        <f aca="false">COUNTIFS(DATA!A:A,B37,DATA!G:G,"CONFIRMADO")</f>
        <v>0</v>
      </c>
      <c r="G37" s="5" t="str">
        <f aca="false">IF(E37=0,"SIN DATA",IF(F37=E37,"✅ COMPLETO",IF(F37&gt;0,"🔄 PARCIAL",IF(COUNTIFS(DATA!A:A,B37,DATA!G:G,"PENDIENTE")=E37,"⏳ PENDIENTE","⚠ MIXTO"))))</f>
        <v>⏳ PENDIENTE</v>
      </c>
      <c r="H37" s="12" t="str">
        <f aca="false">"Hola "&amp;IFERROR(LEFT(TRIM(MID(B37,FIND(" ",B37,FIND(" ",B37)+1)+1,100)),IFERROR(FIND(" ",TRIM(MID(B37,FIND(" ",B37,FIND(" ",B37)+1)+1,100)))-1,100)),TRIM(MID(B37,FIND(" ",B37&amp;" ")+1,100)))&amp;", buen día."&amp;CHAR(10)&amp;CHAR(10)&amp;"Te escribo porque "&amp;E37&amp;" personas de tu equipo aún no se han sentado en el Capítulo 1:"&amp;CHAR(10)&amp;CHAR(10)&amp;"1. Eugenia Karla Huamanin Leon
2. Lidia Sefora Vela Rodríguez De Rengifo Vela Rodriguez"&amp;CHAR(10)&amp;CHAR(10)&amp;"El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Silvia, buen día.
Te escribo porque 2 personas de tu equipo aún no se han sentado en el Capítulo 1:
1. Eugenia Karla Huamanin Leon
2. Lidia Sefora Vela Rodríguez De Rengifo Vela Rodriguez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38" customFormat="false" ht="105" hidden="false" customHeight="true" outlineLevel="0" collapsed="false">
      <c r="A38" s="13" t="n">
        <v>34</v>
      </c>
      <c r="B38" s="3" t="s">
        <v>167</v>
      </c>
      <c r="C38" s="4" t="s">
        <v>97</v>
      </c>
      <c r="D38" s="4" t="s">
        <v>169</v>
      </c>
      <c r="E38" s="14" t="n">
        <f aca="false">COUNTIF(DATA!A:A,B38)</f>
        <v>1</v>
      </c>
      <c r="F38" s="14" t="n">
        <f aca="false">COUNTIFS(DATA!A:A,B38,DATA!G:G,"CONFIRMADO")</f>
        <v>0</v>
      </c>
      <c r="G38" s="5" t="str">
        <f aca="false">IF(E38=0,"SIN DATA",IF(F38=E38,"✅ COMPLETO",IF(F38&gt;0,"🔄 PARCIAL",IF(COUNTIFS(DATA!A:A,B38,DATA!G:G,"PENDIENTE")=E38,"⏳ PENDIENTE","⚠ MIXTO"))))</f>
        <v>⏳ PENDIENTE</v>
      </c>
      <c r="H38" s="12" t="str">
        <f aca="false">"Hola "&amp;IFERROR(LEFT(TRIM(MID(B38,FIND(" ",B38,FIND(" ",B38)+1)+1,100)),IFERROR(FIND(" ",TRIM(MID(B38,FIND(" ",B38,FIND(" ",B38)+1)+1,100)))-1,100)),TRIM(MID(B38,FIND(" ",B38&amp;" ")+1,100)))&amp;", buen día."&amp;CHAR(10)&amp;CHAR(10)&amp;"Te escribo porque una persona de tu equipo aún no se ha sentado en el Capítulo 1:"&amp;CHAR(10)&amp;CHAR(10)&amp;"1. Victor Filomon Espinal Chuquillanqui"&amp;CHAR(10)&amp;CHAR(10)&amp;"El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Noris, buen día.
Te escribo porque una persona de tu equipo aún no se ha sentado en el Capítulo 1:
1. Victor Filomon Espinal Chuquillanqui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39" customFormat="false" ht="105" hidden="false" customHeight="true" outlineLevel="0" collapsed="false">
      <c r="A39" s="10" t="n">
        <v>35</v>
      </c>
      <c r="B39" s="6" t="s">
        <v>171</v>
      </c>
      <c r="C39" s="7" t="s">
        <v>97</v>
      </c>
      <c r="D39" s="7" t="s">
        <v>173</v>
      </c>
      <c r="E39" s="11" t="n">
        <f aca="false">COUNTIF(DATA!A:A,B39)</f>
        <v>1</v>
      </c>
      <c r="F39" s="11" t="n">
        <f aca="false">COUNTIFS(DATA!A:A,B39,DATA!G:G,"CONFIRMADO")</f>
        <v>0</v>
      </c>
      <c r="G39" s="5" t="str">
        <f aca="false">IF(E39=0,"SIN DATA",IF(F39=E39,"✅ COMPLETO",IF(F39&gt;0,"🔄 PARCIAL",IF(COUNTIFS(DATA!A:A,B39,DATA!G:G,"PENDIENTE")=E39,"⏳ PENDIENTE","⚠ MIXTO"))))</f>
        <v>⏳ PENDIENTE</v>
      </c>
      <c r="H39" s="12" t="str">
        <f aca="false">"Hola "&amp;IFERROR(LEFT(TRIM(MID(B39,FIND(" ",B39,FIND(" ",B39)+1)+1,100)),IFERROR(FIND(" ",TRIM(MID(B39,FIND(" ",B39,FIND(" ",B39)+1)+1,100)))-1,100)),TRIM(MID(B39,FIND(" ",B39&amp;" ")+1,100)))&amp;", buen día."&amp;CHAR(10)&amp;CHAR(10)&amp;"Te escribo porque una persona de tu equipo aún no se ha sentado en el Capítulo 1:"&amp;CHAR(10)&amp;CHAR(10)&amp;"1. Leydi Estefany Ochoa Vega"&amp;CHAR(10)&amp;CHAR(10)&amp;"El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La, buen día.
Te escribo porque una persona de tu equipo aún no se ha sentado en el Capítulo 1:
1. Leydi Estefany Ochoa Vega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0" customFormat="false" ht="120" hidden="false" customHeight="true" outlineLevel="0" collapsed="false">
      <c r="A40" s="13" t="n">
        <v>36</v>
      </c>
      <c r="B40" s="3" t="s">
        <v>175</v>
      </c>
      <c r="C40" s="4" t="s">
        <v>97</v>
      </c>
      <c r="D40" s="4" t="s">
        <v>177</v>
      </c>
      <c r="E40" s="14" t="n">
        <f aca="false">COUNTIF(DATA!A:A,B40)</f>
        <v>2</v>
      </c>
      <c r="F40" s="14" t="n">
        <f aca="false">COUNTIFS(DATA!A:A,B40,DATA!G:G,"CONFIRMADO")</f>
        <v>0</v>
      </c>
      <c r="G40" s="5" t="str">
        <f aca="false">IF(E40=0,"SIN DATA",IF(F40=E40,"✅ COMPLETO",IF(F40&gt;0,"🔄 PARCIAL",IF(COUNTIFS(DATA!A:A,B40,DATA!G:G,"PENDIENTE")=E40,"⏳ PENDIENTE","⚠ MIXTO"))))</f>
        <v>⏳ PENDIENTE</v>
      </c>
      <c r="H40" s="12" t="str">
        <f aca="false">"Hola "&amp;IFERROR(LEFT(TRIM(MID(B40,FIND(" ",B40,FIND(" ",B40)+1)+1,100)),IFERROR(FIND(" ",TRIM(MID(B40,FIND(" ",B40,FIND(" ",B40)+1)+1,100)))-1,100)),TRIM(MID(B40,FIND(" ",B40&amp;" ")+1,100)))&amp;", buen día."&amp;CHAR(10)&amp;CHAR(10)&amp;"Te escribo porque "&amp;E40&amp;" personas de tu equipo aún no se han sentado en el Capítulo 1:"&amp;CHAR(10)&amp;CHAR(10)&amp;"1. Jaqueline Roman Contreras
2. Marco Morales Carcelen"&amp;CHAR(10)&amp;CHAR(10)&amp;"El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Elizabeth, buen día.
Te escribo porque 2 personas de tu equipo aún no se han sentado en el Capítulo 1:
1. Jaqueline Roman Contreras
2. Marco Morales Carcelen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41" customFormat="false" ht="105" hidden="false" customHeight="true" outlineLevel="0" collapsed="false">
      <c r="A41" s="10" t="n">
        <v>37</v>
      </c>
      <c r="B41" s="6" t="s">
        <v>180</v>
      </c>
      <c r="C41" s="7" t="s">
        <v>97</v>
      </c>
      <c r="D41" s="7" t="s">
        <v>182</v>
      </c>
      <c r="E41" s="11" t="n">
        <f aca="false">COUNTIF(DATA!A:A,B41)</f>
        <v>1</v>
      </c>
      <c r="F41" s="11" t="n">
        <f aca="false">COUNTIFS(DATA!A:A,B41,DATA!G:G,"CONFIRMADO")</f>
        <v>0</v>
      </c>
      <c r="G41" s="5" t="str">
        <f aca="false">IF(E41=0,"SIN DATA",IF(F41=E41,"✅ COMPLETO",IF(F41&gt;0,"🔄 PARCIAL",IF(COUNTIFS(DATA!A:A,B41,DATA!G:G,"PENDIENTE")=E41,"⏳ PENDIENTE","⚠ MIXTO"))))</f>
        <v>⏳ PENDIENTE</v>
      </c>
      <c r="H41" s="12" t="str">
        <f aca="false">"Hola "&amp;IFERROR(LEFT(TRIM(MID(B41,FIND(" ",B41,FIND(" ",B41)+1)+1,100)),IFERROR(FIND(" ",TRIM(MID(B41,FIND(" ",B41,FIND(" ",B41)+1)+1,100)))-1,100)),TRIM(MID(B41,FIND(" ",B41&amp;" ")+1,100)))&amp;", buen día."&amp;CHAR(10)&amp;CHAR(10)&amp;"Te escribo porque una persona de tu equipo aún no se ha sentado en el Capítulo 1:"&amp;CHAR(10)&amp;CHAR(10)&amp;"1. Antonio Capcha Cabello"&amp;CHAR(10)&amp;CHAR(10)&amp;"El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Maura, buen día.
Te escribo porque una persona de tu equipo aún no se ha sentado en el Capítulo 1:
1. Antonio Capcha Cabello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2" customFormat="false" ht="105" hidden="false" customHeight="true" outlineLevel="0" collapsed="false">
      <c r="A42" s="13" t="n">
        <v>38</v>
      </c>
      <c r="B42" s="3" t="s">
        <v>184</v>
      </c>
      <c r="C42" s="4" t="s">
        <v>97</v>
      </c>
      <c r="D42" s="4" t="s">
        <v>186</v>
      </c>
      <c r="E42" s="14" t="n">
        <f aca="false">COUNTIF(DATA!A:A,B42)</f>
        <v>1</v>
      </c>
      <c r="F42" s="14" t="n">
        <f aca="false">COUNTIFS(DATA!A:A,B42,DATA!G:G,"CONFIRMADO")</f>
        <v>0</v>
      </c>
      <c r="G42" s="5" t="str">
        <f aca="false">IF(E42=0,"SIN DATA",IF(F42=E42,"✅ COMPLETO",IF(F42&gt;0,"🔄 PARCIAL",IF(COUNTIFS(DATA!A:A,B42,DATA!G:G,"PENDIENTE")=E42,"⏳ PENDIENTE","⚠ MIXTO"))))</f>
        <v>⏳ PENDIENTE</v>
      </c>
      <c r="H42" s="12" t="str">
        <f aca="false">"Hola "&amp;IFERROR(LEFT(TRIM(MID(B42,FIND(" ",B42,FIND(" ",B42)+1)+1,100)),IFERROR(FIND(" ",TRIM(MID(B42,FIND(" ",B42,FIND(" ",B42)+1)+1,100)))-1,100)),TRIM(MID(B42,FIND(" ",B42&amp;" ")+1,100)))&amp;", buen día."&amp;CHAR(10)&amp;CHAR(10)&amp;"Te escribo porque una persona de tu equipo aún no se ha sentado en el Capítulo 1:"&amp;CHAR(10)&amp;CHAR(10)&amp;"1. Santiago Jaramillo Pinedo"&amp;CHAR(10)&amp;CHAR(10)&amp;"El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Jutsu, buen día.
Te escribo porque una persona de tu equipo aún no se ha sentado en el Capítulo 1:
1. Santiago Jaramillo Pinedo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3" customFormat="false" ht="120" hidden="false" customHeight="true" outlineLevel="0" collapsed="false">
      <c r="A43" s="10" t="n">
        <v>39</v>
      </c>
      <c r="B43" s="6" t="s">
        <v>188</v>
      </c>
      <c r="C43" s="7" t="s">
        <v>97</v>
      </c>
      <c r="D43" s="7" t="s">
        <v>190</v>
      </c>
      <c r="E43" s="11" t="n">
        <f aca="false">COUNTIF(DATA!A:A,B43)</f>
        <v>2</v>
      </c>
      <c r="F43" s="11" t="n">
        <f aca="false">COUNTIFS(DATA!A:A,B43,DATA!G:G,"CONFIRMADO")</f>
        <v>0</v>
      </c>
      <c r="G43" s="5" t="str">
        <f aca="false">IF(E43=0,"SIN DATA",IF(F43=E43,"✅ COMPLETO",IF(F43&gt;0,"🔄 PARCIAL",IF(COUNTIFS(DATA!A:A,B43,DATA!G:G,"PENDIENTE")=E43,"⏳ PENDIENTE","⚠ MIXTO"))))</f>
        <v>⏳ PENDIENTE</v>
      </c>
      <c r="H43" s="12" t="str">
        <f aca="false">"Hola "&amp;IFERROR(LEFT(TRIM(MID(B43,FIND(" ",B43,FIND(" ",B43)+1)+1,100)),IFERROR(FIND(" ",TRIM(MID(B43,FIND(" ",B43,FIND(" ",B43)+1)+1,100)))-1,100)),TRIM(MID(B43,FIND(" ",B43&amp;" ")+1,100)))&amp;", buen día."&amp;CHAR(10)&amp;CHAR(10)&amp;"Te escribo porque "&amp;E43&amp;" personas de tu equipo aún no se han sentado en el Capítulo 1:"&amp;CHAR(10)&amp;CHAR(10)&amp;"1. Sonia Iris Espana Zambrano
2. Michael Willy Espana Diaz"&amp;CHAR(10)&amp;CHAR(10)&amp;"El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Maribel, buen día.
Te escribo porque 2 personas de tu equipo aún no se han sentado en el Capítulo 1:
1. Sonia Iris Espana Zambrano
2. Michael Willy Espana Diaz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44" customFormat="false" ht="120" hidden="false" customHeight="true" outlineLevel="0" collapsed="false">
      <c r="A44" s="13" t="n">
        <v>40</v>
      </c>
      <c r="B44" s="3" t="s">
        <v>193</v>
      </c>
      <c r="C44" s="4" t="s">
        <v>97</v>
      </c>
      <c r="D44" s="4" t="s">
        <v>195</v>
      </c>
      <c r="E44" s="14" t="n">
        <f aca="false">COUNTIF(DATA!A:A,B44)</f>
        <v>2</v>
      </c>
      <c r="F44" s="14" t="n">
        <f aca="false">COUNTIFS(DATA!A:A,B44,DATA!G:G,"CONFIRMADO")</f>
        <v>0</v>
      </c>
      <c r="G44" s="5" t="str">
        <f aca="false">IF(E44=0,"SIN DATA",IF(F44=E44,"✅ COMPLETO",IF(F44&gt;0,"🔄 PARCIAL",IF(COUNTIFS(DATA!A:A,B44,DATA!G:G,"PENDIENTE")=E44,"⏳ PENDIENTE","⚠ MIXTO"))))</f>
        <v>⏳ PENDIENTE</v>
      </c>
      <c r="H44" s="12" t="str">
        <f aca="false">"Hola "&amp;IFERROR(LEFT(TRIM(MID(B44,FIND(" ",B44,FIND(" ",B44)+1)+1,100)),IFERROR(FIND(" ",TRIM(MID(B44,FIND(" ",B44,FIND(" ",B44)+1)+1,100)))-1,100)),TRIM(MID(B44,FIND(" ",B44&amp;" ")+1,100)))&amp;", buen día."&amp;CHAR(10)&amp;CHAR(10)&amp;"Te escribo porque "&amp;E44&amp;" personas de tu equipo aún no se han sentado en el Capítulo 1:"&amp;CHAR(10)&amp;CHAR(10)&amp;"1. Raquel Ramirez Pisco
2. Veronica Chafloque Chafloque"&amp;CHAR(10)&amp;CHAR(10)&amp;"El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Daysi, buen día.
Te escribo porque 2 personas de tu equipo aún no se han sentado en el Capítulo 1:
1. Raquel Ramirez Pisco
2. Veronica Chafloque Chafloque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45" customFormat="false" ht="105" hidden="false" customHeight="true" outlineLevel="0" collapsed="false">
      <c r="A45" s="10" t="n">
        <v>41</v>
      </c>
      <c r="B45" s="6" t="s">
        <v>198</v>
      </c>
      <c r="C45" s="7" t="s">
        <v>200</v>
      </c>
      <c r="D45" s="7" t="s">
        <v>201</v>
      </c>
      <c r="E45" s="11" t="n">
        <f aca="false">COUNTIF(DATA!A:A,B45)</f>
        <v>1</v>
      </c>
      <c r="F45" s="11" t="n">
        <f aca="false">COUNTIFS(DATA!A:A,B45,DATA!G:G,"CONFIRMADO")</f>
        <v>0</v>
      </c>
      <c r="G45" s="5" t="str">
        <f aca="false">IF(E45=0,"SIN DATA",IF(F45=E45,"✅ COMPLETO",IF(F45&gt;0,"🔄 PARCIAL",IF(COUNTIFS(DATA!A:A,B45,DATA!G:G,"PENDIENTE")=E45,"⏳ PENDIENTE","⚠ MIXTO"))))</f>
        <v>⏳ PENDIENTE</v>
      </c>
      <c r="H45" s="12" t="str">
        <f aca="false">"Hola "&amp;IFERROR(LEFT(TRIM(MID(B45,FIND(" ",B45,FIND(" ",B45)+1)+1,100)),IFERROR(FIND(" ",TRIM(MID(B45,FIND(" ",B45,FIND(" ",B45)+1)+1,100)))-1,100)),TRIM(MID(B45,FIND(" ",B45&amp;" ")+1,100)))&amp;", buen día."&amp;CHAR(10)&amp;CHAR(10)&amp;"Te escribo porque una persona de tu equipo aún no se ha sentado en el Capítulo 1:"&amp;CHAR(10)&amp;CHAR(10)&amp;"1. José Enrique Zafra Ortiz"&amp;CHAR(10)&amp;CHAR(10)&amp;"El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Brenda, buen día.
Te escribo porque una persona de tu equipo aún no se ha sentado en el Capítulo 1:
1. José Enrique Zafra Ortiz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6" customFormat="false" ht="105" hidden="false" customHeight="true" outlineLevel="0" collapsed="false">
      <c r="A46" s="13" t="n">
        <v>42</v>
      </c>
      <c r="B46" s="3" t="s">
        <v>203</v>
      </c>
      <c r="C46" s="4" t="s">
        <v>200</v>
      </c>
      <c r="D46" s="4" t="s">
        <v>205</v>
      </c>
      <c r="E46" s="14" t="n">
        <f aca="false">COUNTIF(DATA!A:A,B46)</f>
        <v>1</v>
      </c>
      <c r="F46" s="14" t="n">
        <f aca="false">COUNTIFS(DATA!A:A,B46,DATA!G:G,"CONFIRMADO")</f>
        <v>0</v>
      </c>
      <c r="G46" s="5" t="str">
        <f aca="false">IF(E46=0,"SIN DATA",IF(F46=E46,"✅ COMPLETO",IF(F46&gt;0,"🔄 PARCIAL",IF(COUNTIFS(DATA!A:A,B46,DATA!G:G,"PENDIENTE")=E46,"⏳ PENDIENTE","⚠ MIXTO"))))</f>
        <v>⏳ PENDIENTE</v>
      </c>
      <c r="H46" s="12" t="str">
        <f aca="false">"Hola "&amp;IFERROR(LEFT(TRIM(MID(B46,FIND(" ",B46,FIND(" ",B46)+1)+1,100)),IFERROR(FIND(" ",TRIM(MID(B46,FIND(" ",B46,FIND(" ",B46)+1)+1,100)))-1,100)),TRIM(MID(B46,FIND(" ",B46&amp;" ")+1,100)))&amp;", buen día."&amp;CHAR(10)&amp;CHAR(10)&amp;"Te escribo porque una persona de tu equipo aún no se ha sentado en el Capítulo 1:"&amp;CHAR(10)&amp;CHAR(10)&amp;"1. Alejandro Chachayma Cardenas"&amp;CHAR(10)&amp;CHAR(10)&amp;"El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Blanca, buen día.
Te escribo porque una persona de tu equipo aún no se ha sentado en el Capítulo 1:
1. Alejandro Chachayma Cardenas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7" customFormat="false" ht="105" hidden="false" customHeight="true" outlineLevel="0" collapsed="false">
      <c r="A47" s="10" t="n">
        <v>43</v>
      </c>
      <c r="B47" s="6" t="s">
        <v>207</v>
      </c>
      <c r="C47" s="7" t="s">
        <v>200</v>
      </c>
      <c r="D47" s="7" t="s">
        <v>209</v>
      </c>
      <c r="E47" s="11" t="n">
        <f aca="false">COUNTIF(DATA!A:A,B47)</f>
        <v>1</v>
      </c>
      <c r="F47" s="11" t="n">
        <f aca="false">COUNTIFS(DATA!A:A,B47,DATA!G:G,"CONFIRMADO")</f>
        <v>0</v>
      </c>
      <c r="G47" s="5" t="str">
        <f aca="false">IF(E47=0,"SIN DATA",IF(F47=E47,"✅ COMPLETO",IF(F47&gt;0,"🔄 PARCIAL",IF(COUNTIFS(DATA!A:A,B47,DATA!G:G,"PENDIENTE")=E47,"⏳ PENDIENTE","⚠ MIXTO"))))</f>
        <v>⏳ PENDIENTE</v>
      </c>
      <c r="H47" s="12" t="str">
        <f aca="false">"Hola "&amp;IFERROR(LEFT(TRIM(MID(B47,FIND(" ",B47,FIND(" ",B47)+1)+1,100)),IFERROR(FIND(" ",TRIM(MID(B47,FIND(" ",B47,FIND(" ",B47)+1)+1,100)))-1,100)),TRIM(MID(B47,FIND(" ",B47&amp;" ")+1,100)))&amp;", buen día."&amp;CHAR(10)&amp;CHAR(10)&amp;"Te escribo porque una persona de tu equipo aún no se ha sentado en el Capítulo 1:"&amp;CHAR(10)&amp;CHAR(10)&amp;"1. Wilimar Adrianet Blanco Narváez"&amp;CHAR(10)&amp;CHAR(10)&amp;"El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Celia, buen día.
Te escribo porque una persona de tu equipo aún no se ha sentado en el Capítulo 1:
1. Wilimar Adrianet Blanco Narváez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48" customFormat="false" ht="120" hidden="false" customHeight="true" outlineLevel="0" collapsed="false">
      <c r="A48" s="13" t="n">
        <v>44</v>
      </c>
      <c r="B48" s="3" t="s">
        <v>211</v>
      </c>
      <c r="C48" s="4" t="s">
        <v>200</v>
      </c>
      <c r="D48" s="4" t="s">
        <v>213</v>
      </c>
      <c r="E48" s="14" t="n">
        <f aca="false">COUNTIF(DATA!A:A,B48)</f>
        <v>2</v>
      </c>
      <c r="F48" s="14" t="n">
        <f aca="false">COUNTIFS(DATA!A:A,B48,DATA!G:G,"CONFIRMADO")</f>
        <v>0</v>
      </c>
      <c r="G48" s="5" t="str">
        <f aca="false">IF(E48=0,"SIN DATA",IF(F48=E48,"✅ COMPLETO",IF(F48&gt;0,"🔄 PARCIAL",IF(COUNTIFS(DATA!A:A,B48,DATA!G:G,"PENDIENTE")=E48,"⏳ PENDIENTE","⚠ MIXTO"))))</f>
        <v>⏳ PENDIENTE</v>
      </c>
      <c r="H48" s="12" t="str">
        <f aca="false">"Hola "&amp;IFERROR(LEFT(TRIM(MID(B48,FIND(" ",B48,FIND(" ",B48)+1)+1,100)),IFERROR(FIND(" ",TRIM(MID(B48,FIND(" ",B48,FIND(" ",B48)+1)+1,100)))-1,100)),TRIM(MID(B48,FIND(" ",B48&amp;" ")+1,100)))&amp;", buen día."&amp;CHAR(10)&amp;CHAR(10)&amp;"Te escribo porque "&amp;E48&amp;" personas de tu equipo aún no se han sentado en el Capítulo 1:"&amp;CHAR(10)&amp;CHAR(10)&amp;"1. Alexander Parco Flores
2. Fernanda Caballero Contreras"&amp;CHAR(10)&amp;CHAR(10)&amp;"El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Daniel, buen día.
Te escribo porque 2 personas de tu equipo aún no se han sentado en el Capítulo 1:
1. Alexander Parco Flores
2. Fernanda Caballero Contreras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49" customFormat="false" ht="105" hidden="false" customHeight="true" outlineLevel="0" collapsed="false">
      <c r="A49" s="10" t="n">
        <v>45</v>
      </c>
      <c r="B49" s="6" t="s">
        <v>217</v>
      </c>
      <c r="C49" s="7" t="s">
        <v>200</v>
      </c>
      <c r="D49" s="7" t="s">
        <v>219</v>
      </c>
      <c r="E49" s="11" t="n">
        <f aca="false">COUNTIF(DATA!A:A,B49)</f>
        <v>1</v>
      </c>
      <c r="F49" s="11" t="n">
        <f aca="false">COUNTIFS(DATA!A:A,B49,DATA!G:G,"CONFIRMADO")</f>
        <v>0</v>
      </c>
      <c r="G49" s="5" t="str">
        <f aca="false">IF(E49=0,"SIN DATA",IF(F49=E49,"✅ COMPLETO",IF(F49&gt;0,"🔄 PARCIAL",IF(COUNTIFS(DATA!A:A,B49,DATA!G:G,"PENDIENTE")=E49,"⏳ PENDIENTE","⚠ MIXTO"))))</f>
        <v>⏳ PENDIENTE</v>
      </c>
      <c r="H49" s="12" t="str">
        <f aca="false">"Hola "&amp;IFERROR(LEFT(TRIM(MID(B49,FIND(" ",B49,FIND(" ",B49)+1)+1,100)),IFERROR(FIND(" ",TRIM(MID(B49,FIND(" ",B49,FIND(" ",B49)+1)+1,100)))-1,100)),TRIM(MID(B49,FIND(" ",B49&amp;" ")+1,100)))&amp;", buen día."&amp;CHAR(10)&amp;CHAR(10)&amp;"Te escribo porque una persona de tu equipo aún no se ha sentado en el Capítulo 1:"&amp;CHAR(10)&amp;CHAR(10)&amp;"1. Lilian Sidney Morales Laura"&amp;CHAR(10)&amp;CHAR(10)&amp;"El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Katherine, buen día.
Te escribo porque una persona de tu equipo aún no se ha sentado en el Capítulo 1:
1. Lilian Sidney Morales Laura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0" customFormat="false" ht="105" hidden="false" customHeight="true" outlineLevel="0" collapsed="false">
      <c r="A50" s="13" t="n">
        <v>46</v>
      </c>
      <c r="B50" s="3" t="s">
        <v>221</v>
      </c>
      <c r="C50" s="4" t="s">
        <v>200</v>
      </c>
      <c r="D50" s="4" t="s">
        <v>223</v>
      </c>
      <c r="E50" s="14" t="n">
        <f aca="false">COUNTIF(DATA!A:A,B50)</f>
        <v>1</v>
      </c>
      <c r="F50" s="14" t="n">
        <f aca="false">COUNTIFS(DATA!A:A,B50,DATA!G:G,"CONFIRMADO")</f>
        <v>0</v>
      </c>
      <c r="G50" s="5" t="str">
        <f aca="false">IF(E50=0,"SIN DATA",IF(F50=E50,"✅ COMPLETO",IF(F50&gt;0,"🔄 PARCIAL",IF(COUNTIFS(DATA!A:A,B50,DATA!G:G,"PENDIENTE")=E50,"⏳ PENDIENTE","⚠ MIXTO"))))</f>
        <v>⏳ PENDIENTE</v>
      </c>
      <c r="H50" s="12" t="str">
        <f aca="false">"Hola "&amp;IFERROR(LEFT(TRIM(MID(B50,FIND(" ",B50,FIND(" ",B50)+1)+1,100)),IFERROR(FIND(" ",TRIM(MID(B50,FIND(" ",B50,FIND(" ",B50)+1)+1,100)))-1,100)),TRIM(MID(B50,FIND(" ",B50&amp;" ")+1,100)))&amp;", buen día."&amp;CHAR(10)&amp;CHAR(10)&amp;"Te escribo porque una persona de tu equipo aún no se ha sentado en el Capítulo 1:"&amp;CHAR(10)&amp;CHAR(10)&amp;"1. Vania Roxana Rivasplata Torres"&amp;CHAR(10)&amp;CHAR(10)&amp;"El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Jimena, buen día.
Te escribo porque una persona de tu equipo aún no se ha sentado en el Capítulo 1:
1. Vania Roxana Rivasplata Torres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1" customFormat="false" ht="225" hidden="false" customHeight="true" outlineLevel="0" collapsed="false">
      <c r="A51" s="10" t="n">
        <v>47</v>
      </c>
      <c r="B51" s="6" t="s">
        <v>225</v>
      </c>
      <c r="C51" s="7" t="s">
        <v>200</v>
      </c>
      <c r="D51" s="7" t="s">
        <v>227</v>
      </c>
      <c r="E51" s="11" t="n">
        <f aca="false">COUNTIF(DATA!A:A,B51)</f>
        <v>9</v>
      </c>
      <c r="F51" s="11" t="n">
        <f aca="false">COUNTIFS(DATA!A:A,B51,DATA!G:G,"CONFIRMADO")</f>
        <v>0</v>
      </c>
      <c r="G51" s="5" t="str">
        <f aca="false">IF(E51=0,"SIN DATA",IF(F51=E51,"✅ COMPLETO",IF(F51&gt;0,"🔄 PARCIAL",IF(COUNTIFS(DATA!A:A,B51,DATA!G:G,"PENDIENTE")=E51,"⏳ PENDIENTE","⚠ MIXTO"))))</f>
        <v>⏳ PENDIENTE</v>
      </c>
      <c r="H51" s="12" t="str">
        <f aca="false">"Hola "&amp;IFERROR(LEFT(TRIM(MID(B51,FIND(" ",B51,FIND(" ",B51)+1)+1,100)),IFERROR(FIND(" ",TRIM(MID(B51,FIND(" ",B51,FIND(" ",B51)+1)+1,100)))-1,100)),TRIM(MID(B51,FIND(" ",B51&amp;" ")+1,100)))&amp;", buen día."&amp;CHAR(10)&amp;CHAR(10)&amp;"Te escribo porque "&amp;E51&amp;" personas de tu equipo aún no se han sentado en el Capítulo 1:"&amp;CHAR(10)&amp;CHAR(10)&amp;"1. Rosa Carolina Espinoza Huanca
2. Jhovana Betsiban Damián Almerco
3. Milto Chocan Morales
4. Mario Vizcarra Pacheco
5. Adys Idania Cordova Cordova
6. Wendy Berusca Arquinego Quispe
7. Thalia Porras Sinche
8. Deysi Melo Vizcarra
9. Elena Romero Cajaleon"&amp;CHAR(10)&amp;CHAR(10)&amp;"El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Diana, buen día.
Te escribo porque 9 personas de tu equipo aún no se han sentado en el Capítulo 1:
1. Rosa Carolina Espinoza Huanca
2. Jhovana Betsiban Damián Almerco
3. Milto Chocan Morales
4. Mario Vizcarra Pacheco
5. Adys Idania Cordova Cordova
6. Wendy Berusca Arquinego Quispe
7. Thalia Porras Sinche
8. Deysi Melo Vizcarra
9. Elena Romero Cajaleon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52" customFormat="false" ht="135" hidden="false" customHeight="true" outlineLevel="0" collapsed="false">
      <c r="A52" s="13" t="n">
        <v>48</v>
      </c>
      <c r="B52" s="3" t="s">
        <v>237</v>
      </c>
      <c r="C52" s="4" t="s">
        <v>200</v>
      </c>
      <c r="D52" s="4" t="s">
        <v>239</v>
      </c>
      <c r="E52" s="14" t="n">
        <f aca="false">COUNTIF(DATA!A:A,B52)</f>
        <v>3</v>
      </c>
      <c r="F52" s="14" t="n">
        <f aca="false">COUNTIFS(DATA!A:A,B52,DATA!G:G,"CONFIRMADO")</f>
        <v>0</v>
      </c>
      <c r="G52" s="5" t="str">
        <f aca="false">IF(E52=0,"SIN DATA",IF(F52=E52,"✅ COMPLETO",IF(F52&gt;0,"🔄 PARCIAL",IF(COUNTIFS(DATA!A:A,B52,DATA!G:G,"PENDIENTE")=E52,"⏳ PENDIENTE","⚠ MIXTO"))))</f>
        <v>⏳ PENDIENTE</v>
      </c>
      <c r="H52" s="12" t="str">
        <f aca="false">"Hola "&amp;IFERROR(LEFT(TRIM(MID(B52,FIND(" ",B52,FIND(" ",B52)+1)+1,100)),IFERROR(FIND(" ",TRIM(MID(B52,FIND(" ",B52,FIND(" ",B52)+1)+1,100)))-1,100)),TRIM(MID(B52,FIND(" ",B52&amp;" ")+1,100)))&amp;", buen día."&amp;CHAR(10)&amp;CHAR(10)&amp;"Te escribo porque "&amp;E52&amp;" personas de tu equipo aún no se han sentado en el Capítulo 1:"&amp;CHAR(10)&amp;CHAR(10)&amp;"1. Jhon Hildebrando Alvarado Zuniga
2. Rissel Leon Suarez
3. Flor De Maria Martinez Melchor"&amp;CHAR(10)&amp;CHAR(10)&amp;"El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D´Yanira, buen día.
Te escribo porque 3 personas de tu equipo aún no se han sentado en el Capítulo 1:
1. Jhon Hildebrando Alvarado Zuniga
2. Rissel Leon Suarez
3. Flor De Maria Martinez Melchor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53" customFormat="false" ht="105" hidden="false" customHeight="true" outlineLevel="0" collapsed="false">
      <c r="A53" s="10" t="n">
        <v>49</v>
      </c>
      <c r="B53" s="6" t="s">
        <v>243</v>
      </c>
      <c r="C53" s="7" t="s">
        <v>200</v>
      </c>
      <c r="D53" s="7" t="s">
        <v>245</v>
      </c>
      <c r="E53" s="11" t="n">
        <f aca="false">COUNTIF(DATA!A:A,B53)</f>
        <v>1</v>
      </c>
      <c r="F53" s="11" t="n">
        <f aca="false">COUNTIFS(DATA!A:A,B53,DATA!G:G,"CONFIRMADO")</f>
        <v>0</v>
      </c>
      <c r="G53" s="5" t="str">
        <f aca="false">IF(E53=0,"SIN DATA",IF(F53=E53,"✅ COMPLETO",IF(F53&gt;0,"🔄 PARCIAL",IF(COUNTIFS(DATA!A:A,B53,DATA!G:G,"PENDIENTE")=E53,"⏳ PENDIENTE","⚠ MIXTO"))))</f>
        <v>⏳ PENDIENTE</v>
      </c>
      <c r="H53" s="12" t="str">
        <f aca="false">"Hola "&amp;IFERROR(LEFT(TRIM(MID(B53,FIND(" ",B53,FIND(" ",B53)+1)+1,100)),IFERROR(FIND(" ",TRIM(MID(B53,FIND(" ",B53,FIND(" ",B53)+1)+1,100)))-1,100)),TRIM(MID(B53,FIND(" ",B53&amp;" ")+1,100)))&amp;", buen día."&amp;CHAR(10)&amp;CHAR(10)&amp;"Te escribo porque una persona de tu equipo aún no se ha sentado en el Capítulo 1:"&amp;CHAR(10)&amp;CHAR(10)&amp;"1. Noelia Lizeth Fontenla Montoya"&amp;CHAR(10)&amp;CHAR(10)&amp;"El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Rossana, buen día.
Te escribo porque una persona de tu equipo aún no se ha sentado en el Capítulo 1:
1. Noelia Lizeth Fontenla Montoya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4" customFormat="false" ht="105" hidden="false" customHeight="true" outlineLevel="0" collapsed="false">
      <c r="A54" s="13" t="n">
        <v>50</v>
      </c>
      <c r="B54" s="3" t="s">
        <v>247</v>
      </c>
      <c r="C54" s="4" t="s">
        <v>200</v>
      </c>
      <c r="D54" s="4" t="s">
        <v>248</v>
      </c>
      <c r="E54" s="14" t="n">
        <f aca="false">COUNTIF(DATA!A:A,B54)</f>
        <v>1</v>
      </c>
      <c r="F54" s="14" t="n">
        <f aca="false">COUNTIFS(DATA!A:A,B54,DATA!G:G,"CONFIRMADO")</f>
        <v>0</v>
      </c>
      <c r="G54" s="5" t="str">
        <f aca="false">IF(E54=0,"SIN DATA",IF(F54=E54,"✅ COMPLETO",IF(F54&gt;0,"🔄 PARCIAL",IF(COUNTIFS(DATA!A:A,B54,DATA!G:G,"PENDIENTE")=E54,"⏳ PENDIENTE","⚠ MIXTO"))))</f>
        <v>⏳ PENDIENTE</v>
      </c>
      <c r="H54" s="12" t="str">
        <f aca="false">"Hola "&amp;IFERROR(LEFT(TRIM(MID(B54,FIND(" ",B54,FIND(" ",B54)+1)+1,100)),IFERROR(FIND(" ",TRIM(MID(B54,FIND(" ",B54,FIND(" ",B54)+1)+1,100)))-1,100)),TRIM(MID(B54,FIND(" ",B54&amp;" ")+1,100)))&amp;", buen día."&amp;CHAR(10)&amp;CHAR(10)&amp;"Te escribo porque una persona de tu equipo aún no se ha sentado en el Capítulo 1:"&amp;CHAR(10)&amp;CHAR(10)&amp;"1. Margareth Mercedes Tapia Pacheco"&amp;CHAR(10)&amp;CHAR(10)&amp;"El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Carlos, buen día.
Te escribo porque una persona de tu equipo aún no se ha sentado en el Capítulo 1:
1. Margareth Mercedes Tapia Pacheco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5" customFormat="false" ht="105" hidden="false" customHeight="true" outlineLevel="0" collapsed="false">
      <c r="A55" s="10" t="n">
        <v>51</v>
      </c>
      <c r="B55" s="6" t="s">
        <v>250</v>
      </c>
      <c r="C55" s="7" t="s">
        <v>200</v>
      </c>
      <c r="D55" s="7" t="s">
        <v>252</v>
      </c>
      <c r="E55" s="11" t="n">
        <f aca="false">COUNTIF(DATA!A:A,B55)</f>
        <v>1</v>
      </c>
      <c r="F55" s="11" t="n">
        <f aca="false">COUNTIFS(DATA!A:A,B55,DATA!G:G,"CONFIRMADO")</f>
        <v>0</v>
      </c>
      <c r="G55" s="5" t="str">
        <f aca="false">IF(E55=0,"SIN DATA",IF(F55=E55,"✅ COMPLETO",IF(F55&gt;0,"🔄 PARCIAL",IF(COUNTIFS(DATA!A:A,B55,DATA!G:G,"PENDIENTE")=E55,"⏳ PENDIENTE","⚠ MIXTO"))))</f>
        <v>⏳ PENDIENTE</v>
      </c>
      <c r="H55" s="12" t="str">
        <f aca="false">"Hola "&amp;IFERROR(LEFT(TRIM(MID(B55,FIND(" ",B55,FIND(" ",B55)+1)+1,100)),IFERROR(FIND(" ",TRIM(MID(B55,FIND(" ",B55,FIND(" ",B55)+1)+1,100)))-1,100)),TRIM(MID(B55,FIND(" ",B55&amp;" ")+1,100)))&amp;", buen día."&amp;CHAR(10)&amp;CHAR(10)&amp;"Te escribo porque una persona de tu equipo aún no se ha sentado en el Capítulo 1:"&amp;CHAR(10)&amp;CHAR(10)&amp;"1. Milagros Iliana Acuna Espinar"&amp;CHAR(10)&amp;CHAR(10)&amp;"El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Jenny, buen día.
Te escribo porque una persona de tu equipo aún no se ha sentado en el Capítulo 1:
1. Milagros Iliana Acuna Espinar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6" customFormat="false" ht="105" hidden="false" customHeight="true" outlineLevel="0" collapsed="false">
      <c r="A56" s="13" t="n">
        <v>52</v>
      </c>
      <c r="B56" s="3" t="s">
        <v>254</v>
      </c>
      <c r="C56" s="4" t="s">
        <v>200</v>
      </c>
      <c r="D56" s="4" t="s">
        <v>256</v>
      </c>
      <c r="E56" s="14" t="n">
        <f aca="false">COUNTIF(DATA!A:A,B56)</f>
        <v>1</v>
      </c>
      <c r="F56" s="14" t="n">
        <f aca="false">COUNTIFS(DATA!A:A,B56,DATA!G:G,"CONFIRMADO")</f>
        <v>0</v>
      </c>
      <c r="G56" s="5" t="str">
        <f aca="false">IF(E56=0,"SIN DATA",IF(F56=E56,"✅ COMPLETO",IF(F56&gt;0,"🔄 PARCIAL",IF(COUNTIFS(DATA!A:A,B56,DATA!G:G,"PENDIENTE")=E56,"⏳ PENDIENTE","⚠ MIXTO"))))</f>
        <v>⏳ PENDIENTE</v>
      </c>
      <c r="H56" s="12" t="str">
        <f aca="false">"Hola "&amp;IFERROR(LEFT(TRIM(MID(B56,FIND(" ",B56,FIND(" ",B56)+1)+1,100)),IFERROR(FIND(" ",TRIM(MID(B56,FIND(" ",B56,FIND(" ",B56)+1)+1,100)))-1,100)),TRIM(MID(B56,FIND(" ",B56&amp;" ")+1,100)))&amp;", buen día."&amp;CHAR(10)&amp;CHAR(10)&amp;"Te escribo porque una persona de tu equipo aún no se ha sentado en el Capítulo 1:"&amp;CHAR(10)&amp;CHAR(10)&amp;"1. Estefani Rosaura Mancilla Gomez"&amp;CHAR(10)&amp;CHAR(10)&amp;"El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Daina, buen día.
Te escribo porque una persona de tu equipo aún no se ha sentado en el Capítulo 1:
1. Estefani Rosaura Mancilla Gomez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7" customFormat="false" ht="105" hidden="false" customHeight="true" outlineLevel="0" collapsed="false">
      <c r="A57" s="10" t="n">
        <v>53</v>
      </c>
      <c r="B57" s="6" t="s">
        <v>258</v>
      </c>
      <c r="C57" s="7" t="s">
        <v>200</v>
      </c>
      <c r="D57" s="7" t="s">
        <v>260</v>
      </c>
      <c r="E57" s="11" t="n">
        <f aca="false">COUNTIF(DATA!A:A,B57)</f>
        <v>1</v>
      </c>
      <c r="F57" s="11" t="n">
        <f aca="false">COUNTIFS(DATA!A:A,B57,DATA!G:G,"CONFIRMADO")</f>
        <v>0</v>
      </c>
      <c r="G57" s="5" t="str">
        <f aca="false">IF(E57=0,"SIN DATA",IF(F57=E57,"✅ COMPLETO",IF(F57&gt;0,"🔄 PARCIAL",IF(COUNTIFS(DATA!A:A,B57,DATA!G:G,"PENDIENTE")=E57,"⏳ PENDIENTE","⚠ MIXTO"))))</f>
        <v>⏳ PENDIENTE</v>
      </c>
      <c r="H57" s="12" t="str">
        <f aca="false">"Hola "&amp;IFERROR(LEFT(TRIM(MID(B57,FIND(" ",B57,FIND(" ",B57)+1)+1,100)),IFERROR(FIND(" ",TRIM(MID(B57,FIND(" ",B57,FIND(" ",B57)+1)+1,100)))-1,100)),TRIM(MID(B57,FIND(" ",B57&amp;" ")+1,100)))&amp;", buen día."&amp;CHAR(10)&amp;CHAR(10)&amp;"Te escribo porque una persona de tu equipo aún no se ha sentado en el Capítulo 1:"&amp;CHAR(10)&amp;CHAR(10)&amp;"1. Melanie Darlene Palomino Asenjo"&amp;CHAR(10)&amp;CHAR(10)&amp;"El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Milagros, buen día.
Te escribo porque una persona de tu equipo aún no se ha sentado en el Capítulo 1:
1. Melanie Darlene Palomino Asenjo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8" customFormat="false" ht="105" hidden="false" customHeight="true" outlineLevel="0" collapsed="false">
      <c r="A58" s="13" t="n">
        <v>54</v>
      </c>
      <c r="B58" s="3" t="s">
        <v>262</v>
      </c>
      <c r="C58" s="4" t="s">
        <v>43</v>
      </c>
      <c r="D58" s="4" t="s">
        <v>264</v>
      </c>
      <c r="E58" s="14" t="n">
        <f aca="false">COUNTIF(DATA!A:A,B58)</f>
        <v>1</v>
      </c>
      <c r="F58" s="14" t="n">
        <f aca="false">COUNTIFS(DATA!A:A,B58,DATA!G:G,"CONFIRMADO")</f>
        <v>0</v>
      </c>
      <c r="G58" s="5" t="str">
        <f aca="false">IF(E58=0,"SIN DATA",IF(F58=E58,"✅ COMPLETO",IF(F58&gt;0,"🔄 PARCIAL",IF(COUNTIFS(DATA!A:A,B58,DATA!G:G,"PENDIENTE")=E58,"⏳ PENDIENTE","⚠ MIXTO"))))</f>
        <v>⏳ PENDIENTE</v>
      </c>
      <c r="H58" s="12" t="str">
        <f aca="false">"Hola "&amp;IFERROR(LEFT(TRIM(MID(B58,FIND(" ",B58,FIND(" ",B58)+1)+1,100)),IFERROR(FIND(" ",TRIM(MID(B58,FIND(" ",B58,FIND(" ",B58)+1)+1,100)))-1,100)),TRIM(MID(B58,FIND(" ",B58&amp;" ")+1,100)))&amp;", buen día."&amp;CHAR(10)&amp;CHAR(10)&amp;"Te escribo porque una persona de tu equipo aún no se ha sentado en el Capítulo 1:"&amp;CHAR(10)&amp;CHAR(10)&amp;"1. Juan Carlos Huillca  Cruz"&amp;CHAR(10)&amp;CHAR(10)&amp;"El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Yusmely, buen día.
Te escribo porque una persona de tu equipo aún no se ha sentado en el Capítulo 1:
1. Juan Carlos Huillca  Cruz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59" customFormat="false" ht="120" hidden="false" customHeight="true" outlineLevel="0" collapsed="false">
      <c r="A59" s="10" t="n">
        <v>55</v>
      </c>
      <c r="B59" s="6" t="s">
        <v>266</v>
      </c>
      <c r="C59" s="7" t="s">
        <v>43</v>
      </c>
      <c r="D59" s="7" t="s">
        <v>268</v>
      </c>
      <c r="E59" s="11" t="n">
        <f aca="false">COUNTIF(DATA!A:A,B59)</f>
        <v>2</v>
      </c>
      <c r="F59" s="11" t="n">
        <f aca="false">COUNTIFS(DATA!A:A,B59,DATA!G:G,"CONFIRMADO")</f>
        <v>0</v>
      </c>
      <c r="G59" s="5" t="str">
        <f aca="false">IF(E59=0,"SIN DATA",IF(F59=E59,"✅ COMPLETO",IF(F59&gt;0,"🔄 PARCIAL",IF(COUNTIFS(DATA!A:A,B59,DATA!G:G,"PENDIENTE")=E59,"⏳ PENDIENTE","⚠ MIXTO"))))</f>
        <v>⏳ PENDIENTE</v>
      </c>
      <c r="H59" s="12" t="str">
        <f aca="false">"Hola "&amp;IFERROR(LEFT(TRIM(MID(B59,FIND(" ",B59,FIND(" ",B59)+1)+1,100)),IFERROR(FIND(" ",TRIM(MID(B59,FIND(" ",B59,FIND(" ",B59)+1)+1,100)))-1,100)),TRIM(MID(B59,FIND(" ",B59&amp;" ")+1,100)))&amp;", buen día."&amp;CHAR(10)&amp;CHAR(10)&amp;"Te escribo porque "&amp;E59&amp;" personas de tu equipo aún no se han sentado en el Capítulo 1:"&amp;CHAR(10)&amp;CHAR(10)&amp;"1. Maria Gaspar Chocca
2. Marycruz Huamani Zanabria"&amp;CHAR(10)&amp;CHAR(10)&amp;"El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Irena, buen día.
Te escribo porque 2 personas de tu equipo aún no se han sentado en el Capítulo 1:
1. Maria Gaspar Chocca
2. Marycruz Huamani Zanabria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0" customFormat="false" ht="105" hidden="false" customHeight="true" outlineLevel="0" collapsed="false">
      <c r="A60" s="13" t="n">
        <v>56</v>
      </c>
      <c r="B60" s="3" t="s">
        <v>272</v>
      </c>
      <c r="C60" s="4" t="s">
        <v>43</v>
      </c>
      <c r="D60" s="4" t="s">
        <v>274</v>
      </c>
      <c r="E60" s="14" t="n">
        <f aca="false">COUNTIF(DATA!A:A,B60)</f>
        <v>1</v>
      </c>
      <c r="F60" s="14" t="n">
        <f aca="false">COUNTIFS(DATA!A:A,B60,DATA!G:G,"CONFIRMADO")</f>
        <v>0</v>
      </c>
      <c r="G60" s="5" t="str">
        <f aca="false">IF(E60=0,"SIN DATA",IF(F60=E60,"✅ COMPLETO",IF(F60&gt;0,"🔄 PARCIAL",IF(COUNTIFS(DATA!A:A,B60,DATA!G:G,"PENDIENTE")=E60,"⏳ PENDIENTE","⚠ MIXTO"))))</f>
        <v>⏳ PENDIENTE</v>
      </c>
      <c r="H60" s="12" t="str">
        <f aca="false">"Hola "&amp;IFERROR(LEFT(TRIM(MID(B60,FIND(" ",B60,FIND(" ",B60)+1)+1,100)),IFERROR(FIND(" ",TRIM(MID(B60,FIND(" ",B60,FIND(" ",B60)+1)+1,100)))-1,100)),TRIM(MID(B60,FIND(" ",B60&amp;" ")+1,100)))&amp;", buen día."&amp;CHAR(10)&amp;CHAR(10)&amp;"Te escribo porque una persona de tu equipo aún no se ha sentado en el Capítulo 1:"&amp;CHAR(10)&amp;CHAR(10)&amp;"1. Ronald Arturo Huapaya Chumpitazi"&amp;CHAR(10)&amp;CHAR(10)&amp;"El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Ursula, buen día.
Te escribo porque una persona de tu equipo aún no se ha sentado en el Capítulo 1:
1. Ronald Arturo Huapaya Chumpitazi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61" customFormat="false" ht="120" hidden="false" customHeight="true" outlineLevel="0" collapsed="false">
      <c r="A61" s="10" t="n">
        <v>57</v>
      </c>
      <c r="B61" s="6" t="s">
        <v>276</v>
      </c>
      <c r="C61" s="7" t="s">
        <v>43</v>
      </c>
      <c r="D61" s="7" t="s">
        <v>278</v>
      </c>
      <c r="E61" s="11" t="n">
        <f aca="false">COUNTIF(DATA!A:A,B61)</f>
        <v>2</v>
      </c>
      <c r="F61" s="11" t="n">
        <f aca="false">COUNTIFS(DATA!A:A,B61,DATA!G:G,"CONFIRMADO")</f>
        <v>0</v>
      </c>
      <c r="G61" s="5" t="str">
        <f aca="false">IF(E61=0,"SIN DATA",IF(F61=E61,"✅ COMPLETO",IF(F61&gt;0,"🔄 PARCIAL",IF(COUNTIFS(DATA!A:A,B61,DATA!G:G,"PENDIENTE")=E61,"⏳ PENDIENTE","⚠ MIXTO"))))</f>
        <v>⏳ PENDIENTE</v>
      </c>
      <c r="H61" s="12" t="str">
        <f aca="false">"Hola "&amp;IFERROR(LEFT(TRIM(MID(B61,FIND(" ",B61,FIND(" ",B61)+1)+1,100)),IFERROR(FIND(" ",TRIM(MID(B61,FIND(" ",B61,FIND(" ",B61)+1)+1,100)))-1,100)),TRIM(MID(B61,FIND(" ",B61&amp;" ")+1,100)))&amp;", buen día."&amp;CHAR(10)&amp;CHAR(10)&amp;"Te escribo porque "&amp;E61&amp;" personas de tu equipo aún no se han sentado en el Capítulo 1:"&amp;CHAR(10)&amp;CHAR(10)&amp;"1. Cesarea Herrera Abal
2. Jhanna Ross Arias Barron"&amp;CHAR(10)&amp;CHAR(10)&amp;"El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Juana, buen día.
Te escribo porque 2 personas de tu equipo aún no se han sentado en el Capítulo 1:
1. Cesarea Herrera Abal
2. Jhanna Ross Arias Barron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2" customFormat="false" ht="105" hidden="false" customHeight="true" outlineLevel="0" collapsed="false">
      <c r="A62" s="13" t="n">
        <v>58</v>
      </c>
      <c r="B62" s="3" t="s">
        <v>281</v>
      </c>
      <c r="C62" s="4" t="s">
        <v>43</v>
      </c>
      <c r="D62" s="4" t="s">
        <v>283</v>
      </c>
      <c r="E62" s="14" t="n">
        <f aca="false">COUNTIF(DATA!A:A,B62)</f>
        <v>1</v>
      </c>
      <c r="F62" s="14" t="n">
        <f aca="false">COUNTIFS(DATA!A:A,B62,DATA!G:G,"CONFIRMADO")</f>
        <v>0</v>
      </c>
      <c r="G62" s="5" t="str">
        <f aca="false">IF(E62=0,"SIN DATA",IF(F62=E62,"✅ COMPLETO",IF(F62&gt;0,"🔄 PARCIAL",IF(COUNTIFS(DATA!A:A,B62,DATA!G:G,"PENDIENTE")=E62,"⏳ PENDIENTE","⚠ MIXTO"))))</f>
        <v>⏳ PENDIENTE</v>
      </c>
      <c r="H62" s="12" t="str">
        <f aca="false">"Hola "&amp;IFERROR(LEFT(TRIM(MID(B62,FIND(" ",B62,FIND(" ",B62)+1)+1,100)),IFERROR(FIND(" ",TRIM(MID(B62,FIND(" ",B62,FIND(" ",B62)+1)+1,100)))-1,100)),TRIM(MID(B62,FIND(" ",B62&amp;" ")+1,100)))&amp;", buen día."&amp;CHAR(10)&amp;CHAR(10)&amp;"Te escribo porque una persona de tu equipo aún no se ha sentado en el Capítulo 1:"&amp;CHAR(10)&amp;CHAR(10)&amp;"1. Joshua Andre Barrientos Calderon"&amp;CHAR(10)&amp;CHAR(10)&amp;"El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Claudia, buen día.
Te escribo porque una persona de tu equipo aún no se ha sentado en el Capítulo 1:
1. Joshua Andre Barrientos Calderon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63" customFormat="false" ht="165" hidden="false" customHeight="true" outlineLevel="0" collapsed="false">
      <c r="A63" s="10" t="n">
        <v>59</v>
      </c>
      <c r="B63" s="6" t="s">
        <v>285</v>
      </c>
      <c r="C63" s="7" t="s">
        <v>43</v>
      </c>
      <c r="D63" s="7" t="s">
        <v>287</v>
      </c>
      <c r="E63" s="11" t="n">
        <f aca="false">COUNTIF(DATA!A:A,B63)</f>
        <v>5</v>
      </c>
      <c r="F63" s="11" t="n">
        <f aca="false">COUNTIFS(DATA!A:A,B63,DATA!G:G,"CONFIRMADO")</f>
        <v>0</v>
      </c>
      <c r="G63" s="5" t="str">
        <f aca="false">IF(E63=0,"SIN DATA",IF(F63=E63,"✅ COMPLETO",IF(F63&gt;0,"🔄 PARCIAL",IF(COUNTIFS(DATA!A:A,B63,DATA!G:G,"PENDIENTE")=E63,"⏳ PENDIENTE","⚠ MIXTO"))))</f>
        <v>⏳ PENDIENTE</v>
      </c>
      <c r="H63" s="12" t="str">
        <f aca="false">"Hola "&amp;IFERROR(LEFT(TRIM(MID(B63,FIND(" ",B63,FIND(" ",B63)+1)+1,100)),IFERROR(FIND(" ",TRIM(MID(B63,FIND(" ",B63,FIND(" ",B63)+1)+1,100)))-1,100)),TRIM(MID(B63,FIND(" ",B63&amp;" ")+1,100)))&amp;", buen día."&amp;CHAR(10)&amp;CHAR(10)&amp;"Te escribo porque "&amp;E63&amp;" personas de tu equipo aún no se han sentado en el Capítulo 1:"&amp;CHAR(10)&amp;CHAR(10)&amp;"1. Luis Alberto Sotomayor Zarate
2. Rafael Urrutia Huaman
3. Vania Alexandra Arana Espinoza
4. Zoila Cavero Reap
5. Doris Javier Jimenez"&amp;CHAR(10)&amp;CHAR(10)&amp;"El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Geraldine, buen día.
Te escribo porque 5 personas de tu equipo aún no se han sentado en el Capítulo 1:
1. Luis Alberto Sotomayor Zarate
2. Rafael Urrutia Huaman
3. Vania Alexandra Arana Espinoza
4. Zoila Cavero Reap
5. Doris Javier Jimenez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4" customFormat="false" ht="120" hidden="false" customHeight="true" outlineLevel="0" collapsed="false">
      <c r="A64" s="13" t="n">
        <v>60</v>
      </c>
      <c r="B64" s="3" t="s">
        <v>293</v>
      </c>
      <c r="C64" s="4" t="s">
        <v>43</v>
      </c>
      <c r="D64" s="4" t="s">
        <v>295</v>
      </c>
      <c r="E64" s="14" t="n">
        <f aca="false">COUNTIF(DATA!A:A,B64)</f>
        <v>2</v>
      </c>
      <c r="F64" s="14" t="n">
        <f aca="false">COUNTIFS(DATA!A:A,B64,DATA!G:G,"CONFIRMADO")</f>
        <v>0</v>
      </c>
      <c r="G64" s="5" t="str">
        <f aca="false">IF(E64=0,"SIN DATA",IF(F64=E64,"✅ COMPLETO",IF(F64&gt;0,"🔄 PARCIAL",IF(COUNTIFS(DATA!A:A,B64,DATA!G:G,"PENDIENTE")=E64,"⏳ PENDIENTE","⚠ MIXTO"))))</f>
        <v>⏳ PENDIENTE</v>
      </c>
      <c r="H64" s="12" t="str">
        <f aca="false">"Hola "&amp;IFERROR(LEFT(TRIM(MID(B64,FIND(" ",B64,FIND(" ",B64)+1)+1,100)),IFERROR(FIND(" ",TRIM(MID(B64,FIND(" ",B64,FIND(" ",B64)+1)+1,100)))-1,100)),TRIM(MID(B64,FIND(" ",B64&amp;" ")+1,100)))&amp;", buen día."&amp;CHAR(10)&amp;CHAR(10)&amp;"Te escribo porque "&amp;E64&amp;" personas de tu equipo aún no se han sentado en el Capítulo 1:"&amp;CHAR(10)&amp;CHAR(10)&amp;"1. Marivi Nicole Luna Alcarraz
2. Francisco Navarro Lazo"&amp;CHAR(10)&amp;CHAR(10)&amp;"El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Jean, buen día.
Te escribo porque 2 personas de tu equipo aún no se han sentado en el Capítulo 1:
1. Marivi Nicole Luna Alcarraz
2. Francisco Navarro Lazo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5" customFormat="false" ht="135" hidden="false" customHeight="true" outlineLevel="0" collapsed="false">
      <c r="A65" s="10" t="n">
        <v>61</v>
      </c>
      <c r="B65" s="6" t="s">
        <v>298</v>
      </c>
      <c r="C65" s="7" t="s">
        <v>43</v>
      </c>
      <c r="D65" s="7" t="s">
        <v>300</v>
      </c>
      <c r="E65" s="11" t="n">
        <f aca="false">COUNTIF(DATA!A:A,B65)</f>
        <v>3</v>
      </c>
      <c r="F65" s="11" t="n">
        <f aca="false">COUNTIFS(DATA!A:A,B65,DATA!G:G,"CONFIRMADO")</f>
        <v>0</v>
      </c>
      <c r="G65" s="5" t="str">
        <f aca="false">IF(E65=0,"SIN DATA",IF(F65=E65,"✅ COMPLETO",IF(F65&gt;0,"🔄 PARCIAL",IF(COUNTIFS(DATA!A:A,B65,DATA!G:G,"PENDIENTE")=E65,"⏳ PENDIENTE","⚠ MIXTO"))))</f>
        <v>⏳ PENDIENTE</v>
      </c>
      <c r="H65" s="12" t="str">
        <f aca="false">"Hola "&amp;IFERROR(LEFT(TRIM(MID(B65,FIND(" ",B65,FIND(" ",B65)+1)+1,100)),IFERROR(FIND(" ",TRIM(MID(B65,FIND(" ",B65,FIND(" ",B65)+1)+1,100)))-1,100)),TRIM(MID(B65,FIND(" ",B65&amp;" ")+1,100)))&amp;", buen día."&amp;CHAR(10)&amp;CHAR(10)&amp;"Te escribo porque "&amp;E65&amp;" personas de tu equipo aún no se han sentado en el Capítulo 1:"&amp;CHAR(10)&amp;CHAR(10)&amp;"1. Yury Omonte Chavez
2. Jenifer Pierina Gamarra Paredes
3. Alejandro Cotrina Sulca"&amp;CHAR(10)&amp;CHAR(10)&amp;"El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Britney, buen día.
Te escribo porque 3 personas de tu equipo aún no se han sentado en el Capítulo 1:
1. Yury Omonte Chavez
2. Jenifer Pierina Gamarra Paredes
3. Alejandro Cotrina Sulca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6" customFormat="false" ht="195" hidden="false" customHeight="true" outlineLevel="0" collapsed="false">
      <c r="A66" s="13" t="n">
        <v>62</v>
      </c>
      <c r="B66" s="3" t="s">
        <v>304</v>
      </c>
      <c r="C66" s="4" t="s">
        <v>43</v>
      </c>
      <c r="D66" s="4" t="s">
        <v>305</v>
      </c>
      <c r="E66" s="14" t="n">
        <f aca="false">COUNTIF(DATA!A:A,B66)</f>
        <v>7</v>
      </c>
      <c r="F66" s="14" t="n">
        <f aca="false">COUNTIFS(DATA!A:A,B66,DATA!G:G,"CONFIRMADO")</f>
        <v>0</v>
      </c>
      <c r="G66" s="5" t="str">
        <f aca="false">IF(E66=0,"SIN DATA",IF(F66=E66,"✅ COMPLETO",IF(F66&gt;0,"🔄 PARCIAL",IF(COUNTIFS(DATA!A:A,B66,DATA!G:G,"PENDIENTE")=E66,"⏳ PENDIENTE","⚠ MIXTO"))))</f>
        <v>⏳ PENDIENTE</v>
      </c>
      <c r="H66" s="12" t="str">
        <f aca="false">"Hola "&amp;IFERROR(LEFT(TRIM(MID(B66,FIND(" ",B66,FIND(" ",B66)+1)+1,100)),IFERROR(FIND(" ",TRIM(MID(B66,FIND(" ",B66,FIND(" ",B66)+1)+1,100)))-1,100)),TRIM(MID(B66,FIND(" ",B66&amp;" ")+1,100)))&amp;", buen día."&amp;CHAR(10)&amp;CHAR(10)&amp;"Te escribo porque "&amp;E66&amp;" personas de tu equipo aún no se han sentado en el Capítulo 1:"&amp;CHAR(10)&amp;CHAR(10)&amp;"1. Gabriela Milagros Palacios Lindo
2. Elva Carolina Huamani Misaico
3. Luzmila Edith Mendoza Tupia
4. Maria Huamani Obregon
5. Kruspskaya Katrin Lopez Yupari
6. Rosa Colos Tineo
7. Selmy Humpire Rodas"&amp;CHAR(10)&amp;CHAR(10)&amp;"El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Cruz, buen día.
Te escribo porque 7 personas de tu equipo aún no se han sentado en el Capítulo 1:
1. Gabriela Milagros Palacios Lindo
2. Elva Carolina Huamani Misaico
3. Luzmila Edith Mendoza Tupia
4. Maria Huamani Obregon
5. Kruspskaya Katrin Lopez Yupari
6. Rosa Colos Tineo
7. Selmy Humpire Rodas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7" customFormat="false" ht="105" hidden="false" customHeight="true" outlineLevel="0" collapsed="false">
      <c r="A67" s="10" t="n">
        <v>63</v>
      </c>
      <c r="B67" s="6" t="s">
        <v>313</v>
      </c>
      <c r="C67" s="7" t="s">
        <v>43</v>
      </c>
      <c r="D67" s="7" t="s">
        <v>314</v>
      </c>
      <c r="E67" s="11" t="n">
        <f aca="false">COUNTIF(DATA!A:A,B67)</f>
        <v>1</v>
      </c>
      <c r="F67" s="11" t="n">
        <f aca="false">COUNTIFS(DATA!A:A,B67,DATA!G:G,"CONFIRMADO")</f>
        <v>0</v>
      </c>
      <c r="G67" s="5" t="str">
        <f aca="false">IF(E67=0,"SIN DATA",IF(F67=E67,"✅ COMPLETO",IF(F67&gt;0,"🔄 PARCIAL",IF(COUNTIFS(DATA!A:A,B67,DATA!G:G,"PENDIENTE")=E67,"⏳ PENDIENTE","⚠ MIXTO"))))</f>
        <v>⏳ PENDIENTE</v>
      </c>
      <c r="H67" s="12" t="str">
        <f aca="false">"Hola "&amp;IFERROR(LEFT(TRIM(MID(B67,FIND(" ",B67,FIND(" ",B67)+1)+1,100)),IFERROR(FIND(" ",TRIM(MID(B67,FIND(" ",B67,FIND(" ",B67)+1)+1,100)))-1,100)),TRIM(MID(B67,FIND(" ",B67&amp;" ")+1,100)))&amp;", buen día."&amp;CHAR(10)&amp;CHAR(10)&amp;"Te escribo porque una persona de tu equipo aún no se ha sentado en el Capítulo 1:"&amp;CHAR(10)&amp;CHAR(10)&amp;"1. Marleni Arango Huaytalla"&amp;CHAR(10)&amp;CHAR(10)&amp;"El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Cruz, buen día.
Te escribo porque una persona de tu equipo aún no se ha sentado en el Capítulo 1:
1. Marleni Arango Huaytalla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68" customFormat="false" ht="150" hidden="false" customHeight="true" outlineLevel="0" collapsed="false">
      <c r="A68" s="13" t="n">
        <v>64</v>
      </c>
      <c r="B68" s="3" t="s">
        <v>316</v>
      </c>
      <c r="C68" s="4" t="s">
        <v>43</v>
      </c>
      <c r="D68" s="4" t="s">
        <v>318</v>
      </c>
      <c r="E68" s="14" t="n">
        <f aca="false">COUNTIF(DATA!A:A,B68)</f>
        <v>4</v>
      </c>
      <c r="F68" s="14" t="n">
        <f aca="false">COUNTIFS(DATA!A:A,B68,DATA!G:G,"CONFIRMADO")</f>
        <v>0</v>
      </c>
      <c r="G68" s="5" t="str">
        <f aca="false">IF(E68=0,"SIN DATA",IF(F68=E68,"✅ COMPLETO",IF(F68&gt;0,"🔄 PARCIAL",IF(COUNTIFS(DATA!A:A,B68,DATA!G:G,"PENDIENTE")=E68,"⏳ PENDIENTE","⚠ MIXTO"))))</f>
        <v>⏳ PENDIENTE</v>
      </c>
      <c r="H68" s="12" t="str">
        <f aca="false">"Hola "&amp;IFERROR(LEFT(TRIM(MID(B68,FIND(" ",B68,FIND(" ",B68)+1)+1,100)),IFERROR(FIND(" ",TRIM(MID(B68,FIND(" ",B68,FIND(" ",B68)+1)+1,100)))-1,100)),TRIM(MID(B68,FIND(" ",B68&amp;" ")+1,100)))&amp;", buen día."&amp;CHAR(10)&amp;CHAR(10)&amp;"Te escribo porque "&amp;E68&amp;" personas de tu equipo aún no se han sentado en el Capítulo 1:"&amp;CHAR(10)&amp;CHAR(10)&amp;"1. Cristel Yahaira Gregorio Sosa
2. Oliva Sosa Mirante
3. Carlos Humberto Valdero Rojas
4. Jordan Anthony Rojas"&amp;CHAR(10)&amp;CHAR(10)&amp;"El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Gustavo, buen día.
Te escribo porque 4 personas de tu equipo aún no se han sentado en el Capítulo 1:
1. Cristel Yahaira Gregorio Sosa
2. Oliva Sosa Mirante
3. Carlos Humberto Valdero Rojas
4. Jordan Anthony Rojas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69" customFormat="false" ht="105" hidden="false" customHeight="true" outlineLevel="0" collapsed="false">
      <c r="A69" s="10" t="n">
        <v>65</v>
      </c>
      <c r="B69" s="6" t="s">
        <v>323</v>
      </c>
      <c r="C69" s="7" t="s">
        <v>43</v>
      </c>
      <c r="D69" s="7" t="s">
        <v>325</v>
      </c>
      <c r="E69" s="11" t="n">
        <f aca="false">COUNTIF(DATA!A:A,B69)</f>
        <v>1</v>
      </c>
      <c r="F69" s="11" t="n">
        <f aca="false">COUNTIFS(DATA!A:A,B69,DATA!G:G,"CONFIRMADO")</f>
        <v>0</v>
      </c>
      <c r="G69" s="5" t="str">
        <f aca="false">IF(E69=0,"SIN DATA",IF(F69=E69,"✅ COMPLETO",IF(F69&gt;0,"🔄 PARCIAL",IF(COUNTIFS(DATA!A:A,B69,DATA!G:G,"PENDIENTE")=E69,"⏳ PENDIENTE","⚠ MIXTO"))))</f>
        <v>⏳ PENDIENTE</v>
      </c>
      <c r="H69" s="12" t="str">
        <f aca="false">"Hola "&amp;IFERROR(LEFT(TRIM(MID(B69,FIND(" ",B69,FIND(" ",B69)+1)+1,100)),IFERROR(FIND(" ",TRIM(MID(B69,FIND(" ",B69,FIND(" ",B69)+1)+1,100)))-1,100)),TRIM(MID(B69,FIND(" ",B69&amp;" ")+1,100)))&amp;", buen día."&amp;CHAR(10)&amp;CHAR(10)&amp;"Te escribo porque una persona de tu equipo aún no se ha sentado en el Capítulo 1:"&amp;CHAR(10)&amp;CHAR(10)&amp;"1. Betsy Nicole Reynaga Rojas"&amp;CHAR(10)&amp;CHAR(10)&amp;"El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Elmer, buen día.
Te escribo porque una persona de tu equipo aún no se ha sentado en el Capítulo 1:
1. Betsy Nicole Reynaga Rojas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0" customFormat="false" ht="105" hidden="false" customHeight="true" outlineLevel="0" collapsed="false">
      <c r="A70" s="13" t="n">
        <v>66</v>
      </c>
      <c r="B70" s="3" t="s">
        <v>327</v>
      </c>
      <c r="C70" s="4" t="s">
        <v>43</v>
      </c>
      <c r="D70" s="4" t="s">
        <v>329</v>
      </c>
      <c r="E70" s="14" t="n">
        <f aca="false">COUNTIF(DATA!A:A,B70)</f>
        <v>1</v>
      </c>
      <c r="F70" s="14" t="n">
        <f aca="false">COUNTIFS(DATA!A:A,B70,DATA!G:G,"CONFIRMADO")</f>
        <v>0</v>
      </c>
      <c r="G70" s="5" t="str">
        <f aca="false">IF(E70=0,"SIN DATA",IF(F70=E70,"✅ COMPLETO",IF(F70&gt;0,"🔄 PARCIAL",IF(COUNTIFS(DATA!A:A,B70,DATA!G:G,"PENDIENTE")=E70,"⏳ PENDIENTE","⚠ MIXTO"))))</f>
        <v>⏳ PENDIENTE</v>
      </c>
      <c r="H70" s="12" t="str">
        <f aca="false">"Hola "&amp;IFERROR(LEFT(TRIM(MID(B70,FIND(" ",B70,FIND(" ",B70)+1)+1,100)),IFERROR(FIND(" ",TRIM(MID(B70,FIND(" ",B70,FIND(" ",B70)+1)+1,100)))-1,100)),TRIM(MID(B70,FIND(" ",B70&amp;" ")+1,100)))&amp;", buen día."&amp;CHAR(10)&amp;CHAR(10)&amp;"Te escribo porque una persona de tu equipo aún no se ha sentado en el Capítulo 1:"&amp;CHAR(10)&amp;CHAR(10)&amp;"1. Luz Veronica Perez Padilla"&amp;CHAR(10)&amp;CHAR(10)&amp;"El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Saul, buen día.
Te escribo porque una persona de tu equipo aún no se ha sentado en el Capítulo 1:
1. Luz Veronica Perez Padilla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1" customFormat="false" ht="150" hidden="false" customHeight="true" outlineLevel="0" collapsed="false">
      <c r="A71" s="10" t="n">
        <v>67</v>
      </c>
      <c r="B71" s="6" t="s">
        <v>331</v>
      </c>
      <c r="C71" s="7" t="s">
        <v>43</v>
      </c>
      <c r="D71" s="7" t="s">
        <v>333</v>
      </c>
      <c r="E71" s="11" t="n">
        <f aca="false">COUNTIF(DATA!A:A,B71)</f>
        <v>4</v>
      </c>
      <c r="F71" s="11" t="n">
        <f aca="false">COUNTIFS(DATA!A:A,B71,DATA!G:G,"CONFIRMADO")</f>
        <v>0</v>
      </c>
      <c r="G71" s="5" t="str">
        <f aca="false">IF(E71=0,"SIN DATA",IF(F71=E71,"✅ COMPLETO",IF(F71&gt;0,"🔄 PARCIAL",IF(COUNTIFS(DATA!A:A,B71,DATA!G:G,"PENDIENTE")=E71,"⏳ PENDIENTE","⚠ MIXTO"))))</f>
        <v>⏳ PENDIENTE</v>
      </c>
      <c r="H71" s="12" t="str">
        <f aca="false">"Hola "&amp;IFERROR(LEFT(TRIM(MID(B71,FIND(" ",B71,FIND(" ",B71)+1)+1,100)),IFERROR(FIND(" ",TRIM(MID(B71,FIND(" ",B71,FIND(" ",B71)+1)+1,100)))-1,100)),TRIM(MID(B71,FIND(" ",B71&amp;" ")+1,100)))&amp;", buen día."&amp;CHAR(10)&amp;CHAR(10)&amp;"Te escribo porque "&amp;E71&amp;" personas de tu equipo aún no se han sentado en el Capítulo 1:"&amp;CHAR(10)&amp;CHAR(10)&amp;"1. Renzo Gustavo Montes Ramirez
2. Bertha Quicano Flores
3. Yamali Silva Mejia
4. Cristina Del Pilar Olazabal Ochoa"&amp;CHAR(10)&amp;CHAR(10)&amp;"El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Pamela, buen día.
Te escribo porque 4 personas de tu equipo aún no se han sentado en el Capítulo 1:
1. Renzo Gustavo Montes Ramirez
2. Bertha Quicano Flores
3. Yamali Silva Mejia
4. Cristina Del Pilar Olazabal Ochoa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72" customFormat="false" ht="120" hidden="false" customHeight="true" outlineLevel="0" collapsed="false">
      <c r="A72" s="13" t="n">
        <v>68</v>
      </c>
      <c r="B72" s="3" t="s">
        <v>338</v>
      </c>
      <c r="C72" s="4" t="s">
        <v>43</v>
      </c>
      <c r="D72" s="4" t="s">
        <v>340</v>
      </c>
      <c r="E72" s="14" t="n">
        <f aca="false">COUNTIF(DATA!A:A,B72)</f>
        <v>2</v>
      </c>
      <c r="F72" s="14" t="n">
        <f aca="false">COUNTIFS(DATA!A:A,B72,DATA!G:G,"CONFIRMADO")</f>
        <v>0</v>
      </c>
      <c r="G72" s="5" t="str">
        <f aca="false">IF(E72=0,"SIN DATA",IF(F72=E72,"✅ COMPLETO",IF(F72&gt;0,"🔄 PARCIAL",IF(COUNTIFS(DATA!A:A,B72,DATA!G:G,"PENDIENTE")=E72,"⏳ PENDIENTE","⚠ MIXTO"))))</f>
        <v>⏳ PENDIENTE</v>
      </c>
      <c r="H72" s="12" t="str">
        <f aca="false">"Hola "&amp;IFERROR(LEFT(TRIM(MID(B72,FIND(" ",B72,FIND(" ",B72)+1)+1,100)),IFERROR(FIND(" ",TRIM(MID(B72,FIND(" ",B72,FIND(" ",B72)+1)+1,100)))-1,100)),TRIM(MID(B72,FIND(" ",B72&amp;" ")+1,100)))&amp;", buen día."&amp;CHAR(10)&amp;CHAR(10)&amp;"Te escribo porque "&amp;E72&amp;" personas de tu equipo aún no se han sentado en el Capítulo 1:"&amp;CHAR(10)&amp;CHAR(10)&amp;"1. Paola Del Rocio Naveda Tipismana
2. Claudia Katherine Pardo Figueroa Quea"&amp;CHAR(10)&amp;CHAR(10)&amp;"El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Gabriela, buen día.
Te escribo porque 2 personas de tu equipo aún no se han sentado en el Capítulo 1:
1. Paola Del Rocio Naveda Tipismana
2. Claudia Katherine Pardo Figueroa Quea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73" customFormat="false" ht="195" hidden="false" customHeight="true" outlineLevel="0" collapsed="false">
      <c r="A73" s="10" t="n">
        <v>69</v>
      </c>
      <c r="B73" s="6" t="s">
        <v>343</v>
      </c>
      <c r="C73" s="7" t="s">
        <v>43</v>
      </c>
      <c r="D73" s="7" t="s">
        <v>345</v>
      </c>
      <c r="E73" s="11" t="n">
        <f aca="false">COUNTIF(DATA!A:A,B73)</f>
        <v>7</v>
      </c>
      <c r="F73" s="11" t="n">
        <f aca="false">COUNTIFS(DATA!A:A,B73,DATA!G:G,"CONFIRMADO")</f>
        <v>0</v>
      </c>
      <c r="G73" s="5" t="str">
        <f aca="false">IF(E73=0,"SIN DATA",IF(F73=E73,"✅ COMPLETO",IF(F73&gt;0,"🔄 PARCIAL",IF(COUNTIFS(DATA!A:A,B73,DATA!G:G,"PENDIENTE")=E73,"⏳ PENDIENTE","⚠ MIXTO"))))</f>
        <v>⏳ PENDIENTE</v>
      </c>
      <c r="H73" s="12" t="str">
        <f aca="false">"Hola "&amp;IFERROR(LEFT(TRIM(MID(B73,FIND(" ",B73,FIND(" ",B73)+1)+1,100)),IFERROR(FIND(" ",TRIM(MID(B73,FIND(" ",B73,FIND(" ",B73)+1)+1,100)))-1,100)),TRIM(MID(B73,FIND(" ",B73&amp;" ")+1,100)))&amp;", buen día."&amp;CHAR(10)&amp;CHAR(10)&amp;"Te escribo porque "&amp;E73&amp;" personas de tu equipo aún no se han sentado en el Capítulo 1:"&amp;CHAR(10)&amp;CHAR(10)&amp;"1. Guido Hinojosa De Arnedo
2. Omar Henry Llallacachi Catasi
3. Magaly Nelida Herrera Cruz
4. Laura Modesta Rojas Picoy
5. Brat Brayan Gala Castillo
6. Liliana Dionisio Vasquez
7. Cesar Gala Villanueva"&amp;CHAR(10)&amp;CHAR(10)&amp;"El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Zara, buen día.
Te escribo porque 7 personas de tu equipo aún no se han sentado en el Capítulo 1:
1. Guido Hinojosa De Arnedo
2. Omar Henry Llallacachi Catasi
3. Magaly Nelida Herrera Cruz
4. Laura Modesta Rojas Picoy
5. Brat Brayan Gala Castillo
6. Liliana Dionisio Vasquez
7. Cesar Gala Villanueva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74" customFormat="false" ht="105" hidden="false" customHeight="true" outlineLevel="0" collapsed="false">
      <c r="A74" s="13" t="n">
        <v>70</v>
      </c>
      <c r="B74" s="3" t="s">
        <v>353</v>
      </c>
      <c r="C74" s="4" t="s">
        <v>43</v>
      </c>
      <c r="D74" s="4" t="s">
        <v>354</v>
      </c>
      <c r="E74" s="14" t="n">
        <f aca="false">COUNTIF(DATA!A:A,B74)</f>
        <v>1</v>
      </c>
      <c r="F74" s="14" t="n">
        <f aca="false">COUNTIFS(DATA!A:A,B74,DATA!G:G,"CONFIRMADO")</f>
        <v>0</v>
      </c>
      <c r="G74" s="5" t="str">
        <f aca="false">IF(E74=0,"SIN DATA",IF(F74=E74,"✅ COMPLETO",IF(F74&gt;0,"🔄 PARCIAL",IF(COUNTIFS(DATA!A:A,B74,DATA!G:G,"PENDIENTE")=E74,"⏳ PENDIENTE","⚠ MIXTO"))))</f>
        <v>⏳ PENDIENTE</v>
      </c>
      <c r="H74" s="12" t="str">
        <f aca="false">"Hola "&amp;IFERROR(LEFT(TRIM(MID(B74,FIND(" ",B74,FIND(" ",B74)+1)+1,100)),IFERROR(FIND(" ",TRIM(MID(B74,FIND(" ",B74,FIND(" ",B74)+1)+1,100)))-1,100)),TRIM(MID(B74,FIND(" ",B74&amp;" ")+1,100)))&amp;", buen día."&amp;CHAR(10)&amp;CHAR(10)&amp;"Te escribo porque una persona de tu equipo aún no se ha sentado en el Capítulo 1:"&amp;CHAR(10)&amp;CHAR(10)&amp;"1. Emerson Hugo Atunca Leon"&amp;CHAR(10)&amp;CHAR(10)&amp;"El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Carmen, buen día.
Te escribo porque una persona de tu equipo aún no se ha sentado en el Capítulo 1:
1. Emerson Hugo Atunca Leon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5" customFormat="false" ht="165" hidden="false" customHeight="true" outlineLevel="0" collapsed="false">
      <c r="A75" s="10" t="n">
        <v>71</v>
      </c>
      <c r="B75" s="6" t="s">
        <v>356</v>
      </c>
      <c r="C75" s="7" t="s">
        <v>43</v>
      </c>
      <c r="D75" s="7" t="s">
        <v>358</v>
      </c>
      <c r="E75" s="11" t="n">
        <f aca="false">COUNTIF(DATA!A:A,B75)</f>
        <v>5</v>
      </c>
      <c r="F75" s="11" t="n">
        <f aca="false">COUNTIFS(DATA!A:A,B75,DATA!G:G,"CONFIRMADO")</f>
        <v>0</v>
      </c>
      <c r="G75" s="5" t="str">
        <f aca="false">IF(E75=0,"SIN DATA",IF(F75=E75,"✅ COMPLETO",IF(F75&gt;0,"🔄 PARCIAL",IF(COUNTIFS(DATA!A:A,B75,DATA!G:G,"PENDIENTE")=E75,"⏳ PENDIENTE","⚠ MIXTO"))))</f>
        <v>⏳ PENDIENTE</v>
      </c>
      <c r="H75" s="12" t="str">
        <f aca="false">"Hola "&amp;IFERROR(LEFT(TRIM(MID(B75,FIND(" ",B75,FIND(" ",B75)+1)+1,100)),IFERROR(FIND(" ",TRIM(MID(B75,FIND(" ",B75,FIND(" ",B75)+1)+1,100)))-1,100)),TRIM(MID(B75,FIND(" ",B75&amp;" ")+1,100)))&amp;", buen día."&amp;CHAR(10)&amp;CHAR(10)&amp;"Te escribo porque "&amp;E75&amp;" personas de tu equipo aún no se han sentado en el Capítulo 1:"&amp;CHAR(10)&amp;CHAR(10)&amp;"1. Jack Alexander Jimenez
2. Lourdes Iris Millan Leon
3. Luis Enrique Chio Vasquez
4. Nelson Santiago Medina Arenas
5. Marisol Dett Lopez"&amp;CHAR(10)&amp;CHAR(10)&amp;"El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Angello, buen día.
Te escribo porque 5 personas de tu equipo aún no se han sentado en el Capítulo 1:
1. Jack Alexander Jimenez
2. Lourdes Iris Millan Leon
3. Luis Enrique Chio Vasquez
4. Nelson Santiago Medina Arenas
5. Marisol Dett Lopez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76" customFormat="false" ht="105" hidden="false" customHeight="true" outlineLevel="0" collapsed="false">
      <c r="A76" s="13" t="n">
        <v>72</v>
      </c>
      <c r="B76" s="3" t="s">
        <v>364</v>
      </c>
      <c r="C76" s="4" t="s">
        <v>43</v>
      </c>
      <c r="D76" s="4" t="s">
        <v>366</v>
      </c>
      <c r="E76" s="14" t="n">
        <f aca="false">COUNTIF(DATA!A:A,B76)</f>
        <v>1</v>
      </c>
      <c r="F76" s="14" t="n">
        <f aca="false">COUNTIFS(DATA!A:A,B76,DATA!G:G,"CONFIRMADO")</f>
        <v>0</v>
      </c>
      <c r="G76" s="5" t="str">
        <f aca="false">IF(E76=0,"SIN DATA",IF(F76=E76,"✅ COMPLETO",IF(F76&gt;0,"🔄 PARCIAL",IF(COUNTIFS(DATA!A:A,B76,DATA!G:G,"PENDIENTE")=E76,"⏳ PENDIENTE","⚠ MIXTO"))))</f>
        <v>⏳ PENDIENTE</v>
      </c>
      <c r="H76" s="12" t="str">
        <f aca="false">"Hola "&amp;IFERROR(LEFT(TRIM(MID(B76,FIND(" ",B76,FIND(" ",B76)+1)+1,100)),IFERROR(FIND(" ",TRIM(MID(B76,FIND(" ",B76,FIND(" ",B76)+1)+1,100)))-1,100)),TRIM(MID(B76,FIND(" ",B76&amp;" ")+1,100)))&amp;", buen día."&amp;CHAR(10)&amp;CHAR(10)&amp;"Te escribo porque una persona de tu equipo aún no se ha sentado en el Capítulo 1:"&amp;CHAR(10)&amp;CHAR(10)&amp;"1. Martin Esparza Dulanto"&amp;CHAR(10)&amp;CHAR(10)&amp;"El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Fernando, buen día.
Te escribo porque una persona de tu equipo aún no se ha sentado en el Capítulo 1:
1. Martin Esparza Dulanto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7" customFormat="false" ht="105" hidden="false" customHeight="true" outlineLevel="0" collapsed="false">
      <c r="A77" s="10" t="n">
        <v>73</v>
      </c>
      <c r="B77" s="6" t="s">
        <v>368</v>
      </c>
      <c r="C77" s="7" t="s">
        <v>43</v>
      </c>
      <c r="D77" s="7" t="s">
        <v>370</v>
      </c>
      <c r="E77" s="11" t="n">
        <f aca="false">COUNTIF(DATA!A:A,B77)</f>
        <v>1</v>
      </c>
      <c r="F77" s="11" t="n">
        <f aca="false">COUNTIFS(DATA!A:A,B77,DATA!G:G,"CONFIRMADO")</f>
        <v>0</v>
      </c>
      <c r="G77" s="5" t="str">
        <f aca="false">IF(E77=0,"SIN DATA",IF(F77=E77,"✅ COMPLETO",IF(F77&gt;0,"🔄 PARCIAL",IF(COUNTIFS(DATA!A:A,B77,DATA!G:G,"PENDIENTE")=E77,"⏳ PENDIENTE","⚠ MIXTO"))))</f>
        <v>⏳ PENDIENTE</v>
      </c>
      <c r="H77" s="12" t="str">
        <f aca="false">"Hola "&amp;IFERROR(LEFT(TRIM(MID(B77,FIND(" ",B77,FIND(" ",B77)+1)+1,100)),IFERROR(FIND(" ",TRIM(MID(B77,FIND(" ",B77,FIND(" ",B77)+1)+1,100)))-1,100)),TRIM(MID(B77,FIND(" ",B77&amp;" ")+1,100)))&amp;", buen día."&amp;CHAR(10)&amp;CHAR(10)&amp;"Te escribo porque una persona de tu equipo aún no se ha sentado en el Capítulo 1:"&amp;CHAR(10)&amp;CHAR(10)&amp;"1. Lucia Castro"&amp;CHAR(10)&amp;CHAR(10)&amp;"El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Giovanni, buen día.
Te escribo porque una persona de tu equipo aún no se ha sentado en el Capítulo 1:
1. Lucia Castro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8" customFormat="false" ht="105" hidden="false" customHeight="true" outlineLevel="0" collapsed="false">
      <c r="A78" s="13" t="n">
        <v>74</v>
      </c>
      <c r="B78" s="3" t="s">
        <v>372</v>
      </c>
      <c r="C78" s="4" t="s">
        <v>43</v>
      </c>
      <c r="D78" s="4" t="s">
        <v>374</v>
      </c>
      <c r="E78" s="14" t="n">
        <f aca="false">COUNTIF(DATA!A:A,B78)</f>
        <v>1</v>
      </c>
      <c r="F78" s="14" t="n">
        <f aca="false">COUNTIFS(DATA!A:A,B78,DATA!G:G,"CONFIRMADO")</f>
        <v>0</v>
      </c>
      <c r="G78" s="5" t="str">
        <f aca="false">IF(E78=0,"SIN DATA",IF(F78=E78,"✅ COMPLETO",IF(F78&gt;0,"🔄 PARCIAL",IF(COUNTIFS(DATA!A:A,B78,DATA!G:G,"PENDIENTE")=E78,"⏳ PENDIENTE","⚠ MIXTO"))))</f>
        <v>⏳ PENDIENTE</v>
      </c>
      <c r="H78" s="12" t="str">
        <f aca="false">"Hola "&amp;IFERROR(LEFT(TRIM(MID(B78,FIND(" ",B78,FIND(" ",B78)+1)+1,100)),IFERROR(FIND(" ",TRIM(MID(B78,FIND(" ",B78,FIND(" ",B78)+1)+1,100)))-1,100)),TRIM(MID(B78,FIND(" ",B78&amp;" ")+1,100)))&amp;", buen día."&amp;CHAR(10)&amp;CHAR(10)&amp;"Te escribo porque una persona de tu equipo aún no se ha sentado en el Capítulo 1:"&amp;CHAR(10)&amp;CHAR(10)&amp;"1. Hector Miguel Rivadeneyra Ocampo"&amp;CHAR(10)&amp;CHAR(10)&amp;"El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Angel, buen día.
Te escribo porque una persona de tu equipo aún no se ha sentado en el Capítulo 1:
1. Hector Miguel Rivadeneyra Ocampo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79" customFormat="false" ht="165" hidden="false" customHeight="true" outlineLevel="0" collapsed="false">
      <c r="A79" s="10" t="n">
        <v>75</v>
      </c>
      <c r="B79" s="6" t="s">
        <v>376</v>
      </c>
      <c r="C79" s="7" t="s">
        <v>43</v>
      </c>
      <c r="D79" s="7" t="s">
        <v>378</v>
      </c>
      <c r="E79" s="11" t="n">
        <f aca="false">COUNTIF(DATA!A:A,B79)</f>
        <v>5</v>
      </c>
      <c r="F79" s="11" t="n">
        <f aca="false">COUNTIFS(DATA!A:A,B79,DATA!G:G,"CONFIRMADO")</f>
        <v>0</v>
      </c>
      <c r="G79" s="5" t="str">
        <f aca="false">IF(E79=0,"SIN DATA",IF(F79=E79,"✅ COMPLETO",IF(F79&gt;0,"🔄 PARCIAL",IF(COUNTIFS(DATA!A:A,B79,DATA!G:G,"PENDIENTE")=E79,"⏳ PENDIENTE","⚠ MIXTO"))))</f>
        <v>⏳ PENDIENTE</v>
      </c>
      <c r="H79" s="12" t="str">
        <f aca="false">"Hola "&amp;IFERROR(LEFT(TRIM(MID(B79,FIND(" ",B79,FIND(" ",B79)+1)+1,100)),IFERROR(FIND(" ",TRIM(MID(B79,FIND(" ",B79,FIND(" ",B79)+1)+1,100)))-1,100)),TRIM(MID(B79,FIND(" ",B79&amp;" ")+1,100)))&amp;", buen día."&amp;CHAR(10)&amp;CHAR(10)&amp;"Te escribo porque "&amp;E79&amp;" personas de tu equipo aún no se han sentado en el Capítulo 1:"&amp;CHAR(10)&amp;CHAR(10)&amp;"1. Emma Elizabeth Benavides Arias
2. Jazmin Saavedra Alba
3. Sandro Chavez Inche
4. Paola Avendano Chavez
5. Alex Aquiles Huaynate Marquez"&amp;CHAR(10)&amp;CHAR(10)&amp;"El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Raul, buen día.
Te escribo porque 5 personas de tu equipo aún no se han sentado en el Capítulo 1:
1. Emma Elizabeth Benavides Arias
2. Jazmin Saavedra Alba
3. Sandro Chavez Inche
4. Paola Avendano Chavez
5. Alex Aquiles Huaynate Marquez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80" customFormat="false" ht="150" hidden="false" customHeight="true" outlineLevel="0" collapsed="false">
      <c r="A80" s="13" t="n">
        <v>76</v>
      </c>
      <c r="B80" s="3" t="s">
        <v>384</v>
      </c>
      <c r="C80" s="4" t="s">
        <v>43</v>
      </c>
      <c r="D80" s="4" t="s">
        <v>386</v>
      </c>
      <c r="E80" s="14" t="n">
        <f aca="false">COUNTIF(DATA!A:A,B80)</f>
        <v>4</v>
      </c>
      <c r="F80" s="14" t="n">
        <f aca="false">COUNTIFS(DATA!A:A,B80,DATA!G:G,"CONFIRMADO")</f>
        <v>0</v>
      </c>
      <c r="G80" s="5" t="str">
        <f aca="false">IF(E80=0,"SIN DATA",IF(F80=E80,"✅ COMPLETO",IF(F80&gt;0,"🔄 PARCIAL",IF(COUNTIFS(DATA!A:A,B80,DATA!G:G,"PENDIENTE")=E80,"⏳ PENDIENTE","⚠ MIXTO"))))</f>
        <v>⏳ PENDIENTE</v>
      </c>
      <c r="H80" s="12" t="str">
        <f aca="false">"Hola "&amp;IFERROR(LEFT(TRIM(MID(B80,FIND(" ",B80,FIND(" ",B80)+1)+1,100)),IFERROR(FIND(" ",TRIM(MID(B80,FIND(" ",B80,FIND(" ",B80)+1)+1,100)))-1,100)),TRIM(MID(B80,FIND(" ",B80&amp;" ")+1,100)))&amp;", buen día."&amp;CHAR(10)&amp;CHAR(10)&amp;"Te escribo porque "&amp;E80&amp;" personas de tu equipo aún no se han sentado en el Capítulo 1:"&amp;CHAR(10)&amp;CHAR(10)&amp;"1. Nagely Francinet Matencio Gomez
2. Karina Janett Gomez Gutierrez
3. Luis Alberto Matencio Salazar
4. Angie Lisseth Matencio Gomez"&amp;CHAR(10)&amp;CHAR(10)&amp;"El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Jherson, buen día.
Te escribo porque 4 personas de tu equipo aún no se han sentado en el Capítulo 1:
1. Nagely Francinet Matencio Gomez
2. Karina Janett Gomez Gutierrez
3. Luis Alberto Matencio Salazar
4. Angie Lisseth Matencio Gomez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81" customFormat="false" ht="105" hidden="false" customHeight="true" outlineLevel="0" collapsed="false">
      <c r="A81" s="10" t="n">
        <v>77</v>
      </c>
      <c r="B81" s="6" t="s">
        <v>391</v>
      </c>
      <c r="C81" s="7" t="s">
        <v>43</v>
      </c>
      <c r="D81" s="7" t="s">
        <v>392</v>
      </c>
      <c r="E81" s="11" t="n">
        <f aca="false">COUNTIF(DATA!A:A,B81)</f>
        <v>1</v>
      </c>
      <c r="F81" s="11" t="n">
        <f aca="false">COUNTIFS(DATA!A:A,B81,DATA!G:G,"CONFIRMADO")</f>
        <v>0</v>
      </c>
      <c r="G81" s="5" t="str">
        <f aca="false">IF(E81=0,"SIN DATA",IF(F81=E81,"✅ COMPLETO",IF(F81&gt;0,"🔄 PARCIAL",IF(COUNTIFS(DATA!A:A,B81,DATA!G:G,"PENDIENTE")=E81,"⏳ PENDIENTE","⚠ MIXTO"))))</f>
        <v>⏳ PENDIENTE</v>
      </c>
      <c r="H81" s="12" t="str">
        <f aca="false">"Hola "&amp;IFERROR(LEFT(TRIM(MID(B81,FIND(" ",B81,FIND(" ",B81)+1)+1,100)),IFERROR(FIND(" ",TRIM(MID(B81,FIND(" ",B81,FIND(" ",B81)+1)+1,100)))-1,100)),TRIM(MID(B81,FIND(" ",B81&amp;" ")+1,100)))&amp;", buen día."&amp;CHAR(10)&amp;CHAR(10)&amp;"Te escribo porque una persona de tu equipo aún no se ha sentado en el Capítulo 1:"&amp;CHAR(10)&amp;CHAR(10)&amp;"1. Diego Alonso Bardas Rojas"&amp;CHAR(10)&amp;CHAR(10)&amp;"El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Fernando, buen día.
Te escribo porque una persona de tu equipo aún no se ha sentado en el Capítulo 1:
1. Diego Alonso Bardas Rojas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2" customFormat="false" ht="135" hidden="false" customHeight="true" outlineLevel="0" collapsed="false">
      <c r="A82" s="13" t="n">
        <v>78</v>
      </c>
      <c r="B82" s="3" t="s">
        <v>394</v>
      </c>
      <c r="C82" s="4" t="s">
        <v>43</v>
      </c>
      <c r="D82" s="4" t="s">
        <v>396</v>
      </c>
      <c r="E82" s="14" t="n">
        <f aca="false">COUNTIF(DATA!A:A,B82)</f>
        <v>3</v>
      </c>
      <c r="F82" s="14" t="n">
        <f aca="false">COUNTIFS(DATA!A:A,B82,DATA!G:G,"CONFIRMADO")</f>
        <v>0</v>
      </c>
      <c r="G82" s="5" t="str">
        <f aca="false">IF(E82=0,"SIN DATA",IF(F82=E82,"✅ COMPLETO",IF(F82&gt;0,"🔄 PARCIAL",IF(COUNTIFS(DATA!A:A,B82,DATA!G:G,"PENDIENTE")=E82,"⏳ PENDIENTE","⚠ MIXTO"))))</f>
        <v>⏳ PENDIENTE</v>
      </c>
      <c r="H82" s="12" t="str">
        <f aca="false">"Hola "&amp;IFERROR(LEFT(TRIM(MID(B82,FIND(" ",B82,FIND(" ",B82)+1)+1,100)),IFERROR(FIND(" ",TRIM(MID(B82,FIND(" ",B82,FIND(" ",B82)+1)+1,100)))-1,100)),TRIM(MID(B82,FIND(" ",B82&amp;" ")+1,100)))&amp;", buen día."&amp;CHAR(10)&amp;CHAR(10)&amp;"Te escribo porque "&amp;E82&amp;" personas de tu equipo aún no se han sentado en el Capítulo 1:"&amp;CHAR(10)&amp;CHAR(10)&amp;"1. Maria Magdalena Leandro Garcia
2. Dany Alcantara Santa Cruz
3. Thiago Mathias Arenas Flores"&amp;CHAR(10)&amp;CHAR(10)&amp;"El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Rogger, buen día.
Te escribo porque 3 personas de tu equipo aún no se han sentado en el Capítulo 1:
1. Maria Magdalena Leandro Garcia
2. Dany Alcantara Santa Cruz
3. Thiago Mathias Arenas Flores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83" customFormat="false" ht="105" hidden="false" customHeight="true" outlineLevel="0" collapsed="false">
      <c r="A83" s="10" t="n">
        <v>79</v>
      </c>
      <c r="B83" s="6" t="s">
        <v>400</v>
      </c>
      <c r="C83" s="7" t="s">
        <v>43</v>
      </c>
      <c r="D83" s="7" t="s">
        <v>402</v>
      </c>
      <c r="E83" s="11" t="n">
        <f aca="false">COUNTIF(DATA!A:A,B83)</f>
        <v>1</v>
      </c>
      <c r="F83" s="11" t="n">
        <f aca="false">COUNTIFS(DATA!A:A,B83,DATA!G:G,"CONFIRMADO")</f>
        <v>0</v>
      </c>
      <c r="G83" s="5" t="str">
        <f aca="false">IF(E83=0,"SIN DATA",IF(F83=E83,"✅ COMPLETO",IF(F83&gt;0,"🔄 PARCIAL",IF(COUNTIFS(DATA!A:A,B83,DATA!G:G,"PENDIENTE")=E83,"⏳ PENDIENTE","⚠ MIXTO"))))</f>
        <v>⏳ PENDIENTE</v>
      </c>
      <c r="H83" s="12" t="str">
        <f aca="false">"Hola "&amp;IFERROR(LEFT(TRIM(MID(B83,FIND(" ",B83,FIND(" ",B83)+1)+1,100)),IFERROR(FIND(" ",TRIM(MID(B83,FIND(" ",B83,FIND(" ",B83)+1)+1,100)))-1,100)),TRIM(MID(B83,FIND(" ",B83&amp;" ")+1,100)))&amp;", buen día."&amp;CHAR(10)&amp;CHAR(10)&amp;"Te escribo porque una persona de tu equipo aún no se ha sentado en el Capítulo 1:"&amp;CHAR(10)&amp;CHAR(10)&amp;"1. Maria Yulissa Lopez"&amp;CHAR(10)&amp;CHAR(10)&amp;"El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Erika, buen día.
Te escribo porque una persona de tu equipo aún no se ha sentado en el Capítulo 1:
1. Maria Yulissa Lopez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4" customFormat="false" ht="105" hidden="false" customHeight="true" outlineLevel="0" collapsed="false">
      <c r="A84" s="13" t="n">
        <v>80</v>
      </c>
      <c r="B84" s="3" t="s">
        <v>404</v>
      </c>
      <c r="C84" s="4" t="s">
        <v>43</v>
      </c>
      <c r="D84" s="4" t="s">
        <v>406</v>
      </c>
      <c r="E84" s="14" t="n">
        <f aca="false">COUNTIF(DATA!A:A,B84)</f>
        <v>1</v>
      </c>
      <c r="F84" s="14" t="n">
        <f aca="false">COUNTIFS(DATA!A:A,B84,DATA!G:G,"CONFIRMADO")</f>
        <v>0</v>
      </c>
      <c r="G84" s="5" t="str">
        <f aca="false">IF(E84=0,"SIN DATA",IF(F84=E84,"✅ COMPLETO",IF(F84&gt;0,"🔄 PARCIAL",IF(COUNTIFS(DATA!A:A,B84,DATA!G:G,"PENDIENTE")=E84,"⏳ PENDIENTE","⚠ MIXTO"))))</f>
        <v>⏳ PENDIENTE</v>
      </c>
      <c r="H84" s="12" t="str">
        <f aca="false">"Hola "&amp;IFERROR(LEFT(TRIM(MID(B84,FIND(" ",B84,FIND(" ",B84)+1)+1,100)),IFERROR(FIND(" ",TRIM(MID(B84,FIND(" ",B84,FIND(" ",B84)+1)+1,100)))-1,100)),TRIM(MID(B84,FIND(" ",B84&amp;" ")+1,100)))&amp;", buen día."&amp;CHAR(10)&amp;CHAR(10)&amp;"Te escribo porque una persona de tu equipo aún no se ha sentado en el Capítulo 1:"&amp;CHAR(10)&amp;CHAR(10)&amp;"1. Marcelo Sebastian Valdez Guevara"&amp;CHAR(10)&amp;CHAR(10)&amp;"El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Jampier, buen día.
Te escribo porque una persona de tu equipo aún no se ha sentado en el Capítulo 1:
1. Marcelo Sebastian Valdez Guevara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5" customFormat="false" ht="120" hidden="false" customHeight="true" outlineLevel="0" collapsed="false">
      <c r="A85" s="10" t="n">
        <v>81</v>
      </c>
      <c r="B85" s="6" t="s">
        <v>408</v>
      </c>
      <c r="C85" s="7" t="s">
        <v>100</v>
      </c>
      <c r="D85" s="7" t="s">
        <v>410</v>
      </c>
      <c r="E85" s="11" t="n">
        <f aca="false">COUNTIF(DATA!A:A,B85)</f>
        <v>2</v>
      </c>
      <c r="F85" s="11" t="n">
        <f aca="false">COUNTIFS(DATA!A:A,B85,DATA!G:G,"CONFIRMADO")</f>
        <v>0</v>
      </c>
      <c r="G85" s="5" t="str">
        <f aca="false">IF(E85=0,"SIN DATA",IF(F85=E85,"✅ COMPLETO",IF(F85&gt;0,"🔄 PARCIAL",IF(COUNTIFS(DATA!A:A,B85,DATA!G:G,"PENDIENTE")=E85,"⏳ PENDIENTE","⚠ MIXTO"))))</f>
        <v>⏳ PENDIENTE</v>
      </c>
      <c r="H85" s="12" t="str">
        <f aca="false">"Hola "&amp;IFERROR(LEFT(TRIM(MID(B85,FIND(" ",B85,FIND(" ",B85)+1)+1,100)),IFERROR(FIND(" ",TRIM(MID(B85,FIND(" ",B85,FIND(" ",B85)+1)+1,100)))-1,100)),TRIM(MID(B85,FIND(" ",B85&amp;" ")+1,100)))&amp;", buen día."&amp;CHAR(10)&amp;CHAR(10)&amp;"Te escribo porque "&amp;E85&amp;" personas de tu equipo aún no se han sentado en el Capítulo 1:"&amp;CHAR(10)&amp;CHAR(10)&amp;"1. Vanessa Shena Cansino Campos
2. Alejandra Patricia Pacheco Tipismana"&amp;CHAR(10)&amp;CHAR(10)&amp;"El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Raquel, buen día.
Te escribo porque 2 personas de tu equipo aún no se han sentado en el Capítulo 1:
1. Vanessa Shena Cansino Campos
2. Alejandra Patricia Pacheco Tipismana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86" customFormat="false" ht="105" hidden="false" customHeight="true" outlineLevel="0" collapsed="false">
      <c r="A86" s="13" t="n">
        <v>82</v>
      </c>
      <c r="B86" s="3" t="s">
        <v>413</v>
      </c>
      <c r="C86" s="4" t="s">
        <v>100</v>
      </c>
      <c r="D86" s="4" t="s">
        <v>415</v>
      </c>
      <c r="E86" s="14" t="n">
        <f aca="false">COUNTIF(DATA!A:A,B86)</f>
        <v>1</v>
      </c>
      <c r="F86" s="14" t="n">
        <f aca="false">COUNTIFS(DATA!A:A,B86,DATA!G:G,"CONFIRMADO")</f>
        <v>0</v>
      </c>
      <c r="G86" s="5" t="str">
        <f aca="false">IF(E86=0,"SIN DATA",IF(F86=E86,"✅ COMPLETO",IF(F86&gt;0,"🔄 PARCIAL",IF(COUNTIFS(DATA!A:A,B86,DATA!G:G,"PENDIENTE")=E86,"⏳ PENDIENTE","⚠ MIXTO"))))</f>
        <v>⏳ PENDIENTE</v>
      </c>
      <c r="H86" s="12" t="str">
        <f aca="false">"Hola "&amp;IFERROR(LEFT(TRIM(MID(B86,FIND(" ",B86,FIND(" ",B86)+1)+1,100)),IFERROR(FIND(" ",TRIM(MID(B86,FIND(" ",B86,FIND(" ",B86)+1)+1,100)))-1,100)),TRIM(MID(B86,FIND(" ",B86&amp;" ")+1,100)))&amp;", buen día."&amp;CHAR(10)&amp;CHAR(10)&amp;"Te escribo porque una persona de tu equipo aún no se ha sentado en el Capítulo 1:"&amp;CHAR(10)&amp;CHAR(10)&amp;"1. Gisella Eliane Salinas Caparachin"&amp;CHAR(10)&amp;CHAR(10)&amp;"El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Rocio, buen día.
Te escribo porque una persona de tu equipo aún no se ha sentado en el Capítulo 1:
1. Gisella Eliane Salinas Caparachin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7" customFormat="false" ht="105" hidden="false" customHeight="true" outlineLevel="0" collapsed="false">
      <c r="A87" s="10" t="n">
        <v>83</v>
      </c>
      <c r="B87" s="6" t="s">
        <v>417</v>
      </c>
      <c r="C87" s="7" t="s">
        <v>100</v>
      </c>
      <c r="D87" s="7" t="s">
        <v>418</v>
      </c>
      <c r="E87" s="11" t="n">
        <f aca="false">COUNTIF(DATA!A:A,B87)</f>
        <v>1</v>
      </c>
      <c r="F87" s="11" t="n">
        <f aca="false">COUNTIFS(DATA!A:A,B87,DATA!G:G,"CONFIRMADO")</f>
        <v>0</v>
      </c>
      <c r="G87" s="5" t="str">
        <f aca="false">IF(E87=0,"SIN DATA",IF(F87=E87,"✅ COMPLETO",IF(F87&gt;0,"🔄 PARCIAL",IF(COUNTIFS(DATA!A:A,B87,DATA!G:G,"PENDIENTE")=E87,"⏳ PENDIENTE","⚠ MIXTO"))))</f>
        <v>⏳ PENDIENTE</v>
      </c>
      <c r="H87" s="12" t="str">
        <f aca="false">"Hola "&amp;IFERROR(LEFT(TRIM(MID(B87,FIND(" ",B87,FIND(" ",B87)+1)+1,100)),IFERROR(FIND(" ",TRIM(MID(B87,FIND(" ",B87,FIND(" ",B87)+1)+1,100)))-1,100)),TRIM(MID(B87,FIND(" ",B87&amp;" ")+1,100)))&amp;", buen día."&amp;CHAR(10)&amp;CHAR(10)&amp;"Te escribo porque una persona de tu equipo aún no se ha sentado en el Capítulo 1:"&amp;CHAR(10)&amp;CHAR(10)&amp;"1. Rosa Ore Jaime"&amp;CHAR(10)&amp;CHAR(10)&amp;"El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Roxana, buen día.
Te escribo porque una persona de tu equipo aún no se ha sentado en el Capítulo 1:
1. Rosa Ore Jaime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8" customFormat="false" ht="105" hidden="false" customHeight="true" outlineLevel="0" collapsed="false">
      <c r="A88" s="13" t="n">
        <v>84</v>
      </c>
      <c r="B88" s="3" t="s">
        <v>420</v>
      </c>
      <c r="C88" s="4" t="s">
        <v>100</v>
      </c>
      <c r="D88" s="4" t="s">
        <v>422</v>
      </c>
      <c r="E88" s="14" t="n">
        <f aca="false">COUNTIF(DATA!A:A,B88)</f>
        <v>1</v>
      </c>
      <c r="F88" s="14" t="n">
        <f aca="false">COUNTIFS(DATA!A:A,B88,DATA!G:G,"CONFIRMADO")</f>
        <v>0</v>
      </c>
      <c r="G88" s="5" t="str">
        <f aca="false">IF(E88=0,"SIN DATA",IF(F88=E88,"✅ COMPLETO",IF(F88&gt;0,"🔄 PARCIAL",IF(COUNTIFS(DATA!A:A,B88,DATA!G:G,"PENDIENTE")=E88,"⏳ PENDIENTE","⚠ MIXTO"))))</f>
        <v>⏳ PENDIENTE</v>
      </c>
      <c r="H88" s="12" t="str">
        <f aca="false">"Hola "&amp;IFERROR(LEFT(TRIM(MID(B88,FIND(" ",B88,FIND(" ",B88)+1)+1,100)),IFERROR(FIND(" ",TRIM(MID(B88,FIND(" ",B88,FIND(" ",B88)+1)+1,100)))-1,100)),TRIM(MID(B88,FIND(" ",B88&amp;" ")+1,100)))&amp;", buen día."&amp;CHAR(10)&amp;CHAR(10)&amp;"Te escribo porque una persona de tu equipo aún no se ha sentado en el Capítulo 1:"&amp;CHAR(10)&amp;CHAR(10)&amp;"1. Jose Alex Moises Olaya Ravenna"&amp;CHAR(10)&amp;CHAR(10)&amp;"El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Pierina, buen día.
Te escribo porque una persona de tu equipo aún no se ha sentado en el Capítulo 1:
1. Jose Alex Moises Olaya Ravenna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89" customFormat="false" ht="120" hidden="false" customHeight="true" outlineLevel="0" collapsed="false">
      <c r="A89" s="10" t="n">
        <v>85</v>
      </c>
      <c r="B89" s="6" t="s">
        <v>424</v>
      </c>
      <c r="C89" s="7" t="s">
        <v>100</v>
      </c>
      <c r="D89" s="7" t="s">
        <v>426</v>
      </c>
      <c r="E89" s="11" t="n">
        <f aca="false">COUNTIF(DATA!A:A,B89)</f>
        <v>2</v>
      </c>
      <c r="F89" s="11" t="n">
        <f aca="false">COUNTIFS(DATA!A:A,B89,DATA!G:G,"CONFIRMADO")</f>
        <v>0</v>
      </c>
      <c r="G89" s="5" t="str">
        <f aca="false">IF(E89=0,"SIN DATA",IF(F89=E89,"✅ COMPLETO",IF(F89&gt;0,"🔄 PARCIAL",IF(COUNTIFS(DATA!A:A,B89,DATA!G:G,"PENDIENTE")=E89,"⏳ PENDIENTE","⚠ MIXTO"))))</f>
        <v>⏳ PENDIENTE</v>
      </c>
      <c r="H89" s="12" t="str">
        <f aca="false">"Hola "&amp;IFERROR(LEFT(TRIM(MID(B89,FIND(" ",B89,FIND(" ",B89)+1)+1,100)),IFERROR(FIND(" ",TRIM(MID(B89,FIND(" ",B89,FIND(" ",B89)+1)+1,100)))-1,100)),TRIM(MID(B89,FIND(" ",B89&amp;" ")+1,100)))&amp;", buen día."&amp;CHAR(10)&amp;CHAR(10)&amp;"Te escribo porque "&amp;E89&amp;" personas de tu equipo aún no se han sentado en el Capítulo 1:"&amp;CHAR(10)&amp;CHAR(10)&amp;"1. Nicol Hernandez Hilares
2. Freddy Luis Naula Ordinola"&amp;CHAR(10)&amp;CHAR(10)&amp;"El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Nadia, buen día.
Te escribo porque 2 personas de tu equipo aún no se han sentado en el Capítulo 1:
1. Nicol Hernandez Hilares
2. Freddy Luis Naula Ordinola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0" customFormat="false" ht="120" hidden="false" customHeight="true" outlineLevel="0" collapsed="false">
      <c r="A90" s="13" t="n">
        <v>86</v>
      </c>
      <c r="B90" s="3" t="s">
        <v>429</v>
      </c>
      <c r="C90" s="4" t="s">
        <v>100</v>
      </c>
      <c r="D90" s="4" t="s">
        <v>431</v>
      </c>
      <c r="E90" s="14" t="n">
        <f aca="false">COUNTIF(DATA!A:A,B90)</f>
        <v>2</v>
      </c>
      <c r="F90" s="14" t="n">
        <f aca="false">COUNTIFS(DATA!A:A,B90,DATA!G:G,"CONFIRMADO")</f>
        <v>0</v>
      </c>
      <c r="G90" s="5" t="str">
        <f aca="false">IF(E90=0,"SIN DATA",IF(F90=E90,"✅ COMPLETO",IF(F90&gt;0,"🔄 PARCIAL",IF(COUNTIFS(DATA!A:A,B90,DATA!G:G,"PENDIENTE")=E90,"⏳ PENDIENTE","⚠ MIXTO"))))</f>
        <v>⏳ PENDIENTE</v>
      </c>
      <c r="H90" s="12" t="str">
        <f aca="false">"Hola "&amp;IFERROR(LEFT(TRIM(MID(B90,FIND(" ",B90,FIND(" ",B90)+1)+1,100)),IFERROR(FIND(" ",TRIM(MID(B90,FIND(" ",B90,FIND(" ",B90)+1)+1,100)))-1,100)),TRIM(MID(B90,FIND(" ",B90&amp;" ")+1,100)))&amp;", buen día."&amp;CHAR(10)&amp;CHAR(10)&amp;"Te escribo porque "&amp;E90&amp;" personas de tu equipo aún no se han sentado en el Capítulo 1:"&amp;CHAR(10)&amp;CHAR(10)&amp;"1. Ronald Ynga Pizarro
2. Paola Jesslin Dett Garcia"&amp;CHAR(10)&amp;CHAR(10)&amp;"El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Mariela, buen día.
Te escribo porque 2 personas de tu equipo aún no se han sentado en el Capítulo 1:
1. Ronald Ynga Pizarro
2. Paola Jesslin Dett Garcia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1" customFormat="false" ht="120" hidden="false" customHeight="true" outlineLevel="0" collapsed="false">
      <c r="A91" s="10" t="n">
        <v>87</v>
      </c>
      <c r="B91" s="6" t="s">
        <v>434</v>
      </c>
      <c r="C91" s="7" t="s">
        <v>100</v>
      </c>
      <c r="D91" s="7" t="s">
        <v>435</v>
      </c>
      <c r="E91" s="11" t="n">
        <f aca="false">COUNTIF(DATA!A:A,B91)</f>
        <v>2</v>
      </c>
      <c r="F91" s="11" t="n">
        <f aca="false">COUNTIFS(DATA!A:A,B91,DATA!G:G,"CONFIRMADO")</f>
        <v>0</v>
      </c>
      <c r="G91" s="5" t="str">
        <f aca="false">IF(E91=0,"SIN DATA",IF(F91=E91,"✅ COMPLETO",IF(F91&gt;0,"🔄 PARCIAL",IF(COUNTIFS(DATA!A:A,B91,DATA!G:G,"PENDIENTE")=E91,"⏳ PENDIENTE","⚠ MIXTO"))))</f>
        <v>⏳ PENDIENTE</v>
      </c>
      <c r="H91" s="12" t="str">
        <f aca="false">"Hola "&amp;IFERROR(LEFT(TRIM(MID(B91,FIND(" ",B91,FIND(" ",B91)+1)+1,100)),IFERROR(FIND(" ",TRIM(MID(B91,FIND(" ",B91,FIND(" ",B91)+1)+1,100)))-1,100)),TRIM(MID(B91,FIND(" ",B91&amp;" ")+1,100)))&amp;", buen día."&amp;CHAR(10)&amp;CHAR(10)&amp;"Te escribo porque "&amp;E91&amp;" personas de tu equipo aún no se han sentado en el Capítulo 1:"&amp;CHAR(10)&amp;CHAR(10)&amp;"1. Abat Ccoscco Soto
2. Maria Cristina Gutierrez Carlosviza"&amp;CHAR(10)&amp;CHAR(10)&amp;"El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Diana, buen día.
Te escribo porque 2 personas de tu equipo aún no se han sentado en el Capítulo 1:
1. Abat Ccoscco Soto
2. Maria Cristina Gutierrez Carlosviza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2" customFormat="false" ht="105" hidden="false" customHeight="true" outlineLevel="0" collapsed="false">
      <c r="A92" s="13" t="n">
        <v>88</v>
      </c>
      <c r="B92" s="3" t="s">
        <v>438</v>
      </c>
      <c r="C92" s="4" t="s">
        <v>100</v>
      </c>
      <c r="D92" s="4" t="s">
        <v>440</v>
      </c>
      <c r="E92" s="14" t="n">
        <f aca="false">COUNTIF(DATA!A:A,B92)</f>
        <v>1</v>
      </c>
      <c r="F92" s="14" t="n">
        <f aca="false">COUNTIFS(DATA!A:A,B92,DATA!G:G,"CONFIRMADO")</f>
        <v>0</v>
      </c>
      <c r="G92" s="5" t="str">
        <f aca="false">IF(E92=0,"SIN DATA",IF(F92=E92,"✅ COMPLETO",IF(F92&gt;0,"🔄 PARCIAL",IF(COUNTIFS(DATA!A:A,B92,DATA!G:G,"PENDIENTE")=E92,"⏳ PENDIENTE","⚠ MIXTO"))))</f>
        <v>⏳ PENDIENTE</v>
      </c>
      <c r="H92" s="12" t="str">
        <f aca="false">"Hola "&amp;IFERROR(LEFT(TRIM(MID(B92,FIND(" ",B92,FIND(" ",B92)+1)+1,100)),IFERROR(FIND(" ",TRIM(MID(B92,FIND(" ",B92,FIND(" ",B92)+1)+1,100)))-1,100)),TRIM(MID(B92,FIND(" ",B92&amp;" ")+1,100)))&amp;", buen día."&amp;CHAR(10)&amp;CHAR(10)&amp;"Te escribo porque una persona de tu equipo aún no se ha sentado en el Capítulo 1:"&amp;CHAR(10)&amp;CHAR(10)&amp;"1. Haim Sebastian Talledo Valcarcel"&amp;CHAR(10)&amp;CHAR(10)&amp;"El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Elizabet, buen día.
Te escribo porque una persona de tu equipo aún no se ha sentado en el Capítulo 1:
1. Haim Sebastian Talledo Valcarcel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93" customFormat="false" ht="105" hidden="false" customHeight="true" outlineLevel="0" collapsed="false">
      <c r="A93" s="10" t="n">
        <v>89</v>
      </c>
      <c r="B93" s="6" t="s">
        <v>442</v>
      </c>
      <c r="C93" s="7" t="s">
        <v>100</v>
      </c>
      <c r="D93" s="7" t="s">
        <v>444</v>
      </c>
      <c r="E93" s="11" t="n">
        <f aca="false">COUNTIF(DATA!A:A,B93)</f>
        <v>1</v>
      </c>
      <c r="F93" s="11" t="n">
        <f aca="false">COUNTIFS(DATA!A:A,B93,DATA!G:G,"CONFIRMADO")</f>
        <v>0</v>
      </c>
      <c r="G93" s="5" t="str">
        <f aca="false">IF(E93=0,"SIN DATA",IF(F93=E93,"✅ COMPLETO",IF(F93&gt;0,"🔄 PARCIAL",IF(COUNTIFS(DATA!A:A,B93,DATA!G:G,"PENDIENTE")=E93,"⏳ PENDIENTE","⚠ MIXTO"))))</f>
        <v>⏳ PENDIENTE</v>
      </c>
      <c r="H93" s="12" t="str">
        <f aca="false">"Hola "&amp;IFERROR(LEFT(TRIM(MID(B93,FIND(" ",B93,FIND(" ",B93)+1)+1,100)),IFERROR(FIND(" ",TRIM(MID(B93,FIND(" ",B93,FIND(" ",B93)+1)+1,100)))-1,100)),TRIM(MID(B93,FIND(" ",B93&amp;" ")+1,100)))&amp;", buen día."&amp;CHAR(10)&amp;CHAR(10)&amp;"Te escribo porque una persona de tu equipo aún no se ha sentado en el Capítulo 1:"&amp;CHAR(10)&amp;CHAR(10)&amp;"1. Juan Llerena Vasquez"&amp;CHAR(10)&amp;CHAR(10)&amp;"El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Joyce, buen día.
Te escribo porque una persona de tu equipo aún no se ha sentado en el Capítulo 1:
1. Juan Llerena Vasquez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94" customFormat="false" ht="105" hidden="false" customHeight="true" outlineLevel="0" collapsed="false">
      <c r="A94" s="13" t="n">
        <v>90</v>
      </c>
      <c r="B94" s="3" t="s">
        <v>446</v>
      </c>
      <c r="C94" s="4" t="s">
        <v>100</v>
      </c>
      <c r="D94" s="4" t="s">
        <v>448</v>
      </c>
      <c r="E94" s="14" t="n">
        <f aca="false">COUNTIF(DATA!A:A,B94)</f>
        <v>1</v>
      </c>
      <c r="F94" s="14" t="n">
        <f aca="false">COUNTIFS(DATA!A:A,B94,DATA!G:G,"CONFIRMADO")</f>
        <v>0</v>
      </c>
      <c r="G94" s="5" t="str">
        <f aca="false">IF(E94=0,"SIN DATA",IF(F94=E94,"✅ COMPLETO",IF(F94&gt;0,"🔄 PARCIAL",IF(COUNTIFS(DATA!A:A,B94,DATA!G:G,"PENDIENTE")=E94,"⏳ PENDIENTE","⚠ MIXTO"))))</f>
        <v>⏳ PENDIENTE</v>
      </c>
      <c r="H94" s="12" t="str">
        <f aca="false">"Hola "&amp;IFERROR(LEFT(TRIM(MID(B94,FIND(" ",B94,FIND(" ",B94)+1)+1,100)),IFERROR(FIND(" ",TRIM(MID(B94,FIND(" ",B94,FIND(" ",B94)+1)+1,100)))-1,100)),TRIM(MID(B94,FIND(" ",B94&amp;" ")+1,100)))&amp;", buen día."&amp;CHAR(10)&amp;CHAR(10)&amp;"Te escribo porque una persona de tu equipo aún no se ha sentado en el Capítulo 1:"&amp;CHAR(10)&amp;CHAR(10)&amp;"1. Rafael Gustavo Cruces Martinez"&amp;CHAR(10)&amp;CHAR(10)&amp;"El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Lidia, buen día.
Te escribo porque una persona de tu equipo aún no se ha sentado en el Capítulo 1:
1. Rafael Gustavo Cruces Martinez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95" customFormat="false" ht="120" hidden="false" customHeight="true" outlineLevel="0" collapsed="false">
      <c r="A95" s="10" t="n">
        <v>91</v>
      </c>
      <c r="B95" s="6" t="s">
        <v>450</v>
      </c>
      <c r="C95" s="7" t="s">
        <v>100</v>
      </c>
      <c r="D95" s="7" t="s">
        <v>452</v>
      </c>
      <c r="E95" s="11" t="n">
        <f aca="false">COUNTIF(DATA!A:A,B95)</f>
        <v>2</v>
      </c>
      <c r="F95" s="11" t="n">
        <f aca="false">COUNTIFS(DATA!A:A,B95,DATA!G:G,"CONFIRMADO")</f>
        <v>0</v>
      </c>
      <c r="G95" s="5" t="str">
        <f aca="false">IF(E95=0,"SIN DATA",IF(F95=E95,"✅ COMPLETO",IF(F95&gt;0,"🔄 PARCIAL",IF(COUNTIFS(DATA!A:A,B95,DATA!G:G,"PENDIENTE")=E95,"⏳ PENDIENTE","⚠ MIXTO"))))</f>
        <v>⏳ PENDIENTE</v>
      </c>
      <c r="H95" s="12" t="str">
        <f aca="false">"Hola "&amp;IFERROR(LEFT(TRIM(MID(B95,FIND(" ",B95,FIND(" ",B95)+1)+1,100)),IFERROR(FIND(" ",TRIM(MID(B95,FIND(" ",B95,FIND(" ",B95)+1)+1,100)))-1,100)),TRIM(MID(B95,FIND(" ",B95&amp;" ")+1,100)))&amp;", buen día."&amp;CHAR(10)&amp;CHAR(10)&amp;"Te escribo porque "&amp;E95&amp;" personas de tu equipo aún no se han sentado en el Capítulo 1:"&amp;CHAR(10)&amp;CHAR(10)&amp;"1. Kimyishu Lisseth Cordova Gamarra
2. Ronald Mamani Martines"&amp;CHAR(10)&amp;CHAR(10)&amp;"El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Nilton, buen día.
Te escribo porque 2 personas de tu equipo aún no se han sentado en el Capítulo 1:
1. Kimyishu Lisseth Cordova Gamarra
2. Ronald Mamani Martines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6" customFormat="false" ht="120" hidden="false" customHeight="true" outlineLevel="0" collapsed="false">
      <c r="A96" s="13" t="n">
        <v>92</v>
      </c>
      <c r="B96" s="3" t="s">
        <v>455</v>
      </c>
      <c r="C96" s="4" t="s">
        <v>100</v>
      </c>
      <c r="D96" s="4" t="s">
        <v>457</v>
      </c>
      <c r="E96" s="14" t="n">
        <f aca="false">COUNTIF(DATA!A:A,B96)</f>
        <v>2</v>
      </c>
      <c r="F96" s="14" t="n">
        <f aca="false">COUNTIFS(DATA!A:A,B96,DATA!G:G,"CONFIRMADO")</f>
        <v>0</v>
      </c>
      <c r="G96" s="5" t="str">
        <f aca="false">IF(E96=0,"SIN DATA",IF(F96=E96,"✅ COMPLETO",IF(F96&gt;0,"🔄 PARCIAL",IF(COUNTIFS(DATA!A:A,B96,DATA!G:G,"PENDIENTE")=E96,"⏳ PENDIENTE","⚠ MIXTO"))))</f>
        <v>⏳ PENDIENTE</v>
      </c>
      <c r="H96" s="12" t="str">
        <f aca="false">"Hola "&amp;IFERROR(LEFT(TRIM(MID(B96,FIND(" ",B96,FIND(" ",B96)+1)+1,100)),IFERROR(FIND(" ",TRIM(MID(B96,FIND(" ",B96,FIND(" ",B96)+1)+1,100)))-1,100)),TRIM(MID(B96,FIND(" ",B96&amp;" ")+1,100)))&amp;", buen día."&amp;CHAR(10)&amp;CHAR(10)&amp;"Te escribo porque "&amp;E96&amp;" personas de tu equipo aún no se han sentado en el Capítulo 1:"&amp;CHAR(10)&amp;CHAR(10)&amp;"1. Luz Veronica Silva Olivera
2. Freddy Cuellar Casildo"&amp;CHAR(10)&amp;CHAR(10)&amp;"El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Elvis, buen día.
Te escribo porque 2 personas de tu equipo aún no se han sentado en el Capítulo 1:
1. Luz Veronica Silva Olivera
2. Freddy Cuellar Casildo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7" customFormat="false" ht="120" hidden="false" customHeight="true" outlineLevel="0" collapsed="false">
      <c r="A97" s="10" t="n">
        <v>93</v>
      </c>
      <c r="B97" s="6" t="s">
        <v>460</v>
      </c>
      <c r="C97" s="7" t="s">
        <v>100</v>
      </c>
      <c r="D97" s="7" t="s">
        <v>461</v>
      </c>
      <c r="E97" s="11" t="n">
        <f aca="false">COUNTIF(DATA!A:A,B97)</f>
        <v>2</v>
      </c>
      <c r="F97" s="11" t="n">
        <f aca="false">COUNTIFS(DATA!A:A,B97,DATA!G:G,"CONFIRMADO")</f>
        <v>0</v>
      </c>
      <c r="G97" s="5" t="str">
        <f aca="false">IF(E97=0,"SIN DATA",IF(F97=E97,"✅ COMPLETO",IF(F97&gt;0,"🔄 PARCIAL",IF(COUNTIFS(DATA!A:A,B97,DATA!G:G,"PENDIENTE")=E97,"⏳ PENDIENTE","⚠ MIXTO"))))</f>
        <v>⏳ PENDIENTE</v>
      </c>
      <c r="H97" s="12" t="str">
        <f aca="false">"Hola "&amp;IFERROR(LEFT(TRIM(MID(B97,FIND(" ",B97,FIND(" ",B97)+1)+1,100)),IFERROR(FIND(" ",TRIM(MID(B97,FIND(" ",B97,FIND(" ",B97)+1)+1,100)))-1,100)),TRIM(MID(B97,FIND(" ",B97&amp;" ")+1,100)))&amp;", buen día."&amp;CHAR(10)&amp;CHAR(10)&amp;"Te escribo porque "&amp;E97&amp;" personas de tu equipo aún no se han sentado en el Capítulo 1:"&amp;CHAR(10)&amp;CHAR(10)&amp;"1. Jorge Luis Cornejo Loo
2. Andres Martin Grados Corasi"&amp;CHAR(10)&amp;CHAR(10)&amp;"El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Jessica, buen día.
Te escribo porque 2 personas de tu equipo aún no se han sentado en el Capítulo 1:
1. Jorge Luis Cornejo Loo
2. Andres Martin Grados Corasi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98" customFormat="false" ht="105" hidden="false" customHeight="true" outlineLevel="0" collapsed="false">
      <c r="A98" s="13" t="n">
        <v>94</v>
      </c>
      <c r="B98" s="3" t="s">
        <v>464</v>
      </c>
      <c r="C98" s="4" t="s">
        <v>100</v>
      </c>
      <c r="D98" s="4" t="s">
        <v>466</v>
      </c>
      <c r="E98" s="14" t="n">
        <f aca="false">COUNTIF(DATA!A:A,B98)</f>
        <v>1</v>
      </c>
      <c r="F98" s="14" t="n">
        <f aca="false">COUNTIFS(DATA!A:A,B98,DATA!G:G,"CONFIRMADO")</f>
        <v>0</v>
      </c>
      <c r="G98" s="5" t="str">
        <f aca="false">IF(E98=0,"SIN DATA",IF(F98=E98,"✅ COMPLETO",IF(F98&gt;0,"🔄 PARCIAL",IF(COUNTIFS(DATA!A:A,B98,DATA!G:G,"PENDIENTE")=E98,"⏳ PENDIENTE","⚠ MIXTO"))))</f>
        <v>⏳ PENDIENTE</v>
      </c>
      <c r="H98" s="12" t="str">
        <f aca="false">"Hola "&amp;IFERROR(LEFT(TRIM(MID(B98,FIND(" ",B98,FIND(" ",B98)+1)+1,100)),IFERROR(FIND(" ",TRIM(MID(B98,FIND(" ",B98,FIND(" ",B98)+1)+1,100)))-1,100)),TRIM(MID(B98,FIND(" ",B98&amp;" ")+1,100)))&amp;", buen día."&amp;CHAR(10)&amp;CHAR(10)&amp;"Te escribo porque una persona de tu equipo aún no se ha sentado en el Capítulo 1:"&amp;CHAR(10)&amp;CHAR(10)&amp;"1. Marcel David Guerra"&amp;CHAR(10)&amp;CHAR(10)&amp;"El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Tonny, buen día.
Te escribo porque una persona de tu equipo aún no se ha sentado en el Capítulo 1:
1. Marcel David Guerra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99" customFormat="false" ht="120" hidden="false" customHeight="true" outlineLevel="0" collapsed="false">
      <c r="A99" s="10" t="n">
        <v>95</v>
      </c>
      <c r="B99" s="6" t="s">
        <v>468</v>
      </c>
      <c r="C99" s="7" t="s">
        <v>100</v>
      </c>
      <c r="D99" s="7" t="s">
        <v>470</v>
      </c>
      <c r="E99" s="11" t="n">
        <f aca="false">COUNTIF(DATA!A:A,B99)</f>
        <v>2</v>
      </c>
      <c r="F99" s="11" t="n">
        <f aca="false">COUNTIFS(DATA!A:A,B99,DATA!G:G,"CONFIRMADO")</f>
        <v>0</v>
      </c>
      <c r="G99" s="5" t="str">
        <f aca="false">IF(E99=0,"SIN DATA",IF(F99=E99,"✅ COMPLETO",IF(F99&gt;0,"🔄 PARCIAL",IF(COUNTIFS(DATA!A:A,B99,DATA!G:G,"PENDIENTE")=E99,"⏳ PENDIENTE","⚠ MIXTO"))))</f>
        <v>⏳ PENDIENTE</v>
      </c>
      <c r="H99" s="12" t="str">
        <f aca="false">"Hola "&amp;IFERROR(LEFT(TRIM(MID(B99,FIND(" ",B99,FIND(" ",B99)+1)+1,100)),IFERROR(FIND(" ",TRIM(MID(B99,FIND(" ",B99,FIND(" ",B99)+1)+1,100)))-1,100)),TRIM(MID(B99,FIND(" ",B99&amp;" ")+1,100)))&amp;", buen día."&amp;CHAR(10)&amp;CHAR(10)&amp;"Te escribo porque "&amp;E99&amp;" personas de tu equipo aún no se han sentado en el Capítulo 1:"&amp;CHAR(10)&amp;CHAR(10)&amp;"1. Rene Alberto Quispe Linares
2. Milagros Adaluz Guerra Aguilar"&amp;CHAR(10)&amp;CHAR(10)&amp;"El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Darner, buen día.
Te escribo porque 2 personas de tu equipo aún no se han sentado en el Capítulo 1:
1. Rene Alberto Quispe Linares
2. Milagros Adaluz Guerra Aguilar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00" customFormat="false" ht="120" hidden="false" customHeight="true" outlineLevel="0" collapsed="false">
      <c r="A100" s="13" t="n">
        <v>96</v>
      </c>
      <c r="B100" s="3" t="s">
        <v>473</v>
      </c>
      <c r="C100" s="4" t="s">
        <v>100</v>
      </c>
      <c r="D100" s="4" t="s">
        <v>475</v>
      </c>
      <c r="E100" s="14" t="n">
        <f aca="false">COUNTIF(DATA!A:A,B100)</f>
        <v>2</v>
      </c>
      <c r="F100" s="14" t="n">
        <f aca="false">COUNTIFS(DATA!A:A,B100,DATA!G:G,"CONFIRMADO")</f>
        <v>0</v>
      </c>
      <c r="G100" s="5" t="str">
        <f aca="false">IF(E100=0,"SIN DATA",IF(F100=E100,"✅ COMPLETO",IF(F100&gt;0,"🔄 PARCIAL",IF(COUNTIFS(DATA!A:A,B100,DATA!G:G,"PENDIENTE")=E100,"⏳ PENDIENTE","⚠ MIXTO"))))</f>
        <v>⏳ PENDIENTE</v>
      </c>
      <c r="H100" s="12" t="str">
        <f aca="false">"Hola "&amp;IFERROR(LEFT(TRIM(MID(B100,FIND(" ",B100,FIND(" ",B100)+1)+1,100)),IFERROR(FIND(" ",TRIM(MID(B100,FIND(" ",B100,FIND(" ",B100)+1)+1,100)))-1,100)),TRIM(MID(B100,FIND(" ",B100&amp;" ")+1,100)))&amp;", buen día."&amp;CHAR(10)&amp;CHAR(10)&amp;"Te escribo porque "&amp;E100&amp;" personas de tu equipo aún no se han sentado en el Capítulo 1:"&amp;CHAR(10)&amp;CHAR(10)&amp;"1. Marco Gilber Bendezu Javier
2. Alexandra Nathaly Lizeth Lovaton Flores"&amp;CHAR(10)&amp;CHAR(10)&amp;"El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Ludy, buen día.
Te escribo porque 2 personas de tu equipo aún no se han sentado en el Capítulo 1:
1. Marco Gilber Bendezu Javier
2. Alexandra Nathaly Lizeth Lovaton Flores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01" customFormat="false" ht="105" hidden="false" customHeight="true" outlineLevel="0" collapsed="false">
      <c r="A101" s="10" t="n">
        <v>97</v>
      </c>
      <c r="B101" s="6" t="s">
        <v>478</v>
      </c>
      <c r="C101" s="7" t="s">
        <v>100</v>
      </c>
      <c r="D101" s="7" t="s">
        <v>479</v>
      </c>
      <c r="E101" s="11" t="n">
        <f aca="false">COUNTIF(DATA!A:A,B101)</f>
        <v>1</v>
      </c>
      <c r="F101" s="11" t="n">
        <f aca="false">COUNTIFS(DATA!A:A,B101,DATA!G:G,"CONFIRMADO")</f>
        <v>0</v>
      </c>
      <c r="G101" s="5" t="str">
        <f aca="false">IF(E101=0,"SIN DATA",IF(F101=E101,"✅ COMPLETO",IF(F101&gt;0,"🔄 PARCIAL",IF(COUNTIFS(DATA!A:A,B101,DATA!G:G,"PENDIENTE")=E101,"⏳ PENDIENTE","⚠ MIXTO"))))</f>
        <v>⏳ PENDIENTE</v>
      </c>
      <c r="H101" s="12" t="str">
        <f aca="false">"Hola "&amp;IFERROR(LEFT(TRIM(MID(B101,FIND(" ",B101,FIND(" ",B101)+1)+1,100)),IFERROR(FIND(" ",TRIM(MID(B101,FIND(" ",B101,FIND(" ",B101)+1)+1,100)))-1,100)),TRIM(MID(B101,FIND(" ",B101&amp;" ")+1,100)))&amp;", buen día."&amp;CHAR(10)&amp;CHAR(10)&amp;"Te escribo porque una persona de tu equipo aún no se ha sentado en el Capítulo 1:"&amp;CHAR(10)&amp;CHAR(10)&amp;"1. Maria Ivon Lizano Taype"&amp;CHAR(10)&amp;CHAR(10)&amp;"El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Sandra, buen día.
Te escribo porque una persona de tu equipo aún no se ha sentado en el Capítulo 1:
1. Maria Ivon Lizano Taype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2" customFormat="false" ht="180" hidden="false" customHeight="true" outlineLevel="0" collapsed="false">
      <c r="A102" s="13" t="n">
        <v>98</v>
      </c>
      <c r="B102" s="3" t="s">
        <v>481</v>
      </c>
      <c r="C102" s="4" t="s">
        <v>100</v>
      </c>
      <c r="D102" s="4" t="s">
        <v>483</v>
      </c>
      <c r="E102" s="14" t="n">
        <f aca="false">COUNTIF(DATA!A:A,B102)</f>
        <v>6</v>
      </c>
      <c r="F102" s="14" t="n">
        <f aca="false">COUNTIFS(DATA!A:A,B102,DATA!G:G,"CONFIRMADO")</f>
        <v>0</v>
      </c>
      <c r="G102" s="5" t="str">
        <f aca="false">IF(E102=0,"SIN DATA",IF(F102=E102,"✅ COMPLETO",IF(F102&gt;0,"🔄 PARCIAL",IF(COUNTIFS(DATA!A:A,B102,DATA!G:G,"PENDIENTE")=E102,"⏳ PENDIENTE","⚠ MIXTO"))))</f>
        <v>⏳ PENDIENTE</v>
      </c>
      <c r="H102" s="12" t="str">
        <f aca="false">"Hola "&amp;IFERROR(LEFT(TRIM(MID(B102,FIND(" ",B102,FIND(" ",B102)+1)+1,100)),IFERROR(FIND(" ",TRIM(MID(B102,FIND(" ",B102,FIND(" ",B102)+1)+1,100)))-1,100)),TRIM(MID(B102,FIND(" ",B102&amp;" ")+1,100)))&amp;", buen día."&amp;CHAR(10)&amp;CHAR(10)&amp;"Te escribo porque "&amp;E102&amp;" personas de tu equipo aún no se han sentado en el Capítulo 1:"&amp;CHAR(10)&amp;CHAR(10)&amp;"1. Claudio Andres Chicahuari Palomino
2. Luis Miguel Mamani Cansaya
3. Bruce Lenin Huayta Machaca
4. Nimer Smelin Carita
5. Luz Milagros Ramos Mamani
6. Ana Lucia Teruya Monroe Teruya Monroe"&amp;CHAR(10)&amp;CHAR(10)&amp;"El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Ronald, buen día.
Te escribo porque 6 personas de tu equipo aún no se han sentado en el Capítulo 1:
1. Claudio Andres Chicahuari Palomino
2. Luis Miguel Mamani Cansaya
3. Bruce Lenin Huayta Machaca
4. Nimer Smelin Carita
5. Luz Milagros Ramos Mamani
6. Ana Lucia Teruya Monroe Teruya Monroe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03" customFormat="false" ht="105" hidden="false" customHeight="true" outlineLevel="0" collapsed="false">
      <c r="A103" s="10" t="n">
        <v>99</v>
      </c>
      <c r="B103" s="6" t="s">
        <v>490</v>
      </c>
      <c r="C103" s="7" t="s">
        <v>215</v>
      </c>
      <c r="D103" s="7" t="s">
        <v>492</v>
      </c>
      <c r="E103" s="11" t="n">
        <f aca="false">COUNTIF(DATA!A:A,B103)</f>
        <v>1</v>
      </c>
      <c r="F103" s="11" t="n">
        <f aca="false">COUNTIFS(DATA!A:A,B103,DATA!G:G,"CONFIRMADO")</f>
        <v>0</v>
      </c>
      <c r="G103" s="5" t="str">
        <f aca="false">IF(E103=0,"SIN DATA",IF(F103=E103,"✅ COMPLETO",IF(F103&gt;0,"🔄 PARCIAL",IF(COUNTIFS(DATA!A:A,B103,DATA!G:G,"PENDIENTE")=E103,"⏳ PENDIENTE","⚠ MIXTO"))))</f>
        <v>⏳ PENDIENTE</v>
      </c>
      <c r="H103" s="12" t="str">
        <f aca="false">"Hola "&amp;IFERROR(LEFT(TRIM(MID(B103,FIND(" ",B103,FIND(" ",B103)+1)+1,100)),IFERROR(FIND(" ",TRIM(MID(B103,FIND(" ",B103,FIND(" ",B103)+1)+1,100)))-1,100)),TRIM(MID(B103,FIND(" ",B103&amp;" ")+1,100)))&amp;", buen día."&amp;CHAR(10)&amp;CHAR(10)&amp;"Te escribo porque una persona de tu equipo aún no se ha sentado en el Capítulo 1:"&amp;CHAR(10)&amp;CHAR(10)&amp;"1. Amylly Del Rosario Aguilar Leon"&amp;CHAR(10)&amp;CHAR(10)&amp;"El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Zuleyka, buen día.
Te escribo porque una persona de tu equipo aún no se ha sentado en el Capítulo 1:
1. Amylly Del Rosario Aguilar Leon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4" customFormat="false" ht="135" hidden="false" customHeight="true" outlineLevel="0" collapsed="false">
      <c r="A104" s="13" t="n">
        <v>100</v>
      </c>
      <c r="B104" s="3" t="s">
        <v>494</v>
      </c>
      <c r="C104" s="4" t="s">
        <v>215</v>
      </c>
      <c r="D104" s="4" t="s">
        <v>496</v>
      </c>
      <c r="E104" s="14" t="n">
        <f aca="false">COUNTIF(DATA!A:A,B104)</f>
        <v>3</v>
      </c>
      <c r="F104" s="14" t="n">
        <f aca="false">COUNTIFS(DATA!A:A,B104,DATA!G:G,"CONFIRMADO")</f>
        <v>0</v>
      </c>
      <c r="G104" s="5" t="str">
        <f aca="false">IF(E104=0,"SIN DATA",IF(F104=E104,"✅ COMPLETO",IF(F104&gt;0,"🔄 PARCIAL",IF(COUNTIFS(DATA!A:A,B104,DATA!G:G,"PENDIENTE")=E104,"⏳ PENDIENTE","⚠ MIXTO"))))</f>
        <v>⏳ PENDIENTE</v>
      </c>
      <c r="H104" s="12" t="str">
        <f aca="false">"Hola "&amp;IFERROR(LEFT(TRIM(MID(B104,FIND(" ",B104,FIND(" ",B104)+1)+1,100)),IFERROR(FIND(" ",TRIM(MID(B104,FIND(" ",B104,FIND(" ",B104)+1)+1,100)))-1,100)),TRIM(MID(B104,FIND(" ",B104&amp;" ")+1,100)))&amp;", buen día."&amp;CHAR(10)&amp;CHAR(10)&amp;"Te escribo porque "&amp;E104&amp;" personas de tu equipo aún no se han sentado en el Capítulo 1:"&amp;CHAR(10)&amp;CHAR(10)&amp;"1. Paola Felicita Pereda Garcia
2. Paula Atto Espinoza
3. Juan Benito Sanchez Huertas"&amp;CHAR(10)&amp;CHAR(10)&amp;"El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Angela, buen día.
Te escribo porque 3 personas de tu equipo aún no se han sentado en el Capítulo 1:
1. Paola Felicita Pereda Garcia
2. Paula Atto Espinoza
3. Juan Benito Sanchez Huertas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05" customFormat="false" ht="105" hidden="false" customHeight="true" outlineLevel="0" collapsed="false">
      <c r="A105" s="10" t="n">
        <v>101</v>
      </c>
      <c r="B105" s="6" t="s">
        <v>500</v>
      </c>
      <c r="C105" s="7" t="s">
        <v>215</v>
      </c>
      <c r="D105" s="7" t="s">
        <v>502</v>
      </c>
      <c r="E105" s="11" t="n">
        <f aca="false">COUNTIF(DATA!A:A,B105)</f>
        <v>1</v>
      </c>
      <c r="F105" s="11" t="n">
        <f aca="false">COUNTIFS(DATA!A:A,B105,DATA!G:G,"CONFIRMADO")</f>
        <v>0</v>
      </c>
      <c r="G105" s="5" t="str">
        <f aca="false">IF(E105=0,"SIN DATA",IF(F105=E105,"✅ COMPLETO",IF(F105&gt;0,"🔄 PARCIAL",IF(COUNTIFS(DATA!A:A,B105,DATA!G:G,"PENDIENTE")=E105,"⏳ PENDIENTE","⚠ MIXTO"))))</f>
        <v>⏳ PENDIENTE</v>
      </c>
      <c r="H105" s="12" t="str">
        <f aca="false">"Hola "&amp;IFERROR(LEFT(TRIM(MID(B105,FIND(" ",B105,FIND(" ",B105)+1)+1,100)),IFERROR(FIND(" ",TRIM(MID(B105,FIND(" ",B105,FIND(" ",B105)+1)+1,100)))-1,100)),TRIM(MID(B105,FIND(" ",B105&amp;" ")+1,100)))&amp;", buen día."&amp;CHAR(10)&amp;CHAR(10)&amp;"Te escribo porque una persona de tu equipo aún no se ha sentado en el Capítulo 1:"&amp;CHAR(10)&amp;CHAR(10)&amp;"1. Cristhian Javier Silva Romero"&amp;CHAR(10)&amp;CHAR(10)&amp;"El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Maria, buen día.
Te escribo porque una persona de tu equipo aún no se ha sentado en el Capítulo 1:
1. Cristhian Javier Silva Romero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6" customFormat="false" ht="105" hidden="false" customHeight="true" outlineLevel="0" collapsed="false">
      <c r="A106" s="13" t="n">
        <v>102</v>
      </c>
      <c r="B106" s="3" t="s">
        <v>504</v>
      </c>
      <c r="C106" s="4" t="s">
        <v>215</v>
      </c>
      <c r="D106" s="4" t="s">
        <v>506</v>
      </c>
      <c r="E106" s="14" t="n">
        <f aca="false">COUNTIF(DATA!A:A,B106)</f>
        <v>1</v>
      </c>
      <c r="F106" s="14" t="n">
        <f aca="false">COUNTIFS(DATA!A:A,B106,DATA!G:G,"CONFIRMADO")</f>
        <v>0</v>
      </c>
      <c r="G106" s="5" t="str">
        <f aca="false">IF(E106=0,"SIN DATA",IF(F106=E106,"✅ COMPLETO",IF(F106&gt;0,"🔄 PARCIAL",IF(COUNTIFS(DATA!A:A,B106,DATA!G:G,"PENDIENTE")=E106,"⏳ PENDIENTE","⚠ MIXTO"))))</f>
        <v>⏳ PENDIENTE</v>
      </c>
      <c r="H106" s="12" t="str">
        <f aca="false">"Hola "&amp;IFERROR(LEFT(TRIM(MID(B106,FIND(" ",B106,FIND(" ",B106)+1)+1,100)),IFERROR(FIND(" ",TRIM(MID(B106,FIND(" ",B106,FIND(" ",B106)+1)+1,100)))-1,100)),TRIM(MID(B106,FIND(" ",B106&amp;" ")+1,100)))&amp;", buen día."&amp;CHAR(10)&amp;CHAR(10)&amp;"Te escribo porque una persona de tu equipo aún no se ha sentado en el Capítulo 1:"&amp;CHAR(10)&amp;CHAR(10)&amp;"1. Elmer Rigoberto Najarro Rojas"&amp;CHAR(10)&amp;CHAR(10)&amp;"El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Jhon, buen día.
Te escribo porque una persona de tu equipo aún no se ha sentado en el Capítulo 1:
1. Elmer Rigoberto Najarro Rojas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7" customFormat="false" ht="105" hidden="false" customHeight="true" outlineLevel="0" collapsed="false">
      <c r="A107" s="10" t="n">
        <v>103</v>
      </c>
      <c r="B107" s="6" t="s">
        <v>508</v>
      </c>
      <c r="C107" s="7" t="s">
        <v>215</v>
      </c>
      <c r="D107" s="7" t="s">
        <v>510</v>
      </c>
      <c r="E107" s="11" t="n">
        <f aca="false">COUNTIF(DATA!A:A,B107)</f>
        <v>1</v>
      </c>
      <c r="F107" s="11" t="n">
        <f aca="false">COUNTIFS(DATA!A:A,B107,DATA!G:G,"CONFIRMADO")</f>
        <v>0</v>
      </c>
      <c r="G107" s="5" t="str">
        <f aca="false">IF(E107=0,"SIN DATA",IF(F107=E107,"✅ COMPLETO",IF(F107&gt;0,"🔄 PARCIAL",IF(COUNTIFS(DATA!A:A,B107,DATA!G:G,"PENDIENTE")=E107,"⏳ PENDIENTE","⚠ MIXTO"))))</f>
        <v>⏳ PENDIENTE</v>
      </c>
      <c r="H107" s="12" t="str">
        <f aca="false">"Hola "&amp;IFERROR(LEFT(TRIM(MID(B107,FIND(" ",B107,FIND(" ",B107)+1)+1,100)),IFERROR(FIND(" ",TRIM(MID(B107,FIND(" ",B107,FIND(" ",B107)+1)+1,100)))-1,100)),TRIM(MID(B107,FIND(" ",B107&amp;" ")+1,100)))&amp;", buen día."&amp;CHAR(10)&amp;CHAR(10)&amp;"Te escribo porque una persona de tu equipo aún no se ha sentado en el Capítulo 1:"&amp;CHAR(10)&amp;CHAR(10)&amp;"1. Lisseth Yanira Llactayo Soto"&amp;CHAR(10)&amp;CHAR(10)&amp;"El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Kiara, buen día.
Te escribo porque una persona de tu equipo aún no se ha sentado en el Capítulo 1:
1. Lisseth Yanira Llactayo Soto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08" customFormat="false" ht="120" hidden="false" customHeight="true" outlineLevel="0" collapsed="false">
      <c r="A108" s="13" t="n">
        <v>104</v>
      </c>
      <c r="B108" s="3" t="s">
        <v>512</v>
      </c>
      <c r="C108" s="4" t="s">
        <v>215</v>
      </c>
      <c r="D108" s="4" t="s">
        <v>514</v>
      </c>
      <c r="E108" s="14" t="n">
        <f aca="false">COUNTIF(DATA!A:A,B108)</f>
        <v>2</v>
      </c>
      <c r="F108" s="14" t="n">
        <f aca="false">COUNTIFS(DATA!A:A,B108,DATA!G:G,"CONFIRMADO")</f>
        <v>0</v>
      </c>
      <c r="G108" s="5" t="str">
        <f aca="false">IF(E108=0,"SIN DATA",IF(F108=E108,"✅ COMPLETO",IF(F108&gt;0,"🔄 PARCIAL",IF(COUNTIFS(DATA!A:A,B108,DATA!G:G,"PENDIENTE")=E108,"⏳ PENDIENTE","⚠ MIXTO"))))</f>
        <v>⏳ PENDIENTE</v>
      </c>
      <c r="H108" s="12" t="str">
        <f aca="false">"Hola "&amp;IFERROR(LEFT(TRIM(MID(B108,FIND(" ",B108,FIND(" ",B108)+1)+1,100)),IFERROR(FIND(" ",TRIM(MID(B108,FIND(" ",B108,FIND(" ",B108)+1)+1,100)))-1,100)),TRIM(MID(B108,FIND(" ",B108&amp;" ")+1,100)))&amp;", buen día."&amp;CHAR(10)&amp;CHAR(10)&amp;"Te escribo porque "&amp;E108&amp;" personas de tu equipo aún no se han sentado en el Capítulo 1:"&amp;CHAR(10)&amp;CHAR(10)&amp;"1. Sayra Del Milagro Linares Villacorta
2. Olga Yushanli Gutierrez Chambi"&amp;CHAR(10)&amp;CHAR(10)&amp;"El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Gladys, buen día.
Te escribo porque 2 personas de tu equipo aún no se han sentado en el Capítulo 1:
1. Sayra Del Milagro Linares Villacorta
2. Olga Yushanli Gutierrez Chambi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09" customFormat="false" ht="135" hidden="false" customHeight="true" outlineLevel="0" collapsed="false">
      <c r="A109" s="10" t="n">
        <v>105</v>
      </c>
      <c r="B109" s="6" t="s">
        <v>517</v>
      </c>
      <c r="C109" s="7" t="s">
        <v>215</v>
      </c>
      <c r="D109" s="7" t="s">
        <v>519</v>
      </c>
      <c r="E109" s="11" t="n">
        <f aca="false">COUNTIF(DATA!A:A,B109)</f>
        <v>3</v>
      </c>
      <c r="F109" s="11" t="n">
        <f aca="false">COUNTIFS(DATA!A:A,B109,DATA!G:G,"CONFIRMADO")</f>
        <v>0</v>
      </c>
      <c r="G109" s="5" t="str">
        <f aca="false">IF(E109=0,"SIN DATA",IF(F109=E109,"✅ COMPLETO",IF(F109&gt;0,"🔄 PARCIAL",IF(COUNTIFS(DATA!A:A,B109,DATA!G:G,"PENDIENTE")=E109,"⏳ PENDIENTE","⚠ MIXTO"))))</f>
        <v>⏳ PENDIENTE</v>
      </c>
      <c r="H109" s="12" t="str">
        <f aca="false">"Hola "&amp;IFERROR(LEFT(TRIM(MID(B109,FIND(" ",B109,FIND(" ",B109)+1)+1,100)),IFERROR(FIND(" ",TRIM(MID(B109,FIND(" ",B109,FIND(" ",B109)+1)+1,100)))-1,100)),TRIM(MID(B109,FIND(" ",B109&amp;" ")+1,100)))&amp;", buen día."&amp;CHAR(10)&amp;CHAR(10)&amp;"Te escribo porque "&amp;E109&amp;" personas de tu equipo aún no se han sentado en el Capítulo 1:"&amp;CHAR(10)&amp;CHAR(10)&amp;"1. Erika Milagros Salinas Lumbreras
2. Xavier Abram Tavera Guinet
3. Maria Guinet Reynaga"&amp;CHAR(10)&amp;CHAR(10)&amp;"El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Fiorella, buen día.
Te escribo porque 3 personas de tu equipo aún no se han sentado en el Capítulo 1:
1. Erika Milagros Salinas Lumbreras
2. Xavier Abram Tavera Guinet
3. Maria Guinet Reynaga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0" customFormat="false" ht="150" hidden="false" customHeight="true" outlineLevel="0" collapsed="false">
      <c r="A110" s="13" t="n">
        <v>106</v>
      </c>
      <c r="B110" s="3" t="s">
        <v>523</v>
      </c>
      <c r="C110" s="4" t="s">
        <v>215</v>
      </c>
      <c r="D110" s="4" t="s">
        <v>525</v>
      </c>
      <c r="E110" s="14" t="n">
        <f aca="false">COUNTIF(DATA!A:A,B110)</f>
        <v>4</v>
      </c>
      <c r="F110" s="14" t="n">
        <f aca="false">COUNTIFS(DATA!A:A,B110,DATA!G:G,"CONFIRMADO")</f>
        <v>0</v>
      </c>
      <c r="G110" s="5" t="str">
        <f aca="false">IF(E110=0,"SIN DATA",IF(F110=E110,"✅ COMPLETO",IF(F110&gt;0,"🔄 PARCIAL",IF(COUNTIFS(DATA!A:A,B110,DATA!G:G,"PENDIENTE")=E110,"⏳ PENDIENTE","⚠ MIXTO"))))</f>
        <v>⏳ PENDIENTE</v>
      </c>
      <c r="H110" s="12" t="str">
        <f aca="false">"Hola "&amp;IFERROR(LEFT(TRIM(MID(B110,FIND(" ",B110,FIND(" ",B110)+1)+1,100)),IFERROR(FIND(" ",TRIM(MID(B110,FIND(" ",B110,FIND(" ",B110)+1)+1,100)))-1,100)),TRIM(MID(B110,FIND(" ",B110&amp;" ")+1,100)))&amp;", buen día."&amp;CHAR(10)&amp;CHAR(10)&amp;"Te escribo porque "&amp;E110&amp;" personas de tu equipo aún no se han sentado en el Capítulo 1:"&amp;CHAR(10)&amp;CHAR(10)&amp;"1. Arturo Valdivia Checa
2. Raul Aquino Camargo
3. Leonardo Gonzalo Fajardo Rabarozzi
4. Christian Giancarlo Idrogo Tantalean"&amp;CHAR(10)&amp;CHAR(10)&amp;"El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Leisi, buen día.
Te escribo porque 4 personas de tu equipo aún no se han sentado en el Capítulo 1:
1. Arturo Valdivia Checa
2. Raul Aquino Camargo
3. Leonardo Gonzalo Fajardo Rabarozzi
4. Christian Giancarlo Idrogo Tantalean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1" customFormat="false" ht="120" hidden="false" customHeight="true" outlineLevel="0" collapsed="false">
      <c r="A111" s="10" t="n">
        <v>107</v>
      </c>
      <c r="B111" s="6" t="s">
        <v>530</v>
      </c>
      <c r="C111" s="7" t="s">
        <v>215</v>
      </c>
      <c r="D111" s="7" t="s">
        <v>532</v>
      </c>
      <c r="E111" s="11" t="n">
        <f aca="false">COUNTIF(DATA!A:A,B111)</f>
        <v>2</v>
      </c>
      <c r="F111" s="11" t="n">
        <f aca="false">COUNTIFS(DATA!A:A,B111,DATA!G:G,"CONFIRMADO")</f>
        <v>0</v>
      </c>
      <c r="G111" s="5" t="str">
        <f aca="false">IF(E111=0,"SIN DATA",IF(F111=E111,"✅ COMPLETO",IF(F111&gt;0,"🔄 PARCIAL",IF(COUNTIFS(DATA!A:A,B111,DATA!G:G,"PENDIENTE")=E111,"⏳ PENDIENTE","⚠ MIXTO"))))</f>
        <v>⏳ PENDIENTE</v>
      </c>
      <c r="H111" s="12" t="str">
        <f aca="false">"Hola "&amp;IFERROR(LEFT(TRIM(MID(B111,FIND(" ",B111,FIND(" ",B111)+1)+1,100)),IFERROR(FIND(" ",TRIM(MID(B111,FIND(" ",B111,FIND(" ",B111)+1)+1,100)))-1,100)),TRIM(MID(B111,FIND(" ",B111&amp;" ")+1,100)))&amp;", buen día."&amp;CHAR(10)&amp;CHAR(10)&amp;"Te escribo porque "&amp;E111&amp;" personas de tu equipo aún no se han sentado en el Capítulo 1:"&amp;CHAR(10)&amp;CHAR(10)&amp;"1. Renzo Paolo Peralta Perez
2. Blanca Flor Vargas Saavedra"&amp;CHAR(10)&amp;CHAR(10)&amp;"El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Anita, buen día.
Te escribo porque 2 personas de tu equipo aún no se han sentado en el Capítulo 1:
1. Renzo Paolo Peralta Perez
2. Blanca Flor Vargas Saavedra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2" customFormat="false" ht="105" hidden="false" customHeight="true" outlineLevel="0" collapsed="false">
      <c r="A112" s="13" t="n">
        <v>108</v>
      </c>
      <c r="B112" s="3" t="s">
        <v>535</v>
      </c>
      <c r="C112" s="4" t="s">
        <v>215</v>
      </c>
      <c r="D112" s="4" t="s">
        <v>536</v>
      </c>
      <c r="E112" s="14" t="n">
        <f aca="false">COUNTIF(DATA!A:A,B112)</f>
        <v>1</v>
      </c>
      <c r="F112" s="14" t="n">
        <f aca="false">COUNTIFS(DATA!A:A,B112,DATA!G:G,"CONFIRMADO")</f>
        <v>0</v>
      </c>
      <c r="G112" s="5" t="str">
        <f aca="false">IF(E112=0,"SIN DATA",IF(F112=E112,"✅ COMPLETO",IF(F112&gt;0,"🔄 PARCIAL",IF(COUNTIFS(DATA!A:A,B112,DATA!G:G,"PENDIENTE")=E112,"⏳ PENDIENTE","⚠ MIXTO"))))</f>
        <v>⏳ PENDIENTE</v>
      </c>
      <c r="H112" s="12" t="str">
        <f aca="false">"Hola "&amp;IFERROR(LEFT(TRIM(MID(B112,FIND(" ",B112,FIND(" ",B112)+1)+1,100)),IFERROR(FIND(" ",TRIM(MID(B112,FIND(" ",B112,FIND(" ",B112)+1)+1,100)))-1,100)),TRIM(MID(B112,FIND(" ",B112&amp;" ")+1,100)))&amp;", buen día."&amp;CHAR(10)&amp;CHAR(10)&amp;"Te escribo porque una persona de tu equipo aún no se ha sentado en el Capítulo 1:"&amp;CHAR(10)&amp;CHAR(10)&amp;"1. Albaro Jose Hurtado"&amp;CHAR(10)&amp;CHAR(10)&amp;"El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Diana, buen día.
Te escribo porque una persona de tu equipo aún no se ha sentado en el Capítulo 1:
1. Albaro Jose Hurtado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13" customFormat="false" ht="105" hidden="false" customHeight="true" outlineLevel="0" collapsed="false">
      <c r="A113" s="10" t="n">
        <v>109</v>
      </c>
      <c r="B113" s="6" t="s">
        <v>538</v>
      </c>
      <c r="C113" s="7" t="s">
        <v>215</v>
      </c>
      <c r="D113" s="7" t="s">
        <v>540</v>
      </c>
      <c r="E113" s="11" t="n">
        <f aca="false">COUNTIF(DATA!A:A,B113)</f>
        <v>1</v>
      </c>
      <c r="F113" s="11" t="n">
        <f aca="false">COUNTIFS(DATA!A:A,B113,DATA!G:G,"CONFIRMADO")</f>
        <v>0</v>
      </c>
      <c r="G113" s="5" t="str">
        <f aca="false">IF(E113=0,"SIN DATA",IF(F113=E113,"✅ COMPLETO",IF(F113&gt;0,"🔄 PARCIAL",IF(COUNTIFS(DATA!A:A,B113,DATA!G:G,"PENDIENTE")=E113,"⏳ PENDIENTE","⚠ MIXTO"))))</f>
        <v>⏳ PENDIENTE</v>
      </c>
      <c r="H113" s="12" t="str">
        <f aca="false">"Hola "&amp;IFERROR(LEFT(TRIM(MID(B113,FIND(" ",B113,FIND(" ",B113)+1)+1,100)),IFERROR(FIND(" ",TRIM(MID(B113,FIND(" ",B113,FIND(" ",B113)+1)+1,100)))-1,100)),TRIM(MID(B113,FIND(" ",B113&amp;" ")+1,100)))&amp;", buen día."&amp;CHAR(10)&amp;CHAR(10)&amp;"Te escribo porque una persona de tu equipo aún no se ha sentado en el Capítulo 1:"&amp;CHAR(10)&amp;CHAR(10)&amp;"1. Yenifer Estrella Paico Medina"&amp;CHAR(10)&amp;CHAR(10)&amp;"El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De, buen día.
Te escribo porque una persona de tu equipo aún no se ha sentado en el Capítulo 1:
1. Yenifer Estrella Paico Medina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14" customFormat="false" ht="210" hidden="false" customHeight="true" outlineLevel="0" collapsed="false">
      <c r="A114" s="13" t="n">
        <v>110</v>
      </c>
      <c r="B114" s="3" t="s">
        <v>542</v>
      </c>
      <c r="C114" s="4" t="s">
        <v>215</v>
      </c>
      <c r="D114" s="4" t="s">
        <v>544</v>
      </c>
      <c r="E114" s="14" t="n">
        <f aca="false">COUNTIF(DATA!A:A,B114)</f>
        <v>8</v>
      </c>
      <c r="F114" s="14" t="n">
        <f aca="false">COUNTIFS(DATA!A:A,B114,DATA!G:G,"CONFIRMADO")</f>
        <v>0</v>
      </c>
      <c r="G114" s="5" t="str">
        <f aca="false">IF(E114=0,"SIN DATA",IF(F114=E114,"✅ COMPLETO",IF(F114&gt;0,"🔄 PARCIAL",IF(COUNTIFS(DATA!A:A,B114,DATA!G:G,"PENDIENTE")=E114,"⏳ PENDIENTE","⚠ MIXTO"))))</f>
        <v>⏳ PENDIENTE</v>
      </c>
      <c r="H114" s="12" t="str">
        <f aca="false">"Hola "&amp;IFERROR(LEFT(TRIM(MID(B114,FIND(" ",B114,FIND(" ",B114)+1)+1,100)),IFERROR(FIND(" ",TRIM(MID(B114,FIND(" ",B114,FIND(" ",B114)+1)+1,100)))-1,100)),TRIM(MID(B114,FIND(" ",B114&amp;" ")+1,100)))&amp;", buen día."&amp;CHAR(10)&amp;CHAR(10)&amp;"Te escribo porque "&amp;E114&amp;" personas de tu equipo aún no se han sentado en el Capítulo 1:"&amp;CHAR(10)&amp;CHAR(10)&amp;"1. Rosa Isabel Torero La Torre
2. Romina Angelica Hernandez Torero
3. Kelly Cardenas Ortega
4. Maryl Lisset Castillo Ventura
5. Doris Maribel Tirado Enco
6. Milagros Elizabeth Nicho Zambrano
7. Lucy Canasa Vilca Canasa Vilca
8. Maria Cristina Guzman Armas"&amp;CHAR(10)&amp;CHAR(10)&amp;"El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Juan, buen día.
Te escribo porque 8 personas de tu equipo aún no se han sentado en el Capítulo 1:
1. Rosa Isabel Torero La Torre
2. Romina Angelica Hernandez Torero
3. Kelly Cardenas Ortega
4. Maryl Lisset Castillo Ventura
5. Doris Maribel Tirado Enco
6. Milagros Elizabeth Nicho Zambrano
7. Lucy Canasa Vilca Canasa Vilca
8. Maria Cristina Guzman Armas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5" customFormat="false" ht="120" hidden="false" customHeight="true" outlineLevel="0" collapsed="false">
      <c r="A115" s="10" t="n">
        <v>111</v>
      </c>
      <c r="B115" s="6" t="s">
        <v>553</v>
      </c>
      <c r="C115" s="7" t="s">
        <v>215</v>
      </c>
      <c r="D115" s="7" t="s">
        <v>555</v>
      </c>
      <c r="E115" s="11" t="n">
        <f aca="false">COUNTIF(DATA!A:A,B115)</f>
        <v>2</v>
      </c>
      <c r="F115" s="11" t="n">
        <f aca="false">COUNTIFS(DATA!A:A,B115,DATA!G:G,"CONFIRMADO")</f>
        <v>0</v>
      </c>
      <c r="G115" s="5" t="str">
        <f aca="false">IF(E115=0,"SIN DATA",IF(F115=E115,"✅ COMPLETO",IF(F115&gt;0,"🔄 PARCIAL",IF(COUNTIFS(DATA!A:A,B115,DATA!G:G,"PENDIENTE")=E115,"⏳ PENDIENTE","⚠ MIXTO"))))</f>
        <v>⏳ PENDIENTE</v>
      </c>
      <c r="H115" s="12" t="str">
        <f aca="false">"Hola "&amp;IFERROR(LEFT(TRIM(MID(B115,FIND(" ",B115,FIND(" ",B115)+1)+1,100)),IFERROR(FIND(" ",TRIM(MID(B115,FIND(" ",B115,FIND(" ",B115)+1)+1,100)))-1,100)),TRIM(MID(B115,FIND(" ",B115&amp;" ")+1,100)))&amp;", buen día."&amp;CHAR(10)&amp;CHAR(10)&amp;"Te escribo porque "&amp;E115&amp;" personas de tu equipo aún no se han sentado en el Capítulo 1:"&amp;CHAR(10)&amp;CHAR(10)&amp;"1. Cesar Enrique Condor Bernuy
2. Juan Eden De La Cruz Huaqui"&amp;CHAR(10)&amp;CHAR(10)&amp;"El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Williams, buen día.
Te escribo porque 2 personas de tu equipo aún no se han sentado en el Capítulo 1:
1. Cesar Enrique Condor Bernuy
2. Juan Eden De La Cruz Huaqui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6" customFormat="false" ht="120" hidden="false" customHeight="true" outlineLevel="0" collapsed="false">
      <c r="A116" s="13" t="n">
        <v>112</v>
      </c>
      <c r="B116" s="3" t="s">
        <v>558</v>
      </c>
      <c r="C116" s="4" t="s">
        <v>215</v>
      </c>
      <c r="D116" s="4" t="s">
        <v>560</v>
      </c>
      <c r="E116" s="14" t="n">
        <f aca="false">COUNTIF(DATA!A:A,B116)</f>
        <v>2</v>
      </c>
      <c r="F116" s="14" t="n">
        <f aca="false">COUNTIFS(DATA!A:A,B116,DATA!G:G,"CONFIRMADO")</f>
        <v>0</v>
      </c>
      <c r="G116" s="5" t="str">
        <f aca="false">IF(E116=0,"SIN DATA",IF(F116=E116,"✅ COMPLETO",IF(F116&gt;0,"🔄 PARCIAL",IF(COUNTIFS(DATA!A:A,B116,DATA!G:G,"PENDIENTE")=E116,"⏳ PENDIENTE","⚠ MIXTO"))))</f>
        <v>⏳ PENDIENTE</v>
      </c>
      <c r="H116" s="12" t="str">
        <f aca="false">"Hola "&amp;IFERROR(LEFT(TRIM(MID(B116,FIND(" ",B116,FIND(" ",B116)+1)+1,100)),IFERROR(FIND(" ",TRIM(MID(B116,FIND(" ",B116,FIND(" ",B116)+1)+1,100)))-1,100)),TRIM(MID(B116,FIND(" ",B116&amp;" ")+1,100)))&amp;", buen día."&amp;CHAR(10)&amp;CHAR(10)&amp;"Te escribo porque "&amp;E116&amp;" personas de tu equipo aún no se han sentado en el Capítulo 1:"&amp;CHAR(10)&amp;CHAR(10)&amp;"1. Franklin Caceres Loa
2. Jedi Beymer Franco Conde"&amp;CHAR(10)&amp;CHAR(10)&amp;"El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Yember, buen día.
Te escribo porque 2 personas de tu equipo aún no se han sentado en el Capítulo 1:
1. Franklin Caceres Loa
2. Jedi Beymer Franco Conde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7" customFormat="false" ht="135" hidden="false" customHeight="true" outlineLevel="0" collapsed="false">
      <c r="A117" s="10" t="n">
        <v>113</v>
      </c>
      <c r="B117" s="6" t="s">
        <v>563</v>
      </c>
      <c r="C117" s="7" t="s">
        <v>215</v>
      </c>
      <c r="D117" s="7" t="s">
        <v>565</v>
      </c>
      <c r="E117" s="11" t="n">
        <f aca="false">COUNTIF(DATA!A:A,B117)</f>
        <v>3</v>
      </c>
      <c r="F117" s="11" t="n">
        <f aca="false">COUNTIFS(DATA!A:A,B117,DATA!G:G,"CONFIRMADO")</f>
        <v>0</v>
      </c>
      <c r="G117" s="5" t="str">
        <f aca="false">IF(E117=0,"SIN DATA",IF(F117=E117,"✅ COMPLETO",IF(F117&gt;0,"🔄 PARCIAL",IF(COUNTIFS(DATA!A:A,B117,DATA!G:G,"PENDIENTE")=E117,"⏳ PENDIENTE","⚠ MIXTO"))))</f>
        <v>⏳ PENDIENTE</v>
      </c>
      <c r="H117" s="12" t="str">
        <f aca="false">"Hola "&amp;IFERROR(LEFT(TRIM(MID(B117,FIND(" ",B117,FIND(" ",B117)+1)+1,100)),IFERROR(FIND(" ",TRIM(MID(B117,FIND(" ",B117,FIND(" ",B117)+1)+1,100)))-1,100)),TRIM(MID(B117,FIND(" ",B117&amp;" ")+1,100)))&amp;", buen día."&amp;CHAR(10)&amp;CHAR(10)&amp;"Te escribo porque "&amp;E117&amp;" personas de tu equipo aún no se han sentado en el Capítulo 1:"&amp;CHAR(10)&amp;CHAR(10)&amp;"1. Maria Angelica Valladares Aliaga
2. Oscar Canqui Gomez
3. Angelo Enrique Giuria Gallo"&amp;CHAR(10)&amp;CHAR(10)&amp;"El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Fabio, buen día.
Te escribo porque 3 personas de tu equipo aún no se han sentado en el Capítulo 1:
1. Maria Angelica Valladares Aliaga
2. Oscar Canqui Gomez
3. Angelo Enrique Giuria Gallo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18" customFormat="false" ht="105" hidden="false" customHeight="true" outlineLevel="0" collapsed="false">
      <c r="A118" s="13" t="n">
        <v>114</v>
      </c>
      <c r="B118" s="3" t="s">
        <v>570</v>
      </c>
      <c r="C118" s="4" t="s">
        <v>215</v>
      </c>
      <c r="D118" s="4" t="s">
        <v>571</v>
      </c>
      <c r="E118" s="14" t="n">
        <f aca="false">COUNTIF(DATA!A:A,B118)</f>
        <v>1</v>
      </c>
      <c r="F118" s="14" t="n">
        <f aca="false">COUNTIFS(DATA!A:A,B118,DATA!G:G,"CONFIRMADO")</f>
        <v>0</v>
      </c>
      <c r="G118" s="5" t="str">
        <f aca="false">IF(E118=0,"SIN DATA",IF(F118=E118,"✅ COMPLETO",IF(F118&gt;0,"🔄 PARCIAL",IF(COUNTIFS(DATA!A:A,B118,DATA!G:G,"PENDIENTE")=E118,"⏳ PENDIENTE","⚠ MIXTO"))))</f>
        <v>⏳ PENDIENTE</v>
      </c>
      <c r="H118" s="12" t="str">
        <f aca="false">"Hola "&amp;IFERROR(LEFT(TRIM(MID(B118,FIND(" ",B118,FIND(" ",B118)+1)+1,100)),IFERROR(FIND(" ",TRIM(MID(B118,FIND(" ",B118,FIND(" ",B118)+1)+1,100)))-1,100)),TRIM(MID(B118,FIND(" ",B118&amp;" ")+1,100)))&amp;", buen día."&amp;CHAR(10)&amp;CHAR(10)&amp;"Te escribo porque una persona de tu equipo aún no se ha sentado en el Capítulo 1:"&amp;CHAR(10)&amp;CHAR(10)&amp;"1. Lluribell Rodriguez  Pina"&amp;CHAR(10)&amp;CHAR(10)&amp;"El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Erika, buen día.
Te escribo porque una persona de tu equipo aún no se ha sentado en el Capítulo 1:
1. Lluribell Rodriguez  Pina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19" customFormat="false" ht="105" hidden="false" customHeight="true" outlineLevel="0" collapsed="false">
      <c r="A119" s="10" t="n">
        <v>115</v>
      </c>
      <c r="B119" s="6" t="s">
        <v>573</v>
      </c>
      <c r="C119" s="7" t="s">
        <v>215</v>
      </c>
      <c r="D119" s="7" t="s">
        <v>575</v>
      </c>
      <c r="E119" s="11" t="n">
        <f aca="false">COUNTIF(DATA!A:A,B119)</f>
        <v>1</v>
      </c>
      <c r="F119" s="11" t="n">
        <f aca="false">COUNTIFS(DATA!A:A,B119,DATA!G:G,"CONFIRMADO")</f>
        <v>0</v>
      </c>
      <c r="G119" s="5" t="str">
        <f aca="false">IF(E119=0,"SIN DATA",IF(F119=E119,"✅ COMPLETO",IF(F119&gt;0,"🔄 PARCIAL",IF(COUNTIFS(DATA!A:A,B119,DATA!G:G,"PENDIENTE")=E119,"⏳ PENDIENTE","⚠ MIXTO"))))</f>
        <v>⏳ PENDIENTE</v>
      </c>
      <c r="H119" s="12" t="str">
        <f aca="false">"Hola "&amp;IFERROR(LEFT(TRIM(MID(B119,FIND(" ",B119,FIND(" ",B119)+1)+1,100)),IFERROR(FIND(" ",TRIM(MID(B119,FIND(" ",B119,FIND(" ",B119)+1)+1,100)))-1,100)),TRIM(MID(B119,FIND(" ",B119&amp;" ")+1,100)))&amp;", buen día."&amp;CHAR(10)&amp;CHAR(10)&amp;"Te escribo porque una persona de tu equipo aún no se ha sentado en el Capítulo 1:"&amp;CHAR(10)&amp;CHAR(10)&amp;"1. Rulito Surichaqui Huaman"&amp;CHAR(10)&amp;CHAR(10)&amp;"El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Noelia, buen día.
Te escribo porque una persona de tu equipo aún no se ha sentado en el Capítulo 1:
1. Rulito Surichaqui Huaman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0" customFormat="false" ht="105" hidden="false" customHeight="true" outlineLevel="0" collapsed="false">
      <c r="A120" s="13" t="n">
        <v>116</v>
      </c>
      <c r="B120" s="3" t="s">
        <v>577</v>
      </c>
      <c r="C120" s="4" t="s">
        <v>215</v>
      </c>
      <c r="D120" s="4" t="s">
        <v>578</v>
      </c>
      <c r="E120" s="14" t="n">
        <f aca="false">COUNTIF(DATA!A:A,B120)</f>
        <v>1</v>
      </c>
      <c r="F120" s="14" t="n">
        <f aca="false">COUNTIFS(DATA!A:A,B120,DATA!G:G,"CONFIRMADO")</f>
        <v>0</v>
      </c>
      <c r="G120" s="5" t="str">
        <f aca="false">IF(E120=0,"SIN DATA",IF(F120=E120,"✅ COMPLETO",IF(F120&gt;0,"🔄 PARCIAL",IF(COUNTIFS(DATA!A:A,B120,DATA!G:G,"PENDIENTE")=E120,"⏳ PENDIENTE","⚠ MIXTO"))))</f>
        <v>⏳ PENDIENTE</v>
      </c>
      <c r="H120" s="12" t="str">
        <f aca="false">"Hola "&amp;IFERROR(LEFT(TRIM(MID(B120,FIND(" ",B120,FIND(" ",B120)+1)+1,100)),IFERROR(FIND(" ",TRIM(MID(B120,FIND(" ",B120,FIND(" ",B120)+1)+1,100)))-1,100)),TRIM(MID(B120,FIND(" ",B120&amp;" ")+1,100)))&amp;", buen día."&amp;CHAR(10)&amp;CHAR(10)&amp;"Te escribo porque una persona de tu equipo aún no se ha sentado en el Capítulo 1:"&amp;CHAR(10)&amp;CHAR(10)&amp;"1. Michelly Katerine Inche Arias"&amp;CHAR(10)&amp;CHAR(10)&amp;"El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Jessica, buen día.
Te escribo porque una persona de tu equipo aún no se ha sentado en el Capítulo 1:
1. Michelly Katerine Inche Arias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1" customFormat="false" ht="105" hidden="false" customHeight="true" outlineLevel="0" collapsed="false">
      <c r="A121" s="10" t="n">
        <v>117</v>
      </c>
      <c r="B121" s="6" t="s">
        <v>580</v>
      </c>
      <c r="C121" s="7" t="s">
        <v>215</v>
      </c>
      <c r="D121" s="7" t="s">
        <v>582</v>
      </c>
      <c r="E121" s="11" t="n">
        <f aca="false">COUNTIF(DATA!A:A,B121)</f>
        <v>1</v>
      </c>
      <c r="F121" s="11" t="n">
        <f aca="false">COUNTIFS(DATA!A:A,B121,DATA!G:G,"CONFIRMADO")</f>
        <v>0</v>
      </c>
      <c r="G121" s="5" t="str">
        <f aca="false">IF(E121=0,"SIN DATA",IF(F121=E121,"✅ COMPLETO",IF(F121&gt;0,"🔄 PARCIAL",IF(COUNTIFS(DATA!A:A,B121,DATA!G:G,"PENDIENTE")=E121,"⏳ PENDIENTE","⚠ MIXTO"))))</f>
        <v>⏳ PENDIENTE</v>
      </c>
      <c r="H121" s="12" t="str">
        <f aca="false">"Hola "&amp;IFERROR(LEFT(TRIM(MID(B121,FIND(" ",B121,FIND(" ",B121)+1)+1,100)),IFERROR(FIND(" ",TRIM(MID(B121,FIND(" ",B121,FIND(" ",B121)+1)+1,100)))-1,100)),TRIM(MID(B121,FIND(" ",B121&amp;" ")+1,100)))&amp;", buen día."&amp;CHAR(10)&amp;CHAR(10)&amp;"Te escribo porque una persona de tu equipo aún no se ha sentado en el Capítulo 1:"&amp;CHAR(10)&amp;CHAR(10)&amp;"1. Mirla Jannet Valencia Pacheco"&amp;CHAR(10)&amp;CHAR(10)&amp;"El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Violeta, buen día.
Te escribo porque una persona de tu equipo aún no se ha sentado en el Capítulo 1:
1. Mirla Jannet Valencia Pacheco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2" customFormat="false" ht="165" hidden="false" customHeight="true" outlineLevel="0" collapsed="false">
      <c r="A122" s="13" t="n">
        <v>118</v>
      </c>
      <c r="B122" s="3" t="s">
        <v>584</v>
      </c>
      <c r="C122" s="4" t="s">
        <v>215</v>
      </c>
      <c r="D122" s="4" t="s">
        <v>586</v>
      </c>
      <c r="E122" s="14" t="n">
        <f aca="false">COUNTIF(DATA!A:A,B122)</f>
        <v>5</v>
      </c>
      <c r="F122" s="14" t="n">
        <f aca="false">COUNTIFS(DATA!A:A,B122,DATA!G:G,"CONFIRMADO")</f>
        <v>0</v>
      </c>
      <c r="G122" s="5" t="str">
        <f aca="false">IF(E122=0,"SIN DATA",IF(F122=E122,"✅ COMPLETO",IF(F122&gt;0,"🔄 PARCIAL",IF(COUNTIFS(DATA!A:A,B122,DATA!G:G,"PENDIENTE")=E122,"⏳ PENDIENTE","⚠ MIXTO"))))</f>
        <v>⏳ PENDIENTE</v>
      </c>
      <c r="H122" s="12" t="str">
        <f aca="false">"Hola "&amp;IFERROR(LEFT(TRIM(MID(B122,FIND(" ",B122,FIND(" ",B122)+1)+1,100)),IFERROR(FIND(" ",TRIM(MID(B122,FIND(" ",B122,FIND(" ",B122)+1)+1,100)))-1,100)),TRIM(MID(B122,FIND(" ",B122&amp;" ")+1,100)))&amp;", buen día."&amp;CHAR(10)&amp;CHAR(10)&amp;"Te escribo porque "&amp;E122&amp;" personas de tu equipo aún no se han sentado en el Capítulo 1:"&amp;CHAR(10)&amp;CHAR(10)&amp;"1. Josseline Nancy Baltazar Guevara
2. Dussan Smit Sanchez Camacho
3. Edwin Saul Palomino Gutierrez
4. Orison Huansi Marichin
5. Fructoso Tapullima Marumaya"&amp;CHAR(10)&amp;CHAR(10)&amp;"El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Jose, buen día.
Te escribo porque 5 personas de tu equipo aún no se han sentado en el Capítulo 1:
1. Josseline Nancy Baltazar Guevara
2. Dussan Smit Sanchez Camacho
3. Edwin Saul Palomino Gutierrez
4. Orison Huansi Marichin
5. Fructoso Tapullima Marumaya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23" customFormat="false" ht="105" hidden="false" customHeight="true" outlineLevel="0" collapsed="false">
      <c r="A123" s="10" t="n">
        <v>119</v>
      </c>
      <c r="B123" s="6" t="s">
        <v>592</v>
      </c>
      <c r="C123" s="7" t="s">
        <v>215</v>
      </c>
      <c r="D123" s="7" t="s">
        <v>252</v>
      </c>
      <c r="E123" s="11" t="n">
        <f aca="false">COUNTIF(DATA!A:A,B123)</f>
        <v>1</v>
      </c>
      <c r="F123" s="11" t="n">
        <f aca="false">COUNTIFS(DATA!A:A,B123,DATA!G:G,"CONFIRMADO")</f>
        <v>0</v>
      </c>
      <c r="G123" s="5" t="str">
        <f aca="false">IF(E123=0,"SIN DATA",IF(F123=E123,"✅ COMPLETO",IF(F123&gt;0,"🔄 PARCIAL",IF(COUNTIFS(DATA!A:A,B123,DATA!G:G,"PENDIENTE")=E123,"⏳ PENDIENTE","⚠ MIXTO"))))</f>
        <v>⏳ PENDIENTE</v>
      </c>
      <c r="H123" s="12" t="str">
        <f aca="false">"Hola "&amp;IFERROR(LEFT(TRIM(MID(B123,FIND(" ",B123,FIND(" ",B123)+1)+1,100)),IFERROR(FIND(" ",TRIM(MID(B123,FIND(" ",B123,FIND(" ",B123)+1)+1,100)))-1,100)),TRIM(MID(B123,FIND(" ",B123&amp;" ")+1,100)))&amp;", buen día."&amp;CHAR(10)&amp;CHAR(10)&amp;"Te escribo porque una persona de tu equipo aún no se ha sentado en el Capítulo 1:"&amp;CHAR(10)&amp;CHAR(10)&amp;"1. Silvia Santamaria Barreto"&amp;CHAR(10)&amp;CHAR(10)&amp;"El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Consuelo, buen día.
Te escribo porque una persona de tu equipo aún no se ha sentado en el Capítulo 1:
1. Silvia Santamaria Barreto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4" customFormat="false" ht="225" hidden="false" customHeight="true" outlineLevel="0" collapsed="false">
      <c r="A124" s="13" t="n">
        <v>120</v>
      </c>
      <c r="B124" s="3" t="s">
        <v>595</v>
      </c>
      <c r="C124" s="4" t="s">
        <v>215</v>
      </c>
      <c r="D124" s="4" t="s">
        <v>597</v>
      </c>
      <c r="E124" s="14" t="n">
        <f aca="false">COUNTIF(DATA!A:A,B124)</f>
        <v>9</v>
      </c>
      <c r="F124" s="14" t="n">
        <f aca="false">COUNTIFS(DATA!A:A,B124,DATA!G:G,"CONFIRMADO")</f>
        <v>0</v>
      </c>
      <c r="G124" s="5" t="str">
        <f aca="false">IF(E124=0,"SIN DATA",IF(F124=E124,"✅ COMPLETO",IF(F124&gt;0,"🔄 PARCIAL",IF(COUNTIFS(DATA!A:A,B124,DATA!G:G,"PENDIENTE")=E124,"⏳ PENDIENTE","⚠ MIXTO"))))</f>
        <v>⏳ PENDIENTE</v>
      </c>
      <c r="H124" s="12" t="str">
        <f aca="false">"Hola "&amp;IFERROR(LEFT(TRIM(MID(B124,FIND(" ",B124,FIND(" ",B124)+1)+1,100)),IFERROR(FIND(" ",TRIM(MID(B124,FIND(" ",B124,FIND(" ",B124)+1)+1,100)))-1,100)),TRIM(MID(B124,FIND(" ",B124&amp;" ")+1,100)))&amp;", buen día."&amp;CHAR(10)&amp;CHAR(10)&amp;"Te escribo porque "&amp;E124&amp;" personas de tu equipo aún no se han sentado en el Capítulo 1:"&amp;CHAR(10)&amp;CHAR(10)&amp;"1. Juan Carlos Allcca Llacchuas
2. Gilmer Mesias Fernandez Castillo
3. Marisol Gabriela Maguiña Padilla
4. Hilmart Gari Alcarraz Salazar
5. Jesus Christian Huarcaya Palacios
6. Carola Evelyn Guerra Arbieto
7. Marlene Martinez Chero
8. Doris Michaela Cordova Penaloza
9. Robin Lazaro Rodriguez"&amp;CHAR(10)&amp;CHAR(10)&amp;"El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Antony, buen día.
Te escribo porque 9 personas de tu equipo aún no se han sentado en el Capítulo 1:
1. Juan Carlos Allcca Llacchuas
2. Gilmer Mesias Fernandez Castillo
3. Marisol Gabriela Maguiña Padilla
4. Hilmart Gari Alcarraz Salazar
5. Jesus Christian Huarcaya Palacios
6. Carola Evelyn Guerra Arbieto
7. Marlene Martinez Chero
8. Doris Michaela Cordova Penaloza
9. Robin Lazaro Rodriguez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25" customFormat="false" ht="105" hidden="false" customHeight="true" outlineLevel="0" collapsed="false">
      <c r="A125" s="10" t="n">
        <v>121</v>
      </c>
      <c r="B125" s="6" t="s">
        <v>607</v>
      </c>
      <c r="C125" s="7" t="s">
        <v>215</v>
      </c>
      <c r="D125" s="7" t="s">
        <v>609</v>
      </c>
      <c r="E125" s="11" t="n">
        <f aca="false">COUNTIF(DATA!A:A,B125)</f>
        <v>1</v>
      </c>
      <c r="F125" s="11" t="n">
        <f aca="false">COUNTIFS(DATA!A:A,B125,DATA!G:G,"CONFIRMADO")</f>
        <v>0</v>
      </c>
      <c r="G125" s="5" t="str">
        <f aca="false">IF(E125=0,"SIN DATA",IF(F125=E125,"✅ COMPLETO",IF(F125&gt;0,"🔄 PARCIAL",IF(COUNTIFS(DATA!A:A,B125,DATA!G:G,"PENDIENTE")=E125,"⏳ PENDIENTE","⚠ MIXTO"))))</f>
        <v>⏳ PENDIENTE</v>
      </c>
      <c r="H125" s="12" t="str">
        <f aca="false">"Hola "&amp;IFERROR(LEFT(TRIM(MID(B125,FIND(" ",B125,FIND(" ",B125)+1)+1,100)),IFERROR(FIND(" ",TRIM(MID(B125,FIND(" ",B125,FIND(" ",B125)+1)+1,100)))-1,100)),TRIM(MID(B125,FIND(" ",B125&amp;" ")+1,100)))&amp;", buen día."&amp;CHAR(10)&amp;CHAR(10)&amp;"Te escribo porque una persona de tu equipo aún no se ha sentado en el Capítulo 1:"&amp;CHAR(10)&amp;CHAR(10)&amp;"1. Tomy Estacio Lucero"&amp;CHAR(10)&amp;CHAR(10)&amp;"El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Wilmary, buen día.
Te escribo porque una persona de tu equipo aún no se ha sentado en el Capítulo 1:
1. Tomy Estacio Lucero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6" customFormat="false" ht="105" hidden="false" customHeight="true" outlineLevel="0" collapsed="false">
      <c r="A126" s="13" t="n">
        <v>122</v>
      </c>
      <c r="B126" s="3" t="s">
        <v>611</v>
      </c>
      <c r="C126" s="4" t="s">
        <v>215</v>
      </c>
      <c r="D126" s="4" t="s">
        <v>613</v>
      </c>
      <c r="E126" s="14" t="n">
        <f aca="false">COUNTIF(DATA!A:A,B126)</f>
        <v>1</v>
      </c>
      <c r="F126" s="14" t="n">
        <f aca="false">COUNTIFS(DATA!A:A,B126,DATA!G:G,"CONFIRMADO")</f>
        <v>0</v>
      </c>
      <c r="G126" s="5" t="str">
        <f aca="false">IF(E126=0,"SIN DATA",IF(F126=E126,"✅ COMPLETO",IF(F126&gt;0,"🔄 PARCIAL",IF(COUNTIFS(DATA!A:A,B126,DATA!G:G,"PENDIENTE")=E126,"⏳ PENDIENTE","⚠ MIXTO"))))</f>
        <v>⏳ PENDIENTE</v>
      </c>
      <c r="H126" s="12" t="str">
        <f aca="false">"Hola "&amp;IFERROR(LEFT(TRIM(MID(B126,FIND(" ",B126,FIND(" ",B126)+1)+1,100)),IFERROR(FIND(" ",TRIM(MID(B126,FIND(" ",B126,FIND(" ",B126)+1)+1,100)))-1,100)),TRIM(MID(B126,FIND(" ",B126&amp;" ")+1,100)))&amp;", buen día."&amp;CHAR(10)&amp;CHAR(10)&amp;"Te escribo porque una persona de tu equipo aún no se ha sentado en el Capítulo 1:"&amp;CHAR(10)&amp;CHAR(10)&amp;"1. Willian Silvestre Vargas Elescano"&amp;CHAR(10)&amp;CHAR(10)&amp;"El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Anthony, buen día.
Te escribo porque una persona de tu equipo aún no se ha sentado en el Capítulo 1:
1. Willian Silvestre Vargas Elescano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27" customFormat="false" ht="165" hidden="false" customHeight="true" outlineLevel="0" collapsed="false">
      <c r="A127" s="10" t="n">
        <v>123</v>
      </c>
      <c r="B127" s="6" t="s">
        <v>615</v>
      </c>
      <c r="C127" s="7" t="s">
        <v>215</v>
      </c>
      <c r="D127" s="7" t="s">
        <v>617</v>
      </c>
      <c r="E127" s="11" t="n">
        <f aca="false">COUNTIF(DATA!A:A,B127)</f>
        <v>5</v>
      </c>
      <c r="F127" s="11" t="n">
        <f aca="false">COUNTIFS(DATA!A:A,B127,DATA!G:G,"CONFIRMADO")</f>
        <v>0</v>
      </c>
      <c r="G127" s="5" t="str">
        <f aca="false">IF(E127=0,"SIN DATA",IF(F127=E127,"✅ COMPLETO",IF(F127&gt;0,"🔄 PARCIAL",IF(COUNTIFS(DATA!A:A,B127,DATA!G:G,"PENDIENTE")=E127,"⏳ PENDIENTE","⚠ MIXTO"))))</f>
        <v>⏳ PENDIENTE</v>
      </c>
      <c r="H127" s="12" t="str">
        <f aca="false">"Hola "&amp;IFERROR(LEFT(TRIM(MID(B127,FIND(" ",B127,FIND(" ",B127)+1)+1,100)),IFERROR(FIND(" ",TRIM(MID(B127,FIND(" ",B127,FIND(" ",B127)+1)+1,100)))-1,100)),TRIM(MID(B127,FIND(" ",B127&amp;" ")+1,100)))&amp;", buen día."&amp;CHAR(10)&amp;CHAR(10)&amp;"Te escribo porque "&amp;E127&amp;" personas de tu equipo aún no se han sentado en el Capítulo 1:"&amp;CHAR(10)&amp;CHAR(10)&amp;"1. Mayra Sheyla Nontol Rojas
2. Cesar Augusto Causa Correa
3. Jhon Francisco Lopez Zumaeta
4. Angelina Gebol Guayamis
5. Alfredo Simon Alcedo Toledo"&amp;CHAR(10)&amp;CHAR(10)&amp;"El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Angella, buen día.
Te escribo porque 5 personas de tu equipo aún no se han sentado en el Capítulo 1:
1. Mayra Sheyla Nontol Rojas
2. Cesar Augusto Causa Correa
3. Jhon Francisco Lopez Zumaeta
4. Angelina Gebol Guayamis
5. Alfredo Simon Alcedo Toledo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28" customFormat="false" ht="165" hidden="false" customHeight="true" outlineLevel="0" collapsed="false">
      <c r="A128" s="13" t="n">
        <v>124</v>
      </c>
      <c r="B128" s="3" t="s">
        <v>623</v>
      </c>
      <c r="C128" s="4" t="s">
        <v>215</v>
      </c>
      <c r="D128" s="4" t="s">
        <v>625</v>
      </c>
      <c r="E128" s="14" t="n">
        <f aca="false">COUNTIF(DATA!A:A,B128)</f>
        <v>5</v>
      </c>
      <c r="F128" s="14" t="n">
        <f aca="false">COUNTIFS(DATA!A:A,B128,DATA!G:G,"CONFIRMADO")</f>
        <v>0</v>
      </c>
      <c r="G128" s="5" t="str">
        <f aca="false">IF(E128=0,"SIN DATA",IF(F128=E128,"✅ COMPLETO",IF(F128&gt;0,"🔄 PARCIAL",IF(COUNTIFS(DATA!A:A,B128,DATA!G:G,"PENDIENTE")=E128,"⏳ PENDIENTE","⚠ MIXTO"))))</f>
        <v>⏳ PENDIENTE</v>
      </c>
      <c r="H128" s="12" t="str">
        <f aca="false">"Hola "&amp;IFERROR(LEFT(TRIM(MID(B128,FIND(" ",B128,FIND(" ",B128)+1)+1,100)),IFERROR(FIND(" ",TRIM(MID(B128,FIND(" ",B128,FIND(" ",B128)+1)+1,100)))-1,100)),TRIM(MID(B128,FIND(" ",B128&amp;" ")+1,100)))&amp;", buen día."&amp;CHAR(10)&amp;CHAR(10)&amp;"Te escribo porque "&amp;E128&amp;" personas de tu equipo aún no se han sentado en el Capítulo 1:"&amp;CHAR(10)&amp;CHAR(10)&amp;"1. Indira Castro Torre
2. Claudio Andres Gracias Chapa
3. Rosario Janeth Huaman Celestino
4. Juliet Maria Quinonez Ramirez
5. Analy Milagros Cordova Dominguez"&amp;CHAR(10)&amp;CHAR(10)&amp;"El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Silva, buen día.
Te escribo porque 5 personas de tu equipo aún no se han sentado en el Capítulo 1:
1. Indira Castro Torre
2. Claudio Andres Gracias Chapa
3. Rosario Janeth Huaman Celestino
4. Juliet Maria Quinonez Ramirez
5. Analy Milagros Cordova Dominguez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29" customFormat="false" ht="105" hidden="false" customHeight="true" outlineLevel="0" collapsed="false">
      <c r="A129" s="10" t="n">
        <v>125</v>
      </c>
      <c r="B129" s="6" t="s">
        <v>631</v>
      </c>
      <c r="C129" s="7" t="s">
        <v>215</v>
      </c>
      <c r="D129" s="7" t="s">
        <v>633</v>
      </c>
      <c r="E129" s="11" t="n">
        <f aca="false">COUNTIF(DATA!A:A,B129)</f>
        <v>1</v>
      </c>
      <c r="F129" s="11" t="n">
        <f aca="false">COUNTIFS(DATA!A:A,B129,DATA!G:G,"CONFIRMADO")</f>
        <v>0</v>
      </c>
      <c r="G129" s="5" t="str">
        <f aca="false">IF(E129=0,"SIN DATA",IF(F129=E129,"✅ COMPLETO",IF(F129&gt;0,"🔄 PARCIAL",IF(COUNTIFS(DATA!A:A,B129,DATA!G:G,"PENDIENTE")=E129,"⏳ PENDIENTE","⚠ MIXTO"))))</f>
        <v>⏳ PENDIENTE</v>
      </c>
      <c r="H129" s="12" t="str">
        <f aca="false">"Hola "&amp;IFERROR(LEFT(TRIM(MID(B129,FIND(" ",B129,FIND(" ",B129)+1)+1,100)),IFERROR(FIND(" ",TRIM(MID(B129,FIND(" ",B129,FIND(" ",B129)+1)+1,100)))-1,100)),TRIM(MID(B129,FIND(" ",B129&amp;" ")+1,100)))&amp;", buen día."&amp;CHAR(10)&amp;CHAR(10)&amp;"Te escribo porque una persona de tu equipo aún no se ha sentado en el Capítulo 1:"&amp;CHAR(10)&amp;CHAR(10)&amp;"1. Johnatan Victor Palacios Perales"&amp;CHAR(10)&amp;CHAR(10)&amp;"El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Hernan, buen día.
Te escribo porque una persona de tu equipo aún no se ha sentado en el Capítulo 1:
1. Johnatan Victor Palacios Perales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30" customFormat="false" ht="105" hidden="false" customHeight="true" outlineLevel="0" collapsed="false">
      <c r="A130" s="13" t="n">
        <v>126</v>
      </c>
      <c r="B130" s="3" t="s">
        <v>635</v>
      </c>
      <c r="C130" s="4" t="s">
        <v>215</v>
      </c>
      <c r="D130" s="4" t="s">
        <v>637</v>
      </c>
      <c r="E130" s="14" t="n">
        <f aca="false">COUNTIF(DATA!A:A,B130)</f>
        <v>1</v>
      </c>
      <c r="F130" s="14" t="n">
        <f aca="false">COUNTIFS(DATA!A:A,B130,DATA!G:G,"CONFIRMADO")</f>
        <v>0</v>
      </c>
      <c r="G130" s="5" t="str">
        <f aca="false">IF(E130=0,"SIN DATA",IF(F130=E130,"✅ COMPLETO",IF(F130&gt;0,"🔄 PARCIAL",IF(COUNTIFS(DATA!A:A,B130,DATA!G:G,"PENDIENTE")=E130,"⏳ PENDIENTE","⚠ MIXTO"))))</f>
        <v>⏳ PENDIENTE</v>
      </c>
      <c r="H130" s="12" t="str">
        <f aca="false">"Hola "&amp;IFERROR(LEFT(TRIM(MID(B130,FIND(" ",B130,FIND(" ",B130)+1)+1,100)),IFERROR(FIND(" ",TRIM(MID(B130,FIND(" ",B130,FIND(" ",B130)+1)+1,100)))-1,100)),TRIM(MID(B130,FIND(" ",B130&amp;" ")+1,100)))&amp;", buen día."&amp;CHAR(10)&amp;CHAR(10)&amp;"Te escribo porque una persona de tu equipo aún no se ha sentado en el Capítulo 1:"&amp;CHAR(10)&amp;CHAR(10)&amp;"1. Ana Pamela Villafan Arias"&amp;CHAR(10)&amp;CHAR(10)&amp;"El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Maichol, buen día.
Te escribo porque una persona de tu equipo aún no se ha sentado en el Capítulo 1:
1. Ana Pamela Villafan Arias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31" customFormat="false" ht="105" hidden="false" customHeight="true" outlineLevel="0" collapsed="false">
      <c r="A131" s="10" t="n">
        <v>127</v>
      </c>
      <c r="B131" s="6" t="s">
        <v>639</v>
      </c>
      <c r="C131" s="7" t="s">
        <v>215</v>
      </c>
      <c r="D131" s="7" t="s">
        <v>641</v>
      </c>
      <c r="E131" s="11" t="n">
        <f aca="false">COUNTIF(DATA!A:A,B131)</f>
        <v>1</v>
      </c>
      <c r="F131" s="11" t="n">
        <f aca="false">COUNTIFS(DATA!A:A,B131,DATA!G:G,"CONFIRMADO")</f>
        <v>0</v>
      </c>
      <c r="G131" s="5" t="str">
        <f aca="false">IF(E131=0,"SIN DATA",IF(F131=E131,"✅ COMPLETO",IF(F131&gt;0,"🔄 PARCIAL",IF(COUNTIFS(DATA!A:A,B131,DATA!G:G,"PENDIENTE")=E131,"⏳ PENDIENTE","⚠ MIXTO"))))</f>
        <v>⏳ PENDIENTE</v>
      </c>
      <c r="H131" s="12" t="str">
        <f aca="false">"Hola "&amp;IFERROR(LEFT(TRIM(MID(B131,FIND(" ",B131,FIND(" ",B131)+1)+1,100)),IFERROR(FIND(" ",TRIM(MID(B131,FIND(" ",B131,FIND(" ",B131)+1)+1,100)))-1,100)),TRIM(MID(B131,FIND(" ",B131&amp;" ")+1,100)))&amp;", buen día."&amp;CHAR(10)&amp;CHAR(10)&amp;"Te escribo porque una persona de tu equipo aún no se ha sentado en el Capítulo 1:"&amp;CHAR(10)&amp;CHAR(10)&amp;"1. Maria Elena Mondragon Fernandez"&amp;CHAR(10)&amp;CHAR(10)&amp;"El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Monica, buen día.
Te escribo porque una persona de tu equipo aún no se ha sentado en el Capítulo 1:
1. Maria Elena Mondragon Fernandez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32" customFormat="false" ht="165" hidden="false" customHeight="true" outlineLevel="0" collapsed="false">
      <c r="A132" s="13" t="n">
        <v>128</v>
      </c>
      <c r="B132" s="3" t="s">
        <v>643</v>
      </c>
      <c r="C132" s="4" t="s">
        <v>270</v>
      </c>
      <c r="D132" s="4" t="s">
        <v>645</v>
      </c>
      <c r="E132" s="14" t="n">
        <f aca="false">COUNTIF(DATA!A:A,B132)</f>
        <v>5</v>
      </c>
      <c r="F132" s="14" t="n">
        <f aca="false">COUNTIFS(DATA!A:A,B132,DATA!G:G,"CONFIRMADO")</f>
        <v>0</v>
      </c>
      <c r="G132" s="5" t="str">
        <f aca="false">IF(E132=0,"SIN DATA",IF(F132=E132,"✅ COMPLETO",IF(F132&gt;0,"🔄 PARCIAL",IF(COUNTIFS(DATA!A:A,B132,DATA!G:G,"PENDIENTE")=E132,"⏳ PENDIENTE","⚠ MIXTO"))))</f>
        <v>⏳ PENDIENTE</v>
      </c>
      <c r="H132" s="12" t="str">
        <f aca="false">"Hola "&amp;IFERROR(LEFT(TRIM(MID(B132,FIND(" ",B132,FIND(" ",B132)+1)+1,100)),IFERROR(FIND(" ",TRIM(MID(B132,FIND(" ",B132,FIND(" ",B132)+1)+1,100)))-1,100)),TRIM(MID(B132,FIND(" ",B132&amp;" ")+1,100)))&amp;", buen día."&amp;CHAR(10)&amp;CHAR(10)&amp;"Te escribo porque "&amp;E132&amp;" personas de tu equipo aún no se han sentado en el Capítulo 1:"&amp;CHAR(10)&amp;CHAR(10)&amp;"1. Walter Humberto Chilon Vargas
2. Jose Ricardo Bazan Cruz
3. Katia Del Carmen Chumpitaz Cuya
4. Erick Alexander Japay Robles
5. Carlos Enrique Otarola Rafael"&amp;CHAR(10)&amp;CHAR(10)&amp;"El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Mario, buen día.
Te escribo porque 5 personas de tu equipo aún no se han sentado en el Capítulo 1:
1. Walter Humberto Chilon Vargas
2. Jose Ricardo Bazan Cruz
3. Katia Del Carmen Chumpitaz Cuya
4. Erick Alexander Japay Robles
5. Carlos Enrique Otarola Rafael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3" customFormat="false" ht="120" hidden="false" customHeight="true" outlineLevel="0" collapsed="false">
      <c r="A133" s="10" t="n">
        <v>129</v>
      </c>
      <c r="B133" s="6" t="s">
        <v>651</v>
      </c>
      <c r="C133" s="7" t="s">
        <v>270</v>
      </c>
      <c r="D133" s="7" t="s">
        <v>653</v>
      </c>
      <c r="E133" s="11" t="n">
        <f aca="false">COUNTIF(DATA!A:A,B133)</f>
        <v>2</v>
      </c>
      <c r="F133" s="11" t="n">
        <f aca="false">COUNTIFS(DATA!A:A,B133,DATA!G:G,"CONFIRMADO")</f>
        <v>0</v>
      </c>
      <c r="G133" s="5" t="str">
        <f aca="false">IF(E133=0,"SIN DATA",IF(F133=E133,"✅ COMPLETO",IF(F133&gt;0,"🔄 PARCIAL",IF(COUNTIFS(DATA!A:A,B133,DATA!G:G,"PENDIENTE")=E133,"⏳ PENDIENTE","⚠ MIXTO"))))</f>
        <v>⏳ PENDIENTE</v>
      </c>
      <c r="H133" s="12" t="str">
        <f aca="false">"Hola "&amp;IFERROR(LEFT(TRIM(MID(B133,FIND(" ",B133,FIND(" ",B133)+1)+1,100)),IFERROR(FIND(" ",TRIM(MID(B133,FIND(" ",B133,FIND(" ",B133)+1)+1,100)))-1,100)),TRIM(MID(B133,FIND(" ",B133&amp;" ")+1,100)))&amp;", buen día."&amp;CHAR(10)&amp;CHAR(10)&amp;"Te escribo porque "&amp;E133&amp;" personas de tu equipo aún no se han sentado en el Capítulo 1:"&amp;CHAR(10)&amp;CHAR(10)&amp;"1. Sharick Lidumar Falcon Castaneda
2. Yohnny Falcon Rufino"&amp;CHAR(10)&amp;CHAR(10)&amp;"El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Guido, buen día.
Te escribo porque 2 personas de tu equipo aún no se han sentado en el Capítulo 1:
1. Sharick Lidumar Falcon Castaneda
2. Yohnny Falcon Rufino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4" customFormat="false" ht="300" hidden="false" customHeight="true" outlineLevel="0" collapsed="false">
      <c r="A134" s="13" t="n">
        <v>130</v>
      </c>
      <c r="B134" s="3" t="s">
        <v>656</v>
      </c>
      <c r="C134" s="4" t="s">
        <v>270</v>
      </c>
      <c r="D134" s="4" t="s">
        <v>657</v>
      </c>
      <c r="E134" s="14" t="n">
        <f aca="false">COUNTIF(DATA!A:A,B134)</f>
        <v>14</v>
      </c>
      <c r="F134" s="14" t="n">
        <f aca="false">COUNTIFS(DATA!A:A,B134,DATA!G:G,"CONFIRMADO")</f>
        <v>0</v>
      </c>
      <c r="G134" s="5" t="str">
        <f aca="false">IF(E134=0,"SIN DATA",IF(F134=E134,"✅ COMPLETO",IF(F134&gt;0,"🔄 PARCIAL",IF(COUNTIFS(DATA!A:A,B134,DATA!G:G,"PENDIENTE")=E134,"⏳ PENDIENTE","⚠ MIXTO"))))</f>
        <v>⏳ PENDIENTE</v>
      </c>
      <c r="H134" s="12" t="str">
        <f aca="false">"Hola "&amp;IFERROR(LEFT(TRIM(MID(B134,FIND(" ",B134,FIND(" ",B134)+1)+1,100)),IFERROR(FIND(" ",TRIM(MID(B134,FIND(" ",B134,FIND(" ",B134)+1)+1,100)))-1,100)),TRIM(MID(B134,FIND(" ",B134&amp;" ")+1,100)))&amp;", buen día."&amp;CHAR(10)&amp;CHAR(10)&amp;"Te escribo porque "&amp;E134&amp;" personas de tu equipo aún no se han sentado en el Capítulo 1:"&amp;CHAR(10)&amp;CHAR(10)&amp;"1. Deysi Milagros Jurupe Del Carpio
2. Luciana Georgina Barbieri Galecio
3. Aline Jarumi Gomez Chavez
4. Claudia Maria Flores Bohorquez
5. Janet Rodriguez Salazar
6. Juan Gerardo Oriundo Verastegui
7. Lidia Isabel Pereza Strat
8. Edita Ayala Querevalu
9. Celestina Eliana Miranda Vega
10. Armando Cesar Guzman Alarcon
11. Doris Noemi Gutierrez Tolentino
12. Juan Carlos Perez Arrascue
13. Yolanda Maribel Cabello Portocarrero
14. Juan Carlos Charun"&amp;CHAR(10)&amp;CHAR(10)&amp;"El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Diego, buen día.
Te escribo porque 14 personas de tu equipo aún no se han sentado en el Capítulo 1:
1. Deysi Milagros Jurupe Del Carpio
2. Luciana Georgina Barbieri Galecio
3. Aline Jarumi Gomez Chavez
4. Claudia Maria Flores Bohorquez
5. Janet Rodriguez Salazar
6. Juan Gerardo Oriundo Verastegui
7. Lidia Isabel Pereza Strat
8. Edita Ayala Querevalu
9. Celestina Eliana Miranda Vega
10. Armando Cesar Guzman Alarcon
11. Doris Noemi Gutierrez Tolentino
12. Juan Carlos Perez Arrascue
13. Yolanda Maribel Cabello Portocarrero
14. Juan Carlos Charun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5" customFormat="false" ht="120" hidden="false" customHeight="true" outlineLevel="0" collapsed="false">
      <c r="A135" s="10" t="n">
        <v>131</v>
      </c>
      <c r="B135" s="6" t="s">
        <v>672</v>
      </c>
      <c r="C135" s="7" t="s">
        <v>270</v>
      </c>
      <c r="D135" s="7" t="s">
        <v>673</v>
      </c>
      <c r="E135" s="11" t="n">
        <f aca="false">COUNTIF(DATA!A:A,B135)</f>
        <v>2</v>
      </c>
      <c r="F135" s="11" t="n">
        <f aca="false">COUNTIFS(DATA!A:A,B135,DATA!G:G,"CONFIRMADO")</f>
        <v>0</v>
      </c>
      <c r="G135" s="5" t="str">
        <f aca="false">IF(E135=0,"SIN DATA",IF(F135=E135,"✅ COMPLETO",IF(F135&gt;0,"🔄 PARCIAL",IF(COUNTIFS(DATA!A:A,B135,DATA!G:G,"PENDIENTE")=E135,"⏳ PENDIENTE","⚠ MIXTO"))))</f>
        <v>⏳ PENDIENTE</v>
      </c>
      <c r="H135" s="12" t="str">
        <f aca="false">"Hola "&amp;IFERROR(LEFT(TRIM(MID(B135,FIND(" ",B135,FIND(" ",B135)+1)+1,100)),IFERROR(FIND(" ",TRIM(MID(B135,FIND(" ",B135,FIND(" ",B135)+1)+1,100)))-1,100)),TRIM(MID(B135,FIND(" ",B135&amp;" ")+1,100)))&amp;", buen día."&amp;CHAR(10)&amp;CHAR(10)&amp;"Te escribo porque "&amp;E135&amp;" personas de tu equipo aún no se han sentado en el Capítulo 1:"&amp;CHAR(10)&amp;CHAR(10)&amp;"1. Dalia Otilia Trinidad Rojas
2. Claudia Gianela Trinidad Carrascal"&amp;CHAR(10)&amp;CHAR(10)&amp;"El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Cristian, buen día.
Te escribo porque 2 personas de tu equipo aún no se han sentado en el Capítulo 1:
1. Dalia Otilia Trinidad Rojas
2. Claudia Gianela Trinidad Carrascal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6" customFormat="false" ht="180" hidden="false" customHeight="true" outlineLevel="0" collapsed="false">
      <c r="A136" s="13" t="n">
        <v>132</v>
      </c>
      <c r="B136" s="3" t="s">
        <v>676</v>
      </c>
      <c r="C136" s="4" t="s">
        <v>270</v>
      </c>
      <c r="D136" s="4" t="s">
        <v>678</v>
      </c>
      <c r="E136" s="14" t="n">
        <f aca="false">COUNTIF(DATA!A:A,B136)</f>
        <v>6</v>
      </c>
      <c r="F136" s="14" t="n">
        <f aca="false">COUNTIFS(DATA!A:A,B136,DATA!G:G,"CONFIRMADO")</f>
        <v>0</v>
      </c>
      <c r="G136" s="5" t="str">
        <f aca="false">IF(E136=0,"SIN DATA",IF(F136=E136,"✅ COMPLETO",IF(F136&gt;0,"🔄 PARCIAL",IF(COUNTIFS(DATA!A:A,B136,DATA!G:G,"PENDIENTE")=E136,"⏳ PENDIENTE","⚠ MIXTO"))))</f>
        <v>⏳ PENDIENTE</v>
      </c>
      <c r="H136" s="12" t="str">
        <f aca="false">"Hola "&amp;IFERROR(LEFT(TRIM(MID(B136,FIND(" ",B136,FIND(" ",B136)+1)+1,100)),IFERROR(FIND(" ",TRIM(MID(B136,FIND(" ",B136,FIND(" ",B136)+1)+1,100)))-1,100)),TRIM(MID(B136,FIND(" ",B136&amp;" ")+1,100)))&amp;", buen día."&amp;CHAR(10)&amp;CHAR(10)&amp;"Te escribo porque "&amp;E136&amp;" personas de tu equipo aún no se han sentado en el Capítulo 1:"&amp;CHAR(10)&amp;CHAR(10)&amp;"1. Diego Orlando Reyes Cabrera
2. Maritza Katherine Plasencia Romero
3. Fabiola Herrera
4. Jennifer Castillo Cerna
5. Angelica Herrera Palomino
6. Kathia Zumaeta"&amp;CHAR(10)&amp;CHAR(10)&amp;"El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Piero, buen día.
Te escribo porque 6 personas de tu equipo aún no se han sentado en el Capítulo 1:
1. Diego Orlando Reyes Cabrera
2. Maritza Katherine Plasencia Romero
3. Fabiola Herrera
4. Jennifer Castillo Cerna
5. Angelica Herrera Palomino
6. Kathia Zumaeta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7" customFormat="false" ht="105" hidden="false" customHeight="true" outlineLevel="0" collapsed="false">
      <c r="A137" s="10" t="n">
        <v>133</v>
      </c>
      <c r="B137" s="6" t="s">
        <v>685</v>
      </c>
      <c r="C137" s="7" t="s">
        <v>270</v>
      </c>
      <c r="D137" s="7" t="s">
        <v>686</v>
      </c>
      <c r="E137" s="11" t="n">
        <f aca="false">COUNTIF(DATA!A:A,B137)</f>
        <v>1</v>
      </c>
      <c r="F137" s="11" t="n">
        <f aca="false">COUNTIFS(DATA!A:A,B137,DATA!G:G,"CONFIRMADO")</f>
        <v>0</v>
      </c>
      <c r="G137" s="5" t="str">
        <f aca="false">IF(E137=0,"SIN DATA",IF(F137=E137,"✅ COMPLETO",IF(F137&gt;0,"🔄 PARCIAL",IF(COUNTIFS(DATA!A:A,B137,DATA!G:G,"PENDIENTE")=E137,"⏳ PENDIENTE","⚠ MIXTO"))))</f>
        <v>⏳ PENDIENTE</v>
      </c>
      <c r="H137" s="12" t="str">
        <f aca="false">"Hola "&amp;IFERROR(LEFT(TRIM(MID(B137,FIND(" ",B137,FIND(" ",B137)+1)+1,100)),IFERROR(FIND(" ",TRIM(MID(B137,FIND(" ",B137,FIND(" ",B137)+1)+1,100)))-1,100)),TRIM(MID(B137,FIND(" ",B137&amp;" ")+1,100)))&amp;", buen día."&amp;CHAR(10)&amp;CHAR(10)&amp;"Te escribo porque una persona de tu equipo aún no se ha sentado en el Capítulo 1:"&amp;CHAR(10)&amp;CHAR(10)&amp;"1. Luis Alonso Flores Bazan"&amp;CHAR(10)&amp;CHAR(10)&amp;"El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Jorge, buen día.
Te escribo porque una persona de tu equipo aún no se ha sentado en el Capítulo 1:
1. Luis Alonso Flores Bazan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38" customFormat="false" ht="120" hidden="false" customHeight="true" outlineLevel="0" collapsed="false">
      <c r="A138" s="13" t="n">
        <v>134</v>
      </c>
      <c r="B138" s="3" t="s">
        <v>688</v>
      </c>
      <c r="C138" s="4" t="s">
        <v>270</v>
      </c>
      <c r="D138" s="4" t="s">
        <v>690</v>
      </c>
      <c r="E138" s="14" t="n">
        <f aca="false">COUNTIF(DATA!A:A,B138)</f>
        <v>2</v>
      </c>
      <c r="F138" s="14" t="n">
        <f aca="false">COUNTIFS(DATA!A:A,B138,DATA!G:G,"CONFIRMADO")</f>
        <v>0</v>
      </c>
      <c r="G138" s="5" t="str">
        <f aca="false">IF(E138=0,"SIN DATA",IF(F138=E138,"✅ COMPLETO",IF(F138&gt;0,"🔄 PARCIAL",IF(COUNTIFS(DATA!A:A,B138,DATA!G:G,"PENDIENTE")=E138,"⏳ PENDIENTE","⚠ MIXTO"))))</f>
        <v>⏳ PENDIENTE</v>
      </c>
      <c r="H138" s="12" t="str">
        <f aca="false">"Hola "&amp;IFERROR(LEFT(TRIM(MID(B138,FIND(" ",B138,FIND(" ",B138)+1)+1,100)),IFERROR(FIND(" ",TRIM(MID(B138,FIND(" ",B138,FIND(" ",B138)+1)+1,100)))-1,100)),TRIM(MID(B138,FIND(" ",B138&amp;" ")+1,100)))&amp;", buen día."&amp;CHAR(10)&amp;CHAR(10)&amp;"Te escribo porque "&amp;E138&amp;" personas de tu equipo aún no se han sentado en el Capítulo 1:"&amp;CHAR(10)&amp;CHAR(10)&amp;"1. Raquel Garcia
2. Martha Ttito Ttito"&amp;CHAR(10)&amp;CHAR(10)&amp;"El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Felipe, buen día.
Te escribo porque 2 personas de tu equipo aún no se han sentado en el Capítulo 1:
1. Raquel Garcia
2. Martha Ttito Ttito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39" customFormat="false" ht="195" hidden="false" customHeight="true" outlineLevel="0" collapsed="false">
      <c r="A139" s="10" t="n">
        <v>135</v>
      </c>
      <c r="B139" s="6" t="s">
        <v>693</v>
      </c>
      <c r="C139" s="7" t="s">
        <v>270</v>
      </c>
      <c r="D139" s="7" t="s">
        <v>695</v>
      </c>
      <c r="E139" s="11" t="n">
        <f aca="false">COUNTIF(DATA!A:A,B139)</f>
        <v>7</v>
      </c>
      <c r="F139" s="11" t="n">
        <f aca="false">COUNTIFS(DATA!A:A,B139,DATA!G:G,"CONFIRMADO")</f>
        <v>0</v>
      </c>
      <c r="G139" s="5" t="str">
        <f aca="false">IF(E139=0,"SIN DATA",IF(F139=E139,"✅ COMPLETO",IF(F139&gt;0,"🔄 PARCIAL",IF(COUNTIFS(DATA!A:A,B139,DATA!G:G,"PENDIENTE")=E139,"⏳ PENDIENTE","⚠ MIXTO"))))</f>
        <v>⏳ PENDIENTE</v>
      </c>
      <c r="H139" s="12" t="str">
        <f aca="false">"Hola "&amp;IFERROR(LEFT(TRIM(MID(B139,FIND(" ",B139,FIND(" ",B139)+1)+1,100)),IFERROR(FIND(" ",TRIM(MID(B139,FIND(" ",B139,FIND(" ",B139)+1)+1,100)))-1,100)),TRIM(MID(B139,FIND(" ",B139&amp;" ")+1,100)))&amp;", buen día."&amp;CHAR(10)&amp;CHAR(10)&amp;"Te escribo porque "&amp;E139&amp;" personas de tu equipo aún no se han sentado en el Capítulo 1:"&amp;CHAR(10)&amp;CHAR(10)&amp;"1. Daniela Silvestre Salinas
2. Gloria Lizama
3. Gary Lopez De Paz
4. Cristina Lachi Perez
5. Rogelia Solorzano Leyva
6. Pompeyo Vinces  Silva
7. Gladis Landa Sifuentes"&amp;CHAR(10)&amp;CHAR(10)&amp;"El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Figueroa, buen día.
Te escribo porque 7 personas de tu equipo aún no se han sentado en el Capítulo 1:
1. Daniela Silvestre Salinas
2. Gloria Lizama
3. Gary Lopez De Paz
4. Cristina Lachi Perez
5. Rogelia Solorzano Leyva
6. Pompeyo Vinces  Silva
7. Gladis Landa Sifuentes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0" customFormat="false" ht="120" hidden="false" customHeight="true" outlineLevel="0" collapsed="false">
      <c r="A140" s="13" t="n">
        <v>136</v>
      </c>
      <c r="B140" s="3" t="s">
        <v>703</v>
      </c>
      <c r="C140" s="4" t="s">
        <v>270</v>
      </c>
      <c r="D140" s="4" t="s">
        <v>705</v>
      </c>
      <c r="E140" s="14" t="n">
        <f aca="false">COUNTIF(DATA!A:A,B140)</f>
        <v>2</v>
      </c>
      <c r="F140" s="14" t="n">
        <f aca="false">COUNTIFS(DATA!A:A,B140,DATA!G:G,"CONFIRMADO")</f>
        <v>0</v>
      </c>
      <c r="G140" s="5" t="str">
        <f aca="false">IF(E140=0,"SIN DATA",IF(F140=E140,"✅ COMPLETO",IF(F140&gt;0,"🔄 PARCIAL",IF(COUNTIFS(DATA!A:A,B140,DATA!G:G,"PENDIENTE")=E140,"⏳ PENDIENTE","⚠ MIXTO"))))</f>
        <v>⏳ PENDIENTE</v>
      </c>
      <c r="H140" s="12" t="str">
        <f aca="false">"Hola "&amp;IFERROR(LEFT(TRIM(MID(B140,FIND(" ",B140,FIND(" ",B140)+1)+1,100)),IFERROR(FIND(" ",TRIM(MID(B140,FIND(" ",B140,FIND(" ",B140)+1)+1,100)))-1,100)),TRIM(MID(B140,FIND(" ",B140&amp;" ")+1,100)))&amp;", buen día."&amp;CHAR(10)&amp;CHAR(10)&amp;"Te escribo porque "&amp;E140&amp;" personas de tu equipo aún no se han sentado en el Capítulo 1:"&amp;CHAR(10)&amp;CHAR(10)&amp;"1. Norelia Antonia Tuse Pena De Quispe
2. Brindo Fidel Rosales Dias"&amp;CHAR(10)&amp;CHAR(10)&amp;"El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Leonardo, buen día.
Te escribo porque 2 personas de tu equipo aún no se han sentado en el Capítulo 1:
1. Norelia Antonia Tuse Pena De Quispe
2. Brindo Fidel Rosales Dias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1" customFormat="false" ht="135" hidden="false" customHeight="true" outlineLevel="0" collapsed="false">
      <c r="A141" s="10" t="n">
        <v>137</v>
      </c>
      <c r="B141" s="6" t="s">
        <v>708</v>
      </c>
      <c r="C141" s="7" t="s">
        <v>270</v>
      </c>
      <c r="D141" s="7" t="s">
        <v>710</v>
      </c>
      <c r="E141" s="11" t="n">
        <f aca="false">COUNTIF(DATA!A:A,B141)</f>
        <v>3</v>
      </c>
      <c r="F141" s="11" t="n">
        <f aca="false">COUNTIFS(DATA!A:A,B141,DATA!G:G,"CONFIRMADO")</f>
        <v>0</v>
      </c>
      <c r="G141" s="5" t="str">
        <f aca="false">IF(E141=0,"SIN DATA",IF(F141=E141,"✅ COMPLETO",IF(F141&gt;0,"🔄 PARCIAL",IF(COUNTIFS(DATA!A:A,B141,DATA!G:G,"PENDIENTE")=E141,"⏳ PENDIENTE","⚠ MIXTO"))))</f>
        <v>⏳ PENDIENTE</v>
      </c>
      <c r="H141" s="12" t="str">
        <f aca="false">"Hola "&amp;IFERROR(LEFT(TRIM(MID(B141,FIND(" ",B141,FIND(" ",B141)+1)+1,100)),IFERROR(FIND(" ",TRIM(MID(B141,FIND(" ",B141,FIND(" ",B141)+1)+1,100)))-1,100)),TRIM(MID(B141,FIND(" ",B141&amp;" ")+1,100)))&amp;", buen día."&amp;CHAR(10)&amp;CHAR(10)&amp;"Te escribo porque "&amp;E141&amp;" personas de tu equipo aún no se han sentado en el Capítulo 1:"&amp;CHAR(10)&amp;CHAR(10)&amp;"1. Jordan Diego Tan Diaz
2. Celestino Anastacio Argumedo Chirinos
3. Paola Carlota Nicho Garcia"&amp;CHAR(10)&amp;CHAR(10)&amp;"El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Luz, buen día.
Te escribo porque 3 personas de tu equipo aún no se han sentado en el Capítulo 1:
1. Jordan Diego Tan Diaz
2. Celestino Anastacio Argumedo Chirinos
3. Paola Carlota Nicho Garcia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2" customFormat="false" ht="285" hidden="false" customHeight="true" outlineLevel="0" collapsed="false">
      <c r="A142" s="13" t="n">
        <v>138</v>
      </c>
      <c r="B142" s="3" t="s">
        <v>714</v>
      </c>
      <c r="C142" s="4" t="s">
        <v>270</v>
      </c>
      <c r="D142" s="4" t="s">
        <v>716</v>
      </c>
      <c r="E142" s="14" t="n">
        <f aca="false">COUNTIF(DATA!A:A,B142)</f>
        <v>13</v>
      </c>
      <c r="F142" s="14" t="n">
        <f aca="false">COUNTIFS(DATA!A:A,B142,DATA!G:G,"CONFIRMADO")</f>
        <v>0</v>
      </c>
      <c r="G142" s="5" t="str">
        <f aca="false">IF(E142=0,"SIN DATA",IF(F142=E142,"✅ COMPLETO",IF(F142&gt;0,"🔄 PARCIAL",IF(COUNTIFS(DATA!A:A,B142,DATA!G:G,"PENDIENTE")=E142,"⏳ PENDIENTE","⚠ MIXTO"))))</f>
        <v>⏳ PENDIENTE</v>
      </c>
      <c r="H142" s="12" t="str">
        <f aca="false">"Hola "&amp;IFERROR(LEFT(TRIM(MID(B142,FIND(" ",B142,FIND(" ",B142)+1)+1,100)),IFERROR(FIND(" ",TRIM(MID(B142,FIND(" ",B142,FIND(" ",B142)+1)+1,100)))-1,100)),TRIM(MID(B142,FIND(" ",B142&amp;" ")+1,100)))&amp;", buen día."&amp;CHAR(10)&amp;CHAR(10)&amp;"Te escribo porque "&amp;E142&amp;" personas de tu equipo aún no se han sentado en el Capítulo 1:"&amp;CHAR(10)&amp;CHAR(10)&amp;"1. Carlos Mao Teran Rodriguez
2. Sofia Gabriela Elsa Teran Pinto
3. Gianelli Ramos Gil
4. Ximena Alexandra Torres Sayre
5. Jorge Jordano Munoz Manchego
6. Moises Fernando Colquehuanca Saldivar
7. Meilyn Alexandra Aquije Araujo
8. Jefferson Miguel Tola Ramos
9. Anyela Soto Loayza
10. Roger Angelo Munoz Manchego
11. Sofia Teran Rodriguez
12. Rafael Francisco Sarmiento Cordova
13. Raphael Hurtado Prado"&amp;CHAR(10)&amp;CHAR(10)&amp;"El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Nicole, buen día.
Te escribo porque 13 personas de tu equipo aún no se han sentado en el Capítulo 1:
1. Carlos Mao Teran Rodriguez
2. Sofia Gabriela Elsa Teran Pinto
3. Gianelli Ramos Gil
4. Ximena Alexandra Torres Sayre
5. Jorge Jordano Munoz Manchego
6. Moises Fernando Colquehuanca Saldivar
7. Meilyn Alexandra Aquije Araujo
8. Jefferson Miguel Tola Ramos
9. Anyela Soto Loayza
10. Roger Angelo Munoz Manchego
11. Sofia Teran Rodriguez
12. Rafael Francisco Sarmiento Cordova
13. Raphael Hurtado Prado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3" customFormat="false" ht="105" hidden="false" customHeight="true" outlineLevel="0" collapsed="false">
      <c r="A143" s="10" t="n">
        <v>139</v>
      </c>
      <c r="B143" s="6" t="s">
        <v>730</v>
      </c>
      <c r="C143" s="7" t="s">
        <v>270</v>
      </c>
      <c r="D143" s="7" t="s">
        <v>732</v>
      </c>
      <c r="E143" s="11" t="n">
        <f aca="false">COUNTIF(DATA!A:A,B143)</f>
        <v>1</v>
      </c>
      <c r="F143" s="11" t="n">
        <f aca="false">COUNTIFS(DATA!A:A,B143,DATA!G:G,"CONFIRMADO")</f>
        <v>0</v>
      </c>
      <c r="G143" s="5" t="str">
        <f aca="false">IF(E143=0,"SIN DATA",IF(F143=E143,"✅ COMPLETO",IF(F143&gt;0,"🔄 PARCIAL",IF(COUNTIFS(DATA!A:A,B143,DATA!G:G,"PENDIENTE")=E143,"⏳ PENDIENTE","⚠ MIXTO"))))</f>
        <v>⏳ PENDIENTE</v>
      </c>
      <c r="H143" s="12" t="str">
        <f aca="false">"Hola "&amp;IFERROR(LEFT(TRIM(MID(B143,FIND(" ",B143,FIND(" ",B143)+1)+1,100)),IFERROR(FIND(" ",TRIM(MID(B143,FIND(" ",B143,FIND(" ",B143)+1)+1,100)))-1,100)),TRIM(MID(B143,FIND(" ",B143&amp;" ")+1,100)))&amp;", buen día."&amp;CHAR(10)&amp;CHAR(10)&amp;"Te escribo porque una persona de tu equipo aún no se ha sentado en el Capítulo 1:"&amp;CHAR(10)&amp;CHAR(10)&amp;"1. Carmen Jhosselyn De La Cruz Vasquez"&amp;CHAR(10)&amp;CHAR(10)&amp;"El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Luz, buen día.
Te escribo porque una persona de tu equipo aún no se ha sentado en el Capítulo 1:
1. Carmen Jhosselyn De La Cruz Vasquez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44" customFormat="false" ht="150" hidden="false" customHeight="true" outlineLevel="0" collapsed="false">
      <c r="A144" s="13" t="n">
        <v>140</v>
      </c>
      <c r="B144" s="3" t="s">
        <v>734</v>
      </c>
      <c r="C144" s="4" t="s">
        <v>270</v>
      </c>
      <c r="D144" s="4" t="s">
        <v>736</v>
      </c>
      <c r="E144" s="14" t="n">
        <f aca="false">COUNTIF(DATA!A:A,B144)</f>
        <v>4</v>
      </c>
      <c r="F144" s="14" t="n">
        <f aca="false">COUNTIFS(DATA!A:A,B144,DATA!G:G,"CONFIRMADO")</f>
        <v>0</v>
      </c>
      <c r="G144" s="5" t="str">
        <f aca="false">IF(E144=0,"SIN DATA",IF(F144=E144,"✅ COMPLETO",IF(F144&gt;0,"🔄 PARCIAL",IF(COUNTIFS(DATA!A:A,B144,DATA!G:G,"PENDIENTE")=E144,"⏳ PENDIENTE","⚠ MIXTO"))))</f>
        <v>⏳ PENDIENTE</v>
      </c>
      <c r="H144" s="12" t="str">
        <f aca="false">"Hola "&amp;IFERROR(LEFT(TRIM(MID(B144,FIND(" ",B144,FIND(" ",B144)+1)+1,100)),IFERROR(FIND(" ",TRIM(MID(B144,FIND(" ",B144,FIND(" ",B144)+1)+1,100)))-1,100)),TRIM(MID(B144,FIND(" ",B144&amp;" ")+1,100)))&amp;", buen día."&amp;CHAR(10)&amp;CHAR(10)&amp;"Te escribo porque "&amp;E144&amp;" personas de tu equipo aún no se han sentado en el Capítulo 1:"&amp;CHAR(10)&amp;CHAR(10)&amp;"1. Christian Cama Arratia
2. Wilfredo Hurtado Espinoza
3. Richer Llanque Turpo
4. Marycielo Andrea Ticona Aquino"&amp;CHAR(10)&amp;CHAR(10)&amp;"El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Richard, buen día.
Te escribo porque 4 personas de tu equipo aún no se han sentado en el Capítulo 1:
1. Christian Cama Arratia
2. Wilfredo Hurtado Espinoza
3. Richer Llanque Turpo
4. Marycielo Andrea Ticona Aquino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5" customFormat="false" ht="105" hidden="false" customHeight="true" outlineLevel="0" collapsed="false">
      <c r="A145" s="10" t="n">
        <v>141</v>
      </c>
      <c r="B145" s="6" t="s">
        <v>741</v>
      </c>
      <c r="C145" s="7" t="s">
        <v>270</v>
      </c>
      <c r="D145" s="7" t="s">
        <v>743</v>
      </c>
      <c r="E145" s="11" t="n">
        <f aca="false">COUNTIF(DATA!A:A,B145)</f>
        <v>1</v>
      </c>
      <c r="F145" s="11" t="n">
        <f aca="false">COUNTIFS(DATA!A:A,B145,DATA!G:G,"CONFIRMADO")</f>
        <v>0</v>
      </c>
      <c r="G145" s="5" t="str">
        <f aca="false">IF(E145=0,"SIN DATA",IF(F145=E145,"✅ COMPLETO",IF(F145&gt;0,"🔄 PARCIAL",IF(COUNTIFS(DATA!A:A,B145,DATA!G:G,"PENDIENTE")=E145,"⏳ PENDIENTE","⚠ MIXTO"))))</f>
        <v>⏳ PENDIENTE</v>
      </c>
      <c r="H145" s="12" t="str">
        <f aca="false">"Hola "&amp;IFERROR(LEFT(TRIM(MID(B145,FIND(" ",B145,FIND(" ",B145)+1)+1,100)),IFERROR(FIND(" ",TRIM(MID(B145,FIND(" ",B145,FIND(" ",B145)+1)+1,100)))-1,100)),TRIM(MID(B145,FIND(" ",B145&amp;" ")+1,100)))&amp;", buen día."&amp;CHAR(10)&amp;CHAR(10)&amp;"Te escribo porque una persona de tu equipo aún no se ha sentado en el Capítulo 1:"&amp;CHAR(10)&amp;CHAR(10)&amp;"1. Marycielo Montalban Cortez"&amp;CHAR(10)&amp;CHAR(10)&amp;"El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Yesenia, buen día.
Te escribo porque una persona de tu equipo aún no se ha sentado en el Capítulo 1:
1. Marycielo Montalban Cortez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46" customFormat="false" ht="270" hidden="false" customHeight="true" outlineLevel="0" collapsed="false">
      <c r="A146" s="13" t="n">
        <v>142</v>
      </c>
      <c r="B146" s="3" t="s">
        <v>745</v>
      </c>
      <c r="C146" s="4" t="s">
        <v>270</v>
      </c>
      <c r="D146" s="4" t="s">
        <v>747</v>
      </c>
      <c r="E146" s="14" t="n">
        <f aca="false">COUNTIF(DATA!A:A,B146)</f>
        <v>12</v>
      </c>
      <c r="F146" s="14" t="n">
        <f aca="false">COUNTIFS(DATA!A:A,B146,DATA!G:G,"CONFIRMADO")</f>
        <v>0</v>
      </c>
      <c r="G146" s="5" t="str">
        <f aca="false">IF(E146=0,"SIN DATA",IF(F146=E146,"✅ COMPLETO",IF(F146&gt;0,"🔄 PARCIAL",IF(COUNTIFS(DATA!A:A,B146,DATA!G:G,"PENDIENTE")=E146,"⏳ PENDIENTE","⚠ MIXTO"))))</f>
        <v>⏳ PENDIENTE</v>
      </c>
      <c r="H146" s="12" t="str">
        <f aca="false">"Hola "&amp;IFERROR(LEFT(TRIM(MID(B146,FIND(" ",B146,FIND(" ",B146)+1)+1,100)),IFERROR(FIND(" ",TRIM(MID(B146,FIND(" ",B146,FIND(" ",B146)+1)+1,100)))-1,100)),TRIM(MID(B146,FIND(" ",B146&amp;" ")+1,100)))&amp;", buen día."&amp;CHAR(10)&amp;CHAR(10)&amp;"Te escribo porque "&amp;E146&amp;" personas de tu equipo aún no se han sentado en el Capítulo 1:"&amp;CHAR(10)&amp;CHAR(10)&amp;"1. Estefani De Los Angeles Cordova Nunez
2. Jorge Luis Acaro Cordova
3. Gorma Aparicio Jipa Pizango
4. Mileny Merly Hurtado Casimiro
5. Arellys Yanireth Capcha Camones
6. Andred Alexander Cordova Vicuna
7. Misshell Pilar Munoz Diaz
8. Deborath Jannette Vilchez Suarez
9. Ledi Diana Farro Ruiz
10. Moises Cantaro Herrera
11. Elias Moises Taipe Buendia
12. Orlando Alexander Carmen Carbajal"&amp;CHAR(10)&amp;CHAR(10)&amp;"El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Joselyn, buen día.
Te escribo porque 12 personas de tu equipo aún no se han sentado en el Capítulo 1:
1. Estefani De Los Angeles Cordova Nunez
2. Jorge Luis Acaro Cordova
3. Gorma Aparicio Jipa Pizango
4. Mileny Merly Hurtado Casimiro
5. Arellys Yanireth Capcha Camones
6. Andred Alexander Cordova Vicuna
7. Misshell Pilar Munoz Diaz
8. Deborath Jannette Vilchez Suarez
9. Ledi Diana Farro Ruiz
10. Moises Cantaro Herrera
11. Elias Moises Taipe Buendia
12. Orlando Alexander Carmen Carbajal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47" customFormat="false" ht="105" hidden="false" customHeight="true" outlineLevel="0" collapsed="false">
      <c r="A147" s="10" t="n">
        <v>143</v>
      </c>
      <c r="B147" s="6" t="s">
        <v>760</v>
      </c>
      <c r="C147" s="7" t="s">
        <v>270</v>
      </c>
      <c r="D147" s="7" t="s">
        <v>762</v>
      </c>
      <c r="E147" s="11" t="n">
        <f aca="false">COUNTIF(DATA!A:A,B147)</f>
        <v>1</v>
      </c>
      <c r="F147" s="11" t="n">
        <f aca="false">COUNTIFS(DATA!A:A,B147,DATA!G:G,"CONFIRMADO")</f>
        <v>0</v>
      </c>
      <c r="G147" s="5" t="str">
        <f aca="false">IF(E147=0,"SIN DATA",IF(F147=E147,"✅ COMPLETO",IF(F147&gt;0,"🔄 PARCIAL",IF(COUNTIFS(DATA!A:A,B147,DATA!G:G,"PENDIENTE")=E147,"⏳ PENDIENTE","⚠ MIXTO"))))</f>
        <v>⏳ PENDIENTE</v>
      </c>
      <c r="H147" s="12" t="str">
        <f aca="false">"Hola "&amp;IFERROR(LEFT(TRIM(MID(B147,FIND(" ",B147,FIND(" ",B147)+1)+1,100)),IFERROR(FIND(" ",TRIM(MID(B147,FIND(" ",B147,FIND(" ",B147)+1)+1,100)))-1,100)),TRIM(MID(B147,FIND(" ",B147&amp;" ")+1,100)))&amp;", buen día."&amp;CHAR(10)&amp;CHAR(10)&amp;"Te escribo porque una persona de tu equipo aún no se ha sentado en el Capítulo 1:"&amp;CHAR(10)&amp;CHAR(10)&amp;"1. Alisson Katherine Duran Narvaez"&amp;CHAR(10)&amp;CHAR(10)&amp;"El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Yuhenlys, buen día.
Te escribo porque una persona de tu equipo aún no se ha sentado en el Capítulo 1:
1. Alisson Katherine Duran Narvaez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48" customFormat="false" ht="105" hidden="false" customHeight="true" outlineLevel="0" collapsed="false">
      <c r="A148" s="13" t="n">
        <v>144</v>
      </c>
      <c r="B148" s="3" t="s">
        <v>764</v>
      </c>
      <c r="C148" s="4" t="s">
        <v>270</v>
      </c>
      <c r="D148" s="4" t="s">
        <v>765</v>
      </c>
      <c r="E148" s="14" t="n">
        <f aca="false">COUNTIF(DATA!A:A,B148)</f>
        <v>1</v>
      </c>
      <c r="F148" s="14" t="n">
        <f aca="false">COUNTIFS(DATA!A:A,B148,DATA!G:G,"CONFIRMADO")</f>
        <v>0</v>
      </c>
      <c r="G148" s="5" t="str">
        <f aca="false">IF(E148=0,"SIN DATA",IF(F148=E148,"✅ COMPLETO",IF(F148&gt;0,"🔄 PARCIAL",IF(COUNTIFS(DATA!A:A,B148,DATA!G:G,"PENDIENTE")=E148,"⏳ PENDIENTE","⚠ MIXTO"))))</f>
        <v>⏳ PENDIENTE</v>
      </c>
      <c r="H148" s="12" t="str">
        <f aca="false">"Hola "&amp;IFERROR(LEFT(TRIM(MID(B148,FIND(" ",B148,FIND(" ",B148)+1)+1,100)),IFERROR(FIND(" ",TRIM(MID(B148,FIND(" ",B148,FIND(" ",B148)+1)+1,100)))-1,100)),TRIM(MID(B148,FIND(" ",B148&amp;" ")+1,100)))&amp;", buen día."&amp;CHAR(10)&amp;CHAR(10)&amp;"Te escribo porque una persona de tu equipo aún no se ha sentado en el Capítulo 1:"&amp;CHAR(10)&amp;CHAR(10)&amp;"1. Ivan Eduardo Verastegui Rosales"&amp;CHAR(10)&amp;CHAR(10)&amp;"El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Milagros, buen día.
Te escribo porque una persona de tu equipo aún no se ha sentado en el Capítulo 1:
1. Ivan Eduardo Verastegui Rosales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49" customFormat="false" ht="150" hidden="false" customHeight="true" outlineLevel="0" collapsed="false">
      <c r="A149" s="10" t="n">
        <v>145</v>
      </c>
      <c r="B149" s="6" t="s">
        <v>767</v>
      </c>
      <c r="C149" s="7" t="s">
        <v>270</v>
      </c>
      <c r="D149" s="7" t="s">
        <v>769</v>
      </c>
      <c r="E149" s="11" t="n">
        <f aca="false">COUNTIF(DATA!A:A,B149)</f>
        <v>4</v>
      </c>
      <c r="F149" s="11" t="n">
        <f aca="false">COUNTIFS(DATA!A:A,B149,DATA!G:G,"CONFIRMADO")</f>
        <v>0</v>
      </c>
      <c r="G149" s="5" t="str">
        <f aca="false">IF(E149=0,"SIN DATA",IF(F149=E149,"✅ COMPLETO",IF(F149&gt;0,"🔄 PARCIAL",IF(COUNTIFS(DATA!A:A,B149,DATA!G:G,"PENDIENTE")=E149,"⏳ PENDIENTE","⚠ MIXTO"))))</f>
        <v>⏳ PENDIENTE</v>
      </c>
      <c r="H149" s="12" t="str">
        <f aca="false">"Hola "&amp;IFERROR(LEFT(TRIM(MID(B149,FIND(" ",B149,FIND(" ",B149)+1)+1,100)),IFERROR(FIND(" ",TRIM(MID(B149,FIND(" ",B149,FIND(" ",B149)+1)+1,100)))-1,100)),TRIM(MID(B149,FIND(" ",B149&amp;" ")+1,100)))&amp;", buen día."&amp;CHAR(10)&amp;CHAR(10)&amp;"Te escribo porque "&amp;E149&amp;" personas de tu equipo aún no se han sentado en el Capítulo 1:"&amp;CHAR(10)&amp;CHAR(10)&amp;"1. Tatiana Ore Castillo
2. Jeferson Jose Antonio Mollinedo Bances
3. Erica Nallely Ramirez Lema
4. Hugo Alexander Velasquez Condori"&amp;CHAR(10)&amp;CHAR(10)&amp;"El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Justo, buen día.
Te escribo porque 4 personas de tu equipo aún no se han sentado en el Capítulo 1:
1. Tatiana Ore Castillo
2. Jeferson Jose Antonio Mollinedo Bances
3. Erica Nallely Ramirez Lema
4. Hugo Alexander Velasquez Condori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0" customFormat="false" ht="120" hidden="false" customHeight="true" outlineLevel="0" collapsed="false">
      <c r="A150" s="13" t="n">
        <v>146</v>
      </c>
      <c r="B150" s="3" t="s">
        <v>774</v>
      </c>
      <c r="C150" s="4" t="s">
        <v>270</v>
      </c>
      <c r="D150" s="4" t="s">
        <v>776</v>
      </c>
      <c r="E150" s="14" t="n">
        <f aca="false">COUNTIF(DATA!A:A,B150)</f>
        <v>2</v>
      </c>
      <c r="F150" s="14" t="n">
        <f aca="false">COUNTIFS(DATA!A:A,B150,DATA!G:G,"CONFIRMADO")</f>
        <v>0</v>
      </c>
      <c r="G150" s="5" t="str">
        <f aca="false">IF(E150=0,"SIN DATA",IF(F150=E150,"✅ COMPLETO",IF(F150&gt;0,"🔄 PARCIAL",IF(COUNTIFS(DATA!A:A,B150,DATA!G:G,"PENDIENTE")=E150,"⏳ PENDIENTE","⚠ MIXTO"))))</f>
        <v>⏳ PENDIENTE</v>
      </c>
      <c r="H150" s="12" t="str">
        <f aca="false">"Hola "&amp;IFERROR(LEFT(TRIM(MID(B150,FIND(" ",B150,FIND(" ",B150)+1)+1,100)),IFERROR(FIND(" ",TRIM(MID(B150,FIND(" ",B150,FIND(" ",B150)+1)+1,100)))-1,100)),TRIM(MID(B150,FIND(" ",B150&amp;" ")+1,100)))&amp;", buen día."&amp;CHAR(10)&amp;CHAR(10)&amp;"Te escribo porque "&amp;E150&amp;" personas de tu equipo aún no se han sentado en el Capítulo 1:"&amp;CHAR(10)&amp;CHAR(10)&amp;"1. Jose Enrique Rivera Sajami
2. Angela Godoy Francisco"&amp;CHAR(10)&amp;CHAR(10)&amp;"El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Yahaira, buen día.
Te escribo porque 2 personas de tu equipo aún no se han sentado en el Capítulo 1:
1. Jose Enrique Rivera Sajami
2. Angela Godoy Francisco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1" customFormat="false" ht="150" hidden="false" customHeight="true" outlineLevel="0" collapsed="false">
      <c r="A151" s="10" t="n">
        <v>147</v>
      </c>
      <c r="B151" s="6" t="s">
        <v>779</v>
      </c>
      <c r="C151" s="7" t="s">
        <v>270</v>
      </c>
      <c r="D151" s="7" t="s">
        <v>781</v>
      </c>
      <c r="E151" s="11" t="n">
        <f aca="false">COUNTIF(DATA!A:A,B151)</f>
        <v>4</v>
      </c>
      <c r="F151" s="11" t="n">
        <f aca="false">COUNTIFS(DATA!A:A,B151,DATA!G:G,"CONFIRMADO")</f>
        <v>0</v>
      </c>
      <c r="G151" s="5" t="str">
        <f aca="false">IF(E151=0,"SIN DATA",IF(F151=E151,"✅ COMPLETO",IF(F151&gt;0,"🔄 PARCIAL",IF(COUNTIFS(DATA!A:A,B151,DATA!G:G,"PENDIENTE")=E151,"⏳ PENDIENTE","⚠ MIXTO"))))</f>
        <v>⏳ PENDIENTE</v>
      </c>
      <c r="H151" s="12" t="str">
        <f aca="false">"Hola "&amp;IFERROR(LEFT(TRIM(MID(B151,FIND(" ",B151,FIND(" ",B151)+1)+1,100)),IFERROR(FIND(" ",TRIM(MID(B151,FIND(" ",B151,FIND(" ",B151)+1)+1,100)))-1,100)),TRIM(MID(B151,FIND(" ",B151&amp;" ")+1,100)))&amp;", buen día."&amp;CHAR(10)&amp;CHAR(10)&amp;"Te escribo porque "&amp;E151&amp;" personas de tu equipo aún no se han sentado en el Capítulo 1:"&amp;CHAR(10)&amp;CHAR(10)&amp;"1. Janeth Patricia Cienfuegos Hernandez
2. Allison Gabriela Medina Santa Cruz
3. Edward William Gamboa Avila
4. Yan Yaranga Guerrero"&amp;CHAR(10)&amp;CHAR(10)&amp;"El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Hipolita, buen día.
Te escribo porque 4 personas de tu equipo aún no se han sentado en el Capítulo 1:
1. Janeth Patricia Cienfuegos Hernandez
2. Allison Gabriela Medina Santa Cruz
3. Edward William Gamboa Avila
4. Yan Yaranga Guerrero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2" customFormat="false" ht="105" hidden="false" customHeight="true" outlineLevel="0" collapsed="false">
      <c r="A152" s="13" t="n">
        <v>148</v>
      </c>
      <c r="B152" s="3" t="s">
        <v>786</v>
      </c>
      <c r="C152" s="4" t="s">
        <v>270</v>
      </c>
      <c r="D152" s="4" t="s">
        <v>788</v>
      </c>
      <c r="E152" s="14" t="n">
        <f aca="false">COUNTIF(DATA!A:A,B152)</f>
        <v>1</v>
      </c>
      <c r="F152" s="14" t="n">
        <f aca="false">COUNTIFS(DATA!A:A,B152,DATA!G:G,"CONFIRMADO")</f>
        <v>0</v>
      </c>
      <c r="G152" s="5" t="str">
        <f aca="false">IF(E152=0,"SIN DATA",IF(F152=E152,"✅ COMPLETO",IF(F152&gt;0,"🔄 PARCIAL",IF(COUNTIFS(DATA!A:A,B152,DATA!G:G,"PENDIENTE")=E152,"⏳ PENDIENTE","⚠ MIXTO"))))</f>
        <v>⏳ PENDIENTE</v>
      </c>
      <c r="H152" s="12" t="str">
        <f aca="false">"Hola "&amp;IFERROR(LEFT(TRIM(MID(B152,FIND(" ",B152,FIND(" ",B152)+1)+1,100)),IFERROR(FIND(" ",TRIM(MID(B152,FIND(" ",B152,FIND(" ",B152)+1)+1,100)))-1,100)),TRIM(MID(B152,FIND(" ",B152&amp;" ")+1,100)))&amp;", buen día."&amp;CHAR(10)&amp;CHAR(10)&amp;"Te escribo porque una persona de tu equipo aún no se ha sentado en el Capítulo 1:"&amp;CHAR(10)&amp;CHAR(10)&amp;"1. Eldridge Isaias Aquino Guerrero"&amp;CHAR(10)&amp;CHAR(10)&amp;"El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Rhania, buen día.
Te escribo porque una persona de tu equipo aún no se ha sentado en el Capítulo 1:
1. Eldridge Isaias Aquino Guerrero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53" customFormat="false" ht="120" hidden="false" customHeight="true" outlineLevel="0" collapsed="false">
      <c r="A153" s="10" t="n">
        <v>149</v>
      </c>
      <c r="B153" s="6" t="s">
        <v>790</v>
      </c>
      <c r="C153" s="7" t="s">
        <v>14</v>
      </c>
      <c r="D153" s="7" t="s">
        <v>791</v>
      </c>
      <c r="E153" s="11" t="n">
        <f aca="false">COUNTIF(DATA!A:A,B153)</f>
        <v>2</v>
      </c>
      <c r="F153" s="11" t="n">
        <f aca="false">COUNTIFS(DATA!A:A,B153,DATA!G:G,"CONFIRMADO")</f>
        <v>0</v>
      </c>
      <c r="G153" s="5" t="str">
        <f aca="false">IF(E153=0,"SIN DATA",IF(F153=E153,"✅ COMPLETO",IF(F153&gt;0,"🔄 PARCIAL",IF(COUNTIFS(DATA!A:A,B153,DATA!G:G,"PENDIENTE")=E153,"⏳ PENDIENTE","⚠ MIXTO"))))</f>
        <v>⏳ PENDIENTE</v>
      </c>
      <c r="H153" s="12" t="str">
        <f aca="false">"Hola "&amp;IFERROR(LEFT(TRIM(MID(B153,FIND(" ",B153,FIND(" ",B153)+1)+1,100)),IFERROR(FIND(" ",TRIM(MID(B153,FIND(" ",B153,FIND(" ",B153)+1)+1,100)))-1,100)),TRIM(MID(B153,FIND(" ",B153&amp;" ")+1,100)))&amp;", buen día."&amp;CHAR(10)&amp;CHAR(10)&amp;"Te escribo porque "&amp;E153&amp;" personas de tu equipo aún no se han sentado en el Capítulo 1:"&amp;CHAR(10)&amp;CHAR(10)&amp;"1. Carmen Rosa Ampuero
2. Lynne Yadira Benites Salazar"&amp;CHAR(10)&amp;CHAR(10)&amp;"El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Roxana, buen día.
Te escribo porque 2 personas de tu equipo aún no se han sentado en el Capítulo 1:
1. Carmen Rosa Ampuero
2. Lynne Yadira Benites Salazar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4" customFormat="false" ht="135" hidden="false" customHeight="true" outlineLevel="0" collapsed="false">
      <c r="A154" s="13" t="n">
        <v>150</v>
      </c>
      <c r="B154" s="3" t="s">
        <v>794</v>
      </c>
      <c r="C154" s="4" t="s">
        <v>14</v>
      </c>
      <c r="D154" s="4" t="s">
        <v>796</v>
      </c>
      <c r="E154" s="14" t="n">
        <f aca="false">COUNTIF(DATA!A:A,B154)</f>
        <v>3</v>
      </c>
      <c r="F154" s="14" t="n">
        <f aca="false">COUNTIFS(DATA!A:A,B154,DATA!G:G,"CONFIRMADO")</f>
        <v>0</v>
      </c>
      <c r="G154" s="5" t="str">
        <f aca="false">IF(E154=0,"SIN DATA",IF(F154=E154,"✅ COMPLETO",IF(F154&gt;0,"🔄 PARCIAL",IF(COUNTIFS(DATA!A:A,B154,DATA!G:G,"PENDIENTE")=E154,"⏳ PENDIENTE","⚠ MIXTO"))))</f>
        <v>⏳ PENDIENTE</v>
      </c>
      <c r="H154" s="12" t="str">
        <f aca="false">"Hola "&amp;IFERROR(LEFT(TRIM(MID(B154,FIND(" ",B154,FIND(" ",B154)+1)+1,100)),IFERROR(FIND(" ",TRIM(MID(B154,FIND(" ",B154,FIND(" ",B154)+1)+1,100)))-1,100)),TRIM(MID(B154,FIND(" ",B154&amp;" ")+1,100)))&amp;", buen día."&amp;CHAR(10)&amp;CHAR(10)&amp;"Te escribo porque "&amp;E154&amp;" personas de tu equipo aún no se han sentado en el Capítulo 1:"&amp;CHAR(10)&amp;CHAR(10)&amp;"1. Renzo Raynir Lliego Mendoza
2. Ernesto Bruhs Sanchez Ramirez
3. Brayan Jesus Moscoso Gutierrez"&amp;CHAR(10)&amp;CHAR(10)&amp;"El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Guillermo, buen día.
Te escribo porque 3 personas de tu equipo aún no se han sentado en el Capítulo 1:
1. Renzo Raynir Lliego Mendoza
2. Ernesto Bruhs Sanchez Ramirez
3. Brayan Jesus Moscoso Gutierrez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5" customFormat="false" ht="105" hidden="false" customHeight="true" outlineLevel="0" collapsed="false">
      <c r="A155" s="10" t="n">
        <v>151</v>
      </c>
      <c r="B155" s="6" t="s">
        <v>800</v>
      </c>
      <c r="C155" s="7" t="s">
        <v>14</v>
      </c>
      <c r="D155" s="7" t="s">
        <v>802</v>
      </c>
      <c r="E155" s="11" t="n">
        <f aca="false">COUNTIF(DATA!A:A,B155)</f>
        <v>1</v>
      </c>
      <c r="F155" s="11" t="n">
        <f aca="false">COUNTIFS(DATA!A:A,B155,DATA!G:G,"CONFIRMADO")</f>
        <v>0</v>
      </c>
      <c r="G155" s="5" t="str">
        <f aca="false">IF(E155=0,"SIN DATA",IF(F155=E155,"✅ COMPLETO",IF(F155&gt;0,"🔄 PARCIAL",IF(COUNTIFS(DATA!A:A,B155,DATA!G:G,"PENDIENTE")=E155,"⏳ PENDIENTE","⚠ MIXTO"))))</f>
        <v>⏳ PENDIENTE</v>
      </c>
      <c r="H155" s="12" t="str">
        <f aca="false">"Hola "&amp;IFERROR(LEFT(TRIM(MID(B155,FIND(" ",B155,FIND(" ",B155)+1)+1,100)),IFERROR(FIND(" ",TRIM(MID(B155,FIND(" ",B155,FIND(" ",B155)+1)+1,100)))-1,100)),TRIM(MID(B155,FIND(" ",B155&amp;" ")+1,100)))&amp;", buen día."&amp;CHAR(10)&amp;CHAR(10)&amp;"Te escribo porque una persona de tu equipo aún no se ha sentado en el Capítulo 1:"&amp;CHAR(10)&amp;CHAR(10)&amp;"1. Evelyn Anabelle Suclupe Monteza"&amp;CHAR(10)&amp;CHAR(10)&amp;"El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Miguel, buen día.
Te escribo porque una persona de tu equipo aún no se ha sentado en el Capítulo 1:
1. Evelyn Anabelle Suclupe Monteza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56" customFormat="false" ht="105" hidden="false" customHeight="true" outlineLevel="0" collapsed="false">
      <c r="A156" s="13" t="n">
        <v>152</v>
      </c>
      <c r="B156" s="3" t="s">
        <v>804</v>
      </c>
      <c r="C156" s="4" t="s">
        <v>14</v>
      </c>
      <c r="D156" s="4" t="s">
        <v>805</v>
      </c>
      <c r="E156" s="14" t="n">
        <f aca="false">COUNTIF(DATA!A:A,B156)</f>
        <v>1</v>
      </c>
      <c r="F156" s="14" t="n">
        <f aca="false">COUNTIFS(DATA!A:A,B156,DATA!G:G,"CONFIRMADO")</f>
        <v>0</v>
      </c>
      <c r="G156" s="5" t="str">
        <f aca="false">IF(E156=0,"SIN DATA",IF(F156=E156,"✅ COMPLETO",IF(F156&gt;0,"🔄 PARCIAL",IF(COUNTIFS(DATA!A:A,B156,DATA!G:G,"PENDIENTE")=E156,"⏳ PENDIENTE","⚠ MIXTO"))))</f>
        <v>⏳ PENDIENTE</v>
      </c>
      <c r="H156" s="12" t="str">
        <f aca="false">"Hola "&amp;IFERROR(LEFT(TRIM(MID(B156,FIND(" ",B156,FIND(" ",B156)+1)+1,100)),IFERROR(FIND(" ",TRIM(MID(B156,FIND(" ",B156,FIND(" ",B156)+1)+1,100)))-1,100)),TRIM(MID(B156,FIND(" ",B156&amp;" ")+1,100)))&amp;", buen día."&amp;CHAR(10)&amp;CHAR(10)&amp;"Te escribo porque una persona de tu equipo aún no se ha sentado en el Capítulo 1:"&amp;CHAR(10)&amp;CHAR(10)&amp;"1. Fabrizio Marcelo Diaz Lopez"&amp;CHAR(10)&amp;CHAR(10)&amp;"El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Jose, buen día.
Te escribo porque una persona de tu equipo aún no se ha sentado en el Capítulo 1:
1. Fabrizio Marcelo Diaz Lopez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57" customFormat="false" ht="135" hidden="false" customHeight="true" outlineLevel="0" collapsed="false">
      <c r="A157" s="10" t="n">
        <v>153</v>
      </c>
      <c r="B157" s="6" t="s">
        <v>807</v>
      </c>
      <c r="C157" s="7" t="s">
        <v>14</v>
      </c>
      <c r="D157" s="7" t="s">
        <v>808</v>
      </c>
      <c r="E157" s="11" t="n">
        <f aca="false">COUNTIF(DATA!A:A,B157)</f>
        <v>3</v>
      </c>
      <c r="F157" s="11" t="n">
        <f aca="false">COUNTIFS(DATA!A:A,B157,DATA!G:G,"CONFIRMADO")</f>
        <v>0</v>
      </c>
      <c r="G157" s="5" t="str">
        <f aca="false">IF(E157=0,"SIN DATA",IF(F157=E157,"✅ COMPLETO",IF(F157&gt;0,"🔄 PARCIAL",IF(COUNTIFS(DATA!A:A,B157,DATA!G:G,"PENDIENTE")=E157,"⏳ PENDIENTE","⚠ MIXTO"))))</f>
        <v>⏳ PENDIENTE</v>
      </c>
      <c r="H157" s="12" t="str">
        <f aca="false">"Hola "&amp;IFERROR(LEFT(TRIM(MID(B157,FIND(" ",B157,FIND(" ",B157)+1)+1,100)),IFERROR(FIND(" ",TRIM(MID(B157,FIND(" ",B157,FIND(" ",B157)+1)+1,100)))-1,100)),TRIM(MID(B157,FIND(" ",B157&amp;" ")+1,100)))&amp;", buen día."&amp;CHAR(10)&amp;CHAR(10)&amp;"Te escribo porque "&amp;E157&amp;" personas de tu equipo aún no se han sentado en el Capítulo 1:"&amp;CHAR(10)&amp;CHAR(10)&amp;"1. Carolina Sarmiento
2. Erick Marcelo Escobar Huertas
3. Alessandra Jara Pessagno"&amp;CHAR(10)&amp;CHAR(10)&amp;"El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Cruz, buen día.
Te escribo porque 3 personas de tu equipo aún no se han sentado en el Capítulo 1:
1. Carolina Sarmiento
2. Erick Marcelo Escobar Huertas
3. Alessandra Jara Pessagno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8" customFormat="false" ht="120" hidden="false" customHeight="true" outlineLevel="0" collapsed="false">
      <c r="A158" s="13" t="n">
        <v>154</v>
      </c>
      <c r="B158" s="3" t="s">
        <v>812</v>
      </c>
      <c r="C158" s="4" t="s">
        <v>14</v>
      </c>
      <c r="D158" s="4" t="s">
        <v>813</v>
      </c>
      <c r="E158" s="14" t="n">
        <f aca="false">COUNTIF(DATA!A:A,B158)</f>
        <v>2</v>
      </c>
      <c r="F158" s="14" t="n">
        <f aca="false">COUNTIFS(DATA!A:A,B158,DATA!G:G,"CONFIRMADO")</f>
        <v>0</v>
      </c>
      <c r="G158" s="5" t="str">
        <f aca="false">IF(E158=0,"SIN DATA",IF(F158=E158,"✅ COMPLETO",IF(F158&gt;0,"🔄 PARCIAL",IF(COUNTIFS(DATA!A:A,B158,DATA!G:G,"PENDIENTE")=E158,"⏳ PENDIENTE","⚠ MIXTO"))))</f>
        <v>⏳ PENDIENTE</v>
      </c>
      <c r="H158" s="12" t="str">
        <f aca="false">"Hola "&amp;IFERROR(LEFT(TRIM(MID(B158,FIND(" ",B158,FIND(" ",B158)+1)+1,100)),IFERROR(FIND(" ",TRIM(MID(B158,FIND(" ",B158,FIND(" ",B158)+1)+1,100)))-1,100)),TRIM(MID(B158,FIND(" ",B158&amp;" ")+1,100)))&amp;", buen día."&amp;CHAR(10)&amp;CHAR(10)&amp;"Te escribo porque "&amp;E158&amp;" personas de tu equipo aún no se han sentado en el Capítulo 1:"&amp;CHAR(10)&amp;CHAR(10)&amp;"1. Yanira Akemi Castilla Yupanqui
2. Marilyn Ivette Gomez Uribe"&amp;CHAR(10)&amp;CHAR(10)&amp;"El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Nancy, buen día.
Te escribo porque 2 personas de tu equipo aún no se han sentado en el Capítulo 1:
1. Yanira Akemi Castilla Yupanqui
2. Marilyn Ivette Gomez Uribe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59" customFormat="false" ht="210" hidden="false" customHeight="true" outlineLevel="0" collapsed="false">
      <c r="A159" s="10" t="n">
        <v>155</v>
      </c>
      <c r="B159" s="6" t="s">
        <v>816</v>
      </c>
      <c r="C159" s="7" t="s">
        <v>14</v>
      </c>
      <c r="D159" s="7" t="s">
        <v>818</v>
      </c>
      <c r="E159" s="11" t="n">
        <f aca="false">COUNTIF(DATA!A:A,B159)</f>
        <v>8</v>
      </c>
      <c r="F159" s="11" t="n">
        <f aca="false">COUNTIFS(DATA!A:A,B159,DATA!G:G,"CONFIRMADO")</f>
        <v>0</v>
      </c>
      <c r="G159" s="5" t="str">
        <f aca="false">IF(E159=0,"SIN DATA",IF(F159=E159,"✅ COMPLETO",IF(F159&gt;0,"🔄 PARCIAL",IF(COUNTIFS(DATA!A:A,B159,DATA!G:G,"PENDIENTE")=E159,"⏳ PENDIENTE","⚠ MIXTO"))))</f>
        <v>⏳ PENDIENTE</v>
      </c>
      <c r="H159" s="12" t="str">
        <f aca="false">"Hola "&amp;IFERROR(LEFT(TRIM(MID(B159,FIND(" ",B159,FIND(" ",B159)+1)+1,100)),IFERROR(FIND(" ",TRIM(MID(B159,FIND(" ",B159,FIND(" ",B159)+1)+1,100)))-1,100)),TRIM(MID(B159,FIND(" ",B159&amp;" ")+1,100)))&amp;", buen día."&amp;CHAR(10)&amp;CHAR(10)&amp;"Te escribo porque "&amp;E159&amp;" personas de tu equipo aún no se han sentado en el Capítulo 1:"&amp;CHAR(10)&amp;CHAR(10)&amp;"1. Wilson Torres Estela
2. Jeiner Coronado Barroso
3. Heraclio Juan Mendoza Camasca
4. William Carvajal Salazar
5. Hugo Benigno Casimiro Huaman
6. Wasignton Rios Allcca
7. Fanny Tello Aroste
8. Milagros Victoria Campos Gamarra"&amp;CHAR(10)&amp;CHAR(10)&amp;"El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Sergio, buen día.
Te escribo porque 8 personas de tu equipo aún no se han sentado en el Capítulo 1:
1. Wilson Torres Estela
2. Jeiner Coronado Barroso
3. Heraclio Juan Mendoza Camasca
4. William Carvajal Salazar
5. Hugo Benigno Casimiro Huaman
6. Wasignton Rios Allcca
7. Fanny Tello Aroste
8. Milagros Victoria Campos Gamarra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0" customFormat="false" ht="105" hidden="false" customHeight="true" outlineLevel="0" collapsed="false">
      <c r="A160" s="13" t="n">
        <v>156</v>
      </c>
      <c r="B160" s="3" t="s">
        <v>827</v>
      </c>
      <c r="C160" s="4" t="s">
        <v>14</v>
      </c>
      <c r="D160" s="4" t="s">
        <v>829</v>
      </c>
      <c r="E160" s="14" t="n">
        <f aca="false">COUNTIF(DATA!A:A,B160)</f>
        <v>1</v>
      </c>
      <c r="F160" s="14" t="n">
        <f aca="false">COUNTIFS(DATA!A:A,B160,DATA!G:G,"CONFIRMADO")</f>
        <v>0</v>
      </c>
      <c r="G160" s="5" t="str">
        <f aca="false">IF(E160=0,"SIN DATA",IF(F160=E160,"✅ COMPLETO",IF(F160&gt;0,"🔄 PARCIAL",IF(COUNTIFS(DATA!A:A,B160,DATA!G:G,"PENDIENTE")=E160,"⏳ PENDIENTE","⚠ MIXTO"))))</f>
        <v>⏳ PENDIENTE</v>
      </c>
      <c r="H160" s="12" t="str">
        <f aca="false">"Hola "&amp;IFERROR(LEFT(TRIM(MID(B160,FIND(" ",B160,FIND(" ",B160)+1)+1,100)),IFERROR(FIND(" ",TRIM(MID(B160,FIND(" ",B160,FIND(" ",B160)+1)+1,100)))-1,100)),TRIM(MID(B160,FIND(" ",B160&amp;" ")+1,100)))&amp;", buen día."&amp;CHAR(10)&amp;CHAR(10)&amp;"Te escribo porque una persona de tu equipo aún no se ha sentado en el Capítulo 1:"&amp;CHAR(10)&amp;CHAR(10)&amp;"1. Russell Rimas Romero"&amp;CHAR(10)&amp;CHAR(10)&amp;"El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Julia, buen día.
Te escribo porque una persona de tu equipo aún no se ha sentado en el Capítulo 1:
1. Russell Rimas Romero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61" customFormat="false" ht="105" hidden="false" customHeight="true" outlineLevel="0" collapsed="false">
      <c r="A161" s="10" t="n">
        <v>157</v>
      </c>
      <c r="B161" s="6" t="s">
        <v>831</v>
      </c>
      <c r="C161" s="7" t="s">
        <v>14</v>
      </c>
      <c r="D161" s="7" t="s">
        <v>832</v>
      </c>
      <c r="E161" s="11" t="n">
        <f aca="false">COUNTIF(DATA!A:A,B161)</f>
        <v>1</v>
      </c>
      <c r="F161" s="11" t="n">
        <f aca="false">COUNTIFS(DATA!A:A,B161,DATA!G:G,"CONFIRMADO")</f>
        <v>0</v>
      </c>
      <c r="G161" s="5" t="str">
        <f aca="false">IF(E161=0,"SIN DATA",IF(F161=E161,"✅ COMPLETO",IF(F161&gt;0,"🔄 PARCIAL",IF(COUNTIFS(DATA!A:A,B161,DATA!G:G,"PENDIENTE")=E161,"⏳ PENDIENTE","⚠ MIXTO"))))</f>
        <v>⏳ PENDIENTE</v>
      </c>
      <c r="H161" s="12" t="str">
        <f aca="false">"Hola "&amp;IFERROR(LEFT(TRIM(MID(B161,FIND(" ",B161,FIND(" ",B161)+1)+1,100)),IFERROR(FIND(" ",TRIM(MID(B161,FIND(" ",B161,FIND(" ",B161)+1)+1,100)))-1,100)),TRIM(MID(B161,FIND(" ",B161&amp;" ")+1,100)))&amp;", buen día."&amp;CHAR(10)&amp;CHAR(10)&amp;"Te escribo porque una persona de tu equipo aún no se ha sentado en el Capítulo 1:"&amp;CHAR(10)&amp;CHAR(10)&amp;"1. Richar Soto Marcos"&amp;CHAR(10)&amp;CHAR(10)&amp;"El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Maria, buen día.
Te escribo porque una persona de tu equipo aún no se ha sentado en el Capítulo 1:
1. Richar Soto Marcos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62" customFormat="false" ht="105" hidden="false" customHeight="true" outlineLevel="0" collapsed="false">
      <c r="A162" s="13" t="n">
        <v>158</v>
      </c>
      <c r="B162" s="3" t="s">
        <v>834</v>
      </c>
      <c r="C162" s="4" t="s">
        <v>14</v>
      </c>
      <c r="D162" s="4" t="s">
        <v>836</v>
      </c>
      <c r="E162" s="14" t="n">
        <f aca="false">COUNTIF(DATA!A:A,B162)</f>
        <v>1</v>
      </c>
      <c r="F162" s="14" t="n">
        <f aca="false">COUNTIFS(DATA!A:A,B162,DATA!G:G,"CONFIRMADO")</f>
        <v>0</v>
      </c>
      <c r="G162" s="5" t="str">
        <f aca="false">IF(E162=0,"SIN DATA",IF(F162=E162,"✅ COMPLETO",IF(F162&gt;0,"🔄 PARCIAL",IF(COUNTIFS(DATA!A:A,B162,DATA!G:G,"PENDIENTE")=E162,"⏳ PENDIENTE","⚠ MIXTO"))))</f>
        <v>⏳ PENDIENTE</v>
      </c>
      <c r="H162" s="12" t="str">
        <f aca="false">"Hola "&amp;IFERROR(LEFT(TRIM(MID(B162,FIND(" ",B162,FIND(" ",B162)+1)+1,100)),IFERROR(FIND(" ",TRIM(MID(B162,FIND(" ",B162,FIND(" ",B162)+1)+1,100)))-1,100)),TRIM(MID(B162,FIND(" ",B162&amp;" ")+1,100)))&amp;", buen día."&amp;CHAR(10)&amp;CHAR(10)&amp;"Te escribo porque una persona de tu equipo aún no se ha sentado en el Capítulo 1:"&amp;CHAR(10)&amp;CHAR(10)&amp;"1. Patty Soledad Ramos Paricahua"&amp;CHAR(10)&amp;CHAR(10)&amp;"El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Paulina, buen día.
Te escribo porque una persona de tu equipo aún no se ha sentado en el Capítulo 1:
1. Patty Soledad Ramos Paricahua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63" customFormat="false" ht="135" hidden="false" customHeight="true" outlineLevel="0" collapsed="false">
      <c r="A163" s="10" t="n">
        <v>159</v>
      </c>
      <c r="B163" s="6" t="s">
        <v>838</v>
      </c>
      <c r="C163" s="7" t="s">
        <v>14</v>
      </c>
      <c r="D163" s="7" t="s">
        <v>840</v>
      </c>
      <c r="E163" s="11" t="n">
        <f aca="false">COUNTIF(DATA!A:A,B163)</f>
        <v>3</v>
      </c>
      <c r="F163" s="11" t="n">
        <f aca="false">COUNTIFS(DATA!A:A,B163,DATA!G:G,"CONFIRMADO")</f>
        <v>0</v>
      </c>
      <c r="G163" s="5" t="str">
        <f aca="false">IF(E163=0,"SIN DATA",IF(F163=E163,"✅ COMPLETO",IF(F163&gt;0,"🔄 PARCIAL",IF(COUNTIFS(DATA!A:A,B163,DATA!G:G,"PENDIENTE")=E163,"⏳ PENDIENTE","⚠ MIXTO"))))</f>
        <v>⏳ PENDIENTE</v>
      </c>
      <c r="H163" s="12" t="str">
        <f aca="false">"Hola "&amp;IFERROR(LEFT(TRIM(MID(B163,FIND(" ",B163,FIND(" ",B163)+1)+1,100)),IFERROR(FIND(" ",TRIM(MID(B163,FIND(" ",B163,FIND(" ",B163)+1)+1,100)))-1,100)),TRIM(MID(B163,FIND(" ",B163&amp;" ")+1,100)))&amp;", buen día."&amp;CHAR(10)&amp;CHAR(10)&amp;"Te escribo porque "&amp;E163&amp;" personas de tu equipo aún no se han sentado en el Capítulo 1:"&amp;CHAR(10)&amp;CHAR(10)&amp;"1. Mahycol Christian Aguirre Arraya
2. Zenaida Huarcusi Candia
3. Yesmenia Tairo Pallara"&amp;CHAR(10)&amp;CHAR(10)&amp;"El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Eduardo, buen día.
Te escribo porque 3 personas de tu equipo aún no se han sentado en el Capítulo 1:
1. Mahycol Christian Aguirre Arraya
2. Zenaida Huarcusi Candia
3. Yesmenia Tairo Pallara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4" customFormat="false" ht="105" hidden="false" customHeight="true" outlineLevel="0" collapsed="false">
      <c r="A164" s="13" t="n">
        <v>160</v>
      </c>
      <c r="B164" s="3" t="s">
        <v>844</v>
      </c>
      <c r="C164" s="4" t="s">
        <v>14</v>
      </c>
      <c r="D164" s="4" t="s">
        <v>846</v>
      </c>
      <c r="E164" s="14" t="n">
        <f aca="false">COUNTIF(DATA!A:A,B164)</f>
        <v>1</v>
      </c>
      <c r="F164" s="14" t="n">
        <f aca="false">COUNTIFS(DATA!A:A,B164,DATA!G:G,"CONFIRMADO")</f>
        <v>0</v>
      </c>
      <c r="G164" s="5" t="str">
        <f aca="false">IF(E164=0,"SIN DATA",IF(F164=E164,"✅ COMPLETO",IF(F164&gt;0,"🔄 PARCIAL",IF(COUNTIFS(DATA!A:A,B164,DATA!G:G,"PENDIENTE")=E164,"⏳ PENDIENTE","⚠ MIXTO"))))</f>
        <v>⏳ PENDIENTE</v>
      </c>
      <c r="H164" s="12" t="str">
        <f aca="false">"Hola "&amp;IFERROR(LEFT(TRIM(MID(B164,FIND(" ",B164,FIND(" ",B164)+1)+1,100)),IFERROR(FIND(" ",TRIM(MID(B164,FIND(" ",B164,FIND(" ",B164)+1)+1,100)))-1,100)),TRIM(MID(B164,FIND(" ",B164&amp;" ")+1,100)))&amp;", buen día."&amp;CHAR(10)&amp;CHAR(10)&amp;"Te escribo porque una persona de tu equipo aún no se ha sentado en el Capítulo 1:"&amp;CHAR(10)&amp;CHAR(10)&amp;"1. Roger Chino Ramos"&amp;CHAR(10)&amp;CHAR(10)&amp;"El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Pedro, buen día.
Te escribo porque una persona de tu equipo aún no se ha sentado en el Capítulo 1:
1. Roger Chino Ramos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65" customFormat="false" ht="150" hidden="false" customHeight="true" outlineLevel="0" collapsed="false">
      <c r="A165" s="10" t="n">
        <v>161</v>
      </c>
      <c r="B165" s="6" t="s">
        <v>848</v>
      </c>
      <c r="C165" s="7" t="s">
        <v>14</v>
      </c>
      <c r="D165" s="7" t="s">
        <v>850</v>
      </c>
      <c r="E165" s="11" t="n">
        <f aca="false">COUNTIF(DATA!A:A,B165)</f>
        <v>4</v>
      </c>
      <c r="F165" s="11" t="n">
        <f aca="false">COUNTIFS(DATA!A:A,B165,DATA!G:G,"CONFIRMADO")</f>
        <v>0</v>
      </c>
      <c r="G165" s="5" t="str">
        <f aca="false">IF(E165=0,"SIN DATA",IF(F165=E165,"✅ COMPLETO",IF(F165&gt;0,"🔄 PARCIAL",IF(COUNTIFS(DATA!A:A,B165,DATA!G:G,"PENDIENTE")=E165,"⏳ PENDIENTE","⚠ MIXTO"))))</f>
        <v>⏳ PENDIENTE</v>
      </c>
      <c r="H165" s="12" t="str">
        <f aca="false">"Hola "&amp;IFERROR(LEFT(TRIM(MID(B165,FIND(" ",B165,FIND(" ",B165)+1)+1,100)),IFERROR(FIND(" ",TRIM(MID(B165,FIND(" ",B165,FIND(" ",B165)+1)+1,100)))-1,100)),TRIM(MID(B165,FIND(" ",B165&amp;" ")+1,100)))&amp;", buen día."&amp;CHAR(10)&amp;CHAR(10)&amp;"Te escribo porque "&amp;E165&amp;" personas de tu equipo aún no se han sentado en el Capítulo 1:"&amp;CHAR(10)&amp;CHAR(10)&amp;"1. Etienne Manuel Rios Laynez
2. Eleana Paola Catacora Salas
3. Catherine Francesca Ore Mapuriano
4. Anarela Luiguina Silvera Raymondi"&amp;CHAR(10)&amp;CHAR(10)&amp;"El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Solange, buen día.
Te escribo porque 4 personas de tu equipo aún no se han sentado en el Capítulo 1:
1. Etienne Manuel Rios Laynez
2. Eleana Paola Catacora Salas
3. Catherine Francesca Ore Mapuriano
4. Anarela Luiguina Silvera Raymondi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6" customFormat="false" ht="120" hidden="false" customHeight="true" outlineLevel="0" collapsed="false">
      <c r="A166" s="13" t="n">
        <v>162</v>
      </c>
      <c r="B166" s="3" t="s">
        <v>855</v>
      </c>
      <c r="C166" s="4" t="s">
        <v>14</v>
      </c>
      <c r="D166" s="4" t="s">
        <v>857</v>
      </c>
      <c r="E166" s="14" t="n">
        <f aca="false">COUNTIF(DATA!A:A,B166)</f>
        <v>2</v>
      </c>
      <c r="F166" s="14" t="n">
        <f aca="false">COUNTIFS(DATA!A:A,B166,DATA!G:G,"CONFIRMADO")</f>
        <v>0</v>
      </c>
      <c r="G166" s="5" t="str">
        <f aca="false">IF(E166=0,"SIN DATA",IF(F166=E166,"✅ COMPLETO",IF(F166&gt;0,"🔄 PARCIAL",IF(COUNTIFS(DATA!A:A,B166,DATA!G:G,"PENDIENTE")=E166,"⏳ PENDIENTE","⚠ MIXTO"))))</f>
        <v>⏳ PENDIENTE</v>
      </c>
      <c r="H166" s="12" t="str">
        <f aca="false">"Hola "&amp;IFERROR(LEFT(TRIM(MID(B166,FIND(" ",B166,FIND(" ",B166)+1)+1,100)),IFERROR(FIND(" ",TRIM(MID(B166,FIND(" ",B166,FIND(" ",B166)+1)+1,100)))-1,100)),TRIM(MID(B166,FIND(" ",B166&amp;" ")+1,100)))&amp;", buen día."&amp;CHAR(10)&amp;CHAR(10)&amp;"Te escribo porque "&amp;E166&amp;" personas de tu equipo aún no se han sentado en el Capítulo 1:"&amp;CHAR(10)&amp;CHAR(10)&amp;"1. Maribel Estaurafila Velazquez Cum
2. Martina Tello Alhuay"&amp;CHAR(10)&amp;CHAR(10)&amp;"El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Ever, buen día.
Te escribo porque 2 personas de tu equipo aún no se han sentado en el Capítulo 1:
1. Maribel Estaurafila Velazquez Cum
2. Martina Tello Alhuay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7" customFormat="false" ht="135" hidden="false" customHeight="true" outlineLevel="0" collapsed="false">
      <c r="A167" s="10" t="n">
        <v>163</v>
      </c>
      <c r="B167" s="6" t="s">
        <v>860</v>
      </c>
      <c r="C167" s="7" t="s">
        <v>14</v>
      </c>
      <c r="D167" s="7" t="s">
        <v>861</v>
      </c>
      <c r="E167" s="11" t="n">
        <f aca="false">COUNTIF(DATA!A:A,B167)</f>
        <v>3</v>
      </c>
      <c r="F167" s="11" t="n">
        <f aca="false">COUNTIFS(DATA!A:A,B167,DATA!G:G,"CONFIRMADO")</f>
        <v>0</v>
      </c>
      <c r="G167" s="5" t="str">
        <f aca="false">IF(E167=0,"SIN DATA",IF(F167=E167,"✅ COMPLETO",IF(F167&gt;0,"🔄 PARCIAL",IF(COUNTIFS(DATA!A:A,B167,DATA!G:G,"PENDIENTE")=E167,"⏳ PENDIENTE","⚠ MIXTO"))))</f>
        <v>⏳ PENDIENTE</v>
      </c>
      <c r="H167" s="12" t="str">
        <f aca="false">"Hola "&amp;IFERROR(LEFT(TRIM(MID(B167,FIND(" ",B167,FIND(" ",B167)+1)+1,100)),IFERROR(FIND(" ",TRIM(MID(B167,FIND(" ",B167,FIND(" ",B167)+1)+1,100)))-1,100)),TRIM(MID(B167,FIND(" ",B167&amp;" ")+1,100)))&amp;", buen día."&amp;CHAR(10)&amp;CHAR(10)&amp;"Te escribo porque "&amp;E167&amp;" personas de tu equipo aún no se han sentado en el Capítulo 1:"&amp;CHAR(10)&amp;CHAR(10)&amp;"1. Alvaro Loayza Torres
2. Carmen Rivera Herrera
3. Luz Isabel Torres Saavedra"&amp;CHAR(10)&amp;CHAR(10)&amp;"El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Sebastian, buen día.
Te escribo porque 3 personas de tu equipo aún no se han sentado en el Capítulo 1:
1. Alvaro Loayza Torres
2. Carmen Rivera Herrera
3. Luz Isabel Torres Saavedra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8" customFormat="false" ht="255" hidden="false" customHeight="true" outlineLevel="0" collapsed="false">
      <c r="A168" s="13" t="n">
        <v>164</v>
      </c>
      <c r="B168" s="3" t="s">
        <v>865</v>
      </c>
      <c r="C168" s="4" t="s">
        <v>14</v>
      </c>
      <c r="D168" s="4" t="s">
        <v>867</v>
      </c>
      <c r="E168" s="14" t="n">
        <f aca="false">COUNTIF(DATA!A:A,B168)</f>
        <v>11</v>
      </c>
      <c r="F168" s="14" t="n">
        <f aca="false">COUNTIFS(DATA!A:A,B168,DATA!G:G,"CONFIRMADO")</f>
        <v>0</v>
      </c>
      <c r="G168" s="5" t="str">
        <f aca="false">IF(E168=0,"SIN DATA",IF(F168=E168,"✅ COMPLETO",IF(F168&gt;0,"🔄 PARCIAL",IF(COUNTIFS(DATA!A:A,B168,DATA!G:G,"PENDIENTE")=E168,"⏳ PENDIENTE","⚠ MIXTO"))))</f>
        <v>⏳ PENDIENTE</v>
      </c>
      <c r="H168" s="12" t="str">
        <f aca="false">"Hola "&amp;IFERROR(LEFT(TRIM(MID(B168,FIND(" ",B168,FIND(" ",B168)+1)+1,100)),IFERROR(FIND(" ",TRIM(MID(B168,FIND(" ",B168,FIND(" ",B168)+1)+1,100)))-1,100)),TRIM(MID(B168,FIND(" ",B168&amp;" ")+1,100)))&amp;", buen día."&amp;CHAR(10)&amp;CHAR(10)&amp;"Te escribo porque "&amp;E168&amp;" personas de tu equipo aún no se han sentado en el Capítulo 1:"&amp;CHAR(10)&amp;CHAR(10)&amp;"1. Yemira Milagros Cahuana Hilari
2. Walter Alberto Mercado Barreto
3. Perpetua Silva Ramos
4. Yaneli Camila Mogrovejo Velarde
5. Arnaldo Arotaype Choquehuanca
6. Luis Manuel Metienzo Leon
7. Luis Gabriel Zapana Choque
8. Maryagrace Milagros Vela Collazos
9. Megumi Nadesha Chire Ocon
10. Gustavo Roberto Saavedra Alburqueque
11. Adrian Gomez Bautista"&amp;CHAR(10)&amp;CHAR(10)&amp;"El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Brigitte, buen día.
Te escribo porque 11 personas de tu equipo aún no se han sentado en el Capítulo 1:
1. Yemira Milagros Cahuana Hilari
2. Walter Alberto Mercado Barreto
3. Perpetua Silva Ramos
4. Yaneli Camila Mogrovejo Velarde
5. Arnaldo Arotaype Choquehuanca
6. Luis Manuel Metienzo Leon
7. Luis Gabriel Zapana Choque
8. Maryagrace Milagros Vela Collazos
9. Megumi Nadesha Chire Ocon
10. Gustavo Roberto Saavedra Alburqueque
11. Adrian Gomez Bautista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69" customFormat="false" ht="195" hidden="false" customHeight="true" outlineLevel="0" collapsed="false">
      <c r="A169" s="10" t="n">
        <v>165</v>
      </c>
      <c r="B169" s="6" t="s">
        <v>879</v>
      </c>
      <c r="C169" s="7" t="s">
        <v>14</v>
      </c>
      <c r="D169" s="7" t="s">
        <v>881</v>
      </c>
      <c r="E169" s="11" t="n">
        <f aca="false">COUNTIF(DATA!A:A,B169)</f>
        <v>7</v>
      </c>
      <c r="F169" s="11" t="n">
        <f aca="false">COUNTIFS(DATA!A:A,B169,DATA!G:G,"CONFIRMADO")</f>
        <v>0</v>
      </c>
      <c r="G169" s="5" t="str">
        <f aca="false">IF(E169=0,"SIN DATA",IF(F169=E169,"✅ COMPLETO",IF(F169&gt;0,"🔄 PARCIAL",IF(COUNTIFS(DATA!A:A,B169,DATA!G:G,"PENDIENTE")=E169,"⏳ PENDIENTE","⚠ MIXTO"))))</f>
        <v>⏳ PENDIENTE</v>
      </c>
      <c r="H169" s="12" t="str">
        <f aca="false">"Hola "&amp;IFERROR(LEFT(TRIM(MID(B169,FIND(" ",B169,FIND(" ",B169)+1)+1,100)),IFERROR(FIND(" ",TRIM(MID(B169,FIND(" ",B169,FIND(" ",B169)+1)+1,100)))-1,100)),TRIM(MID(B169,FIND(" ",B169&amp;" ")+1,100)))&amp;", buen día."&amp;CHAR(10)&amp;CHAR(10)&amp;"Te escribo porque "&amp;E169&amp;" personas de tu equipo aún no se han sentado en el Capítulo 1:"&amp;CHAR(10)&amp;CHAR(10)&amp;"1. Mirella Medina Castillo
2. Luis Armando Muñoz Pomo
3. Carlos Alvaro Avalos Jimenez
4. Jacqueline Noemi Suni Suni
5. Gloria Maria Vigo Escalante
6. Diana Reque Neciosup
7. Jose Guillermo Jhonathan Guzman Lopez"&amp;CHAR(10)&amp;CHAR(10)&amp;"El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Lourdes, buen día.
Te escribo porque 7 personas de tu equipo aún no se han sentado en el Capítulo 1:
1. Mirella Medina Castillo
2. Luis Armando Muñoz Pomo
3. Carlos Alvaro Avalos Jimenez
4. Jacqueline Noemi Suni Suni
5. Gloria Maria Vigo Escalante
6. Diana Reque Neciosup
7. Jose Guillermo Jhonathan Guzman Lopez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0" customFormat="false" ht="120" hidden="false" customHeight="true" outlineLevel="0" collapsed="false">
      <c r="A170" s="13" t="n">
        <v>166</v>
      </c>
      <c r="B170" s="3" t="s">
        <v>889</v>
      </c>
      <c r="C170" s="4" t="s">
        <v>14</v>
      </c>
      <c r="D170" s="4" t="s">
        <v>891</v>
      </c>
      <c r="E170" s="14" t="n">
        <f aca="false">COUNTIF(DATA!A:A,B170)</f>
        <v>2</v>
      </c>
      <c r="F170" s="14" t="n">
        <f aca="false">COUNTIFS(DATA!A:A,B170,DATA!G:G,"CONFIRMADO")</f>
        <v>0</v>
      </c>
      <c r="G170" s="5" t="str">
        <f aca="false">IF(E170=0,"SIN DATA",IF(F170=E170,"✅ COMPLETO",IF(F170&gt;0,"🔄 PARCIAL",IF(COUNTIFS(DATA!A:A,B170,DATA!G:G,"PENDIENTE")=E170,"⏳ PENDIENTE","⚠ MIXTO"))))</f>
        <v>⏳ PENDIENTE</v>
      </c>
      <c r="H170" s="12" t="str">
        <f aca="false">"Hola "&amp;IFERROR(LEFT(TRIM(MID(B170,FIND(" ",B170,FIND(" ",B170)+1)+1,100)),IFERROR(FIND(" ",TRIM(MID(B170,FIND(" ",B170,FIND(" ",B170)+1)+1,100)))-1,100)),TRIM(MID(B170,FIND(" ",B170&amp;" ")+1,100)))&amp;", buen día."&amp;CHAR(10)&amp;CHAR(10)&amp;"Te escribo porque "&amp;E170&amp;" personas de tu equipo aún no se han sentado en el Capítulo 1:"&amp;CHAR(10)&amp;CHAR(10)&amp;"1. Lizzy Guadalupe Grimaldo Mayaute
2. Daniel Ernesto Palacios Rojo"&amp;CHAR(10)&amp;CHAR(10)&amp;"El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Alejandrina, buen día.
Te escribo porque 2 personas de tu equipo aún no se han sentado en el Capítulo 1:
1. Lizzy Guadalupe Grimaldo Mayaute
2. Daniel Ernesto Palacios Rojo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1" customFormat="false" ht="135" hidden="false" customHeight="true" outlineLevel="0" collapsed="false">
      <c r="A171" s="10" t="n">
        <v>167</v>
      </c>
      <c r="B171" s="6" t="s">
        <v>894</v>
      </c>
      <c r="C171" s="7" t="s">
        <v>14</v>
      </c>
      <c r="D171" s="7" t="s">
        <v>896</v>
      </c>
      <c r="E171" s="11" t="n">
        <f aca="false">COUNTIF(DATA!A:A,B171)</f>
        <v>3</v>
      </c>
      <c r="F171" s="11" t="n">
        <f aca="false">COUNTIFS(DATA!A:A,B171,DATA!G:G,"CONFIRMADO")</f>
        <v>0</v>
      </c>
      <c r="G171" s="5" t="str">
        <f aca="false">IF(E171=0,"SIN DATA",IF(F171=E171,"✅ COMPLETO",IF(F171&gt;0,"🔄 PARCIAL",IF(COUNTIFS(DATA!A:A,B171,DATA!G:G,"PENDIENTE")=E171,"⏳ PENDIENTE","⚠ MIXTO"))))</f>
        <v>⏳ PENDIENTE</v>
      </c>
      <c r="H171" s="12" t="str">
        <f aca="false">"Hola "&amp;IFERROR(LEFT(TRIM(MID(B171,FIND(" ",B171,FIND(" ",B171)+1)+1,100)),IFERROR(FIND(" ",TRIM(MID(B171,FIND(" ",B171,FIND(" ",B171)+1)+1,100)))-1,100)),TRIM(MID(B171,FIND(" ",B171&amp;" ")+1,100)))&amp;", buen día."&amp;CHAR(10)&amp;CHAR(10)&amp;"Te escribo porque "&amp;E171&amp;" personas de tu equipo aún no se han sentado en el Capítulo 1:"&amp;CHAR(10)&amp;CHAR(10)&amp;"1. Roxana Karen Huayta Quispe
2. Yelsi Lopez Choquehuanca
3. Carlos Alberto Lescano Cerna"&amp;CHAR(10)&amp;CHAR(10)&amp;"El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Javier, buen día.
Te escribo porque 3 personas de tu equipo aún no se han sentado en el Capítulo 1:
1. Roxana Karen Huayta Quispe
2. Yelsi Lopez Choquehuanca
3. Carlos Alberto Lescano Cerna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2" customFormat="false" ht="105" hidden="false" customHeight="true" outlineLevel="0" collapsed="false">
      <c r="A172" s="13" t="n">
        <v>168</v>
      </c>
      <c r="B172" s="3" t="s">
        <v>900</v>
      </c>
      <c r="C172" s="4" t="s">
        <v>14</v>
      </c>
      <c r="D172" s="4" t="s">
        <v>902</v>
      </c>
      <c r="E172" s="14" t="n">
        <f aca="false">COUNTIF(DATA!A:A,B172)</f>
        <v>1</v>
      </c>
      <c r="F172" s="14" t="n">
        <f aca="false">COUNTIFS(DATA!A:A,B172,DATA!G:G,"CONFIRMADO")</f>
        <v>0</v>
      </c>
      <c r="G172" s="5" t="str">
        <f aca="false">IF(E172=0,"SIN DATA",IF(F172=E172,"✅ COMPLETO",IF(F172&gt;0,"🔄 PARCIAL",IF(COUNTIFS(DATA!A:A,B172,DATA!G:G,"PENDIENTE")=E172,"⏳ PENDIENTE","⚠ MIXTO"))))</f>
        <v>⏳ PENDIENTE</v>
      </c>
      <c r="H172" s="12" t="str">
        <f aca="false">"Hola "&amp;IFERROR(LEFT(TRIM(MID(B172,FIND(" ",B172,FIND(" ",B172)+1)+1,100)),IFERROR(FIND(" ",TRIM(MID(B172,FIND(" ",B172,FIND(" ",B172)+1)+1,100)))-1,100)),TRIM(MID(B172,FIND(" ",B172&amp;" ")+1,100)))&amp;", buen día."&amp;CHAR(10)&amp;CHAR(10)&amp;"Te escribo porque una persona de tu equipo aún no se ha sentado en el Capítulo 1:"&amp;CHAR(10)&amp;CHAR(10)&amp;"1. Jean Piero Loaiza Torres"&amp;CHAR(10)&amp;CHAR(10)&amp;"El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Ana, buen día.
Te escribo porque una persona de tu equipo aún no se ha sentado en el Capítulo 1:
1. Jean Piero Loaiza Torres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73" customFormat="false" ht="135" hidden="false" customHeight="true" outlineLevel="0" collapsed="false">
      <c r="A173" s="10" t="n">
        <v>169</v>
      </c>
      <c r="B173" s="6" t="s">
        <v>904</v>
      </c>
      <c r="C173" s="7" t="s">
        <v>14</v>
      </c>
      <c r="D173" s="7" t="s">
        <v>905</v>
      </c>
      <c r="E173" s="11" t="n">
        <f aca="false">COUNTIF(DATA!A:A,B173)</f>
        <v>3</v>
      </c>
      <c r="F173" s="11" t="n">
        <f aca="false">COUNTIFS(DATA!A:A,B173,DATA!G:G,"CONFIRMADO")</f>
        <v>0</v>
      </c>
      <c r="G173" s="5" t="str">
        <f aca="false">IF(E173=0,"SIN DATA",IF(F173=E173,"✅ COMPLETO",IF(F173&gt;0,"🔄 PARCIAL",IF(COUNTIFS(DATA!A:A,B173,DATA!G:G,"PENDIENTE")=E173,"⏳ PENDIENTE","⚠ MIXTO"))))</f>
        <v>⏳ PENDIENTE</v>
      </c>
      <c r="H173" s="12" t="str">
        <f aca="false">"Hola "&amp;IFERROR(LEFT(TRIM(MID(B173,FIND(" ",B173,FIND(" ",B173)+1)+1,100)),IFERROR(FIND(" ",TRIM(MID(B173,FIND(" ",B173,FIND(" ",B173)+1)+1,100)))-1,100)),TRIM(MID(B173,FIND(" ",B173&amp;" ")+1,100)))&amp;", buen día."&amp;CHAR(10)&amp;CHAR(10)&amp;"Te escribo porque "&amp;E173&amp;" personas de tu equipo aún no se han sentado en el Capítulo 1:"&amp;CHAR(10)&amp;CHAR(10)&amp;"1. Orlando Condori Mamani
2. Beatriz Maria Neyra Ramirez
3. Richard Wilson Neyra Ramirez"&amp;CHAR(10)&amp;CHAR(10)&amp;"El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Juan, buen día.
Te escribo porque 3 personas de tu equipo aún no se han sentado en el Capítulo 1:
1. Orlando Condori Mamani
2. Beatriz Maria Neyra Ramirez
3. Richard Wilson Neyra Ramirez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4" customFormat="false" ht="150" hidden="false" customHeight="true" outlineLevel="0" collapsed="false">
      <c r="A174" s="13" t="n">
        <v>170</v>
      </c>
      <c r="B174" s="3" t="s">
        <v>909</v>
      </c>
      <c r="C174" s="4" t="s">
        <v>14</v>
      </c>
      <c r="D174" s="4" t="s">
        <v>910</v>
      </c>
      <c r="E174" s="14" t="n">
        <f aca="false">COUNTIF(DATA!A:A,B174)</f>
        <v>4</v>
      </c>
      <c r="F174" s="14" t="n">
        <f aca="false">COUNTIFS(DATA!A:A,B174,DATA!G:G,"CONFIRMADO")</f>
        <v>0</v>
      </c>
      <c r="G174" s="5" t="str">
        <f aca="false">IF(E174=0,"SIN DATA",IF(F174=E174,"✅ COMPLETO",IF(F174&gt;0,"🔄 PARCIAL",IF(COUNTIFS(DATA!A:A,B174,DATA!G:G,"PENDIENTE")=E174,"⏳ PENDIENTE","⚠ MIXTO"))))</f>
        <v>⏳ PENDIENTE</v>
      </c>
      <c r="H174" s="12" t="str">
        <f aca="false">"Hola "&amp;IFERROR(LEFT(TRIM(MID(B174,FIND(" ",B174,FIND(" ",B174)+1)+1,100)),IFERROR(FIND(" ",TRIM(MID(B174,FIND(" ",B174,FIND(" ",B174)+1)+1,100)))-1,100)),TRIM(MID(B174,FIND(" ",B174&amp;" ")+1,100)))&amp;", buen día."&amp;CHAR(10)&amp;CHAR(10)&amp;"Te escribo porque "&amp;E174&amp;" personas de tu equipo aún no se han sentado en el Capítulo 1:"&amp;CHAR(10)&amp;CHAR(10)&amp;"1. Cristian Soncco Quispe
2. William Percy Huillca Champi
3. Reynaldo Jaime Quispe Maquera
4. Javier Mamani Quispe"&amp;CHAR(10)&amp;CHAR(10)&amp;"El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Mario, buen día.
Te escribo porque 4 personas de tu equipo aún no se han sentado en el Capítulo 1:
1. Cristian Soncco Quispe
2. William Percy Huillca Champi
3. Reynaldo Jaime Quispe Maquera
4. Javier Mamani Quispe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5" customFormat="false" ht="120" hidden="false" customHeight="true" outlineLevel="0" collapsed="false">
      <c r="A175" s="10" t="n">
        <v>171</v>
      </c>
      <c r="B175" s="6" t="s">
        <v>915</v>
      </c>
      <c r="C175" s="7" t="s">
        <v>14</v>
      </c>
      <c r="D175" s="7" t="s">
        <v>917</v>
      </c>
      <c r="E175" s="11" t="n">
        <f aca="false">COUNTIF(DATA!A:A,B175)</f>
        <v>2</v>
      </c>
      <c r="F175" s="11" t="n">
        <f aca="false">COUNTIFS(DATA!A:A,B175,DATA!G:G,"CONFIRMADO")</f>
        <v>0</v>
      </c>
      <c r="G175" s="5" t="str">
        <f aca="false">IF(E175=0,"SIN DATA",IF(F175=E175,"✅ COMPLETO",IF(F175&gt;0,"🔄 PARCIAL",IF(COUNTIFS(DATA!A:A,B175,DATA!G:G,"PENDIENTE")=E175,"⏳ PENDIENTE","⚠ MIXTO"))))</f>
        <v>⏳ PENDIENTE</v>
      </c>
      <c r="H175" s="12" t="str">
        <f aca="false">"Hola "&amp;IFERROR(LEFT(TRIM(MID(B175,FIND(" ",B175,FIND(" ",B175)+1)+1,100)),IFERROR(FIND(" ",TRIM(MID(B175,FIND(" ",B175,FIND(" ",B175)+1)+1,100)))-1,100)),TRIM(MID(B175,FIND(" ",B175&amp;" ")+1,100)))&amp;", buen día."&amp;CHAR(10)&amp;CHAR(10)&amp;"Te escribo porque "&amp;E175&amp;" personas de tu equipo aún no se han sentado en el Capítulo 1:"&amp;CHAR(10)&amp;CHAR(10)&amp;"1. Luis Fernando Cachay Zena
2. Kelly Merilin De La Cruz Marcos"&amp;CHAR(10)&amp;CHAR(10)&amp;"El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Pilar, buen día.
Te escribo porque 2 personas de tu equipo aún no se han sentado en el Capítulo 1:
1. Luis Fernando Cachay Zena
2. Kelly Merilin De La Cruz Marcos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6" customFormat="false" ht="135" hidden="false" customHeight="true" outlineLevel="0" collapsed="false">
      <c r="A176" s="13" t="n">
        <v>172</v>
      </c>
      <c r="B176" s="3" t="s">
        <v>920</v>
      </c>
      <c r="C176" s="4" t="s">
        <v>14</v>
      </c>
      <c r="D176" s="4" t="s">
        <v>922</v>
      </c>
      <c r="E176" s="14" t="n">
        <f aca="false">COUNTIF(DATA!A:A,B176)</f>
        <v>3</v>
      </c>
      <c r="F176" s="14" t="n">
        <f aca="false">COUNTIFS(DATA!A:A,B176,DATA!G:G,"CONFIRMADO")</f>
        <v>0</v>
      </c>
      <c r="G176" s="5" t="str">
        <f aca="false">IF(E176=0,"SIN DATA",IF(F176=E176,"✅ COMPLETO",IF(F176&gt;0,"🔄 PARCIAL",IF(COUNTIFS(DATA!A:A,B176,DATA!G:G,"PENDIENTE")=E176,"⏳ PENDIENTE","⚠ MIXTO"))))</f>
        <v>⏳ PENDIENTE</v>
      </c>
      <c r="H176" s="12" t="str">
        <f aca="false">"Hola "&amp;IFERROR(LEFT(TRIM(MID(B176,FIND(" ",B176,FIND(" ",B176)+1)+1,100)),IFERROR(FIND(" ",TRIM(MID(B176,FIND(" ",B176,FIND(" ",B176)+1)+1,100)))-1,100)),TRIM(MID(B176,FIND(" ",B176&amp;" ")+1,100)))&amp;", buen día."&amp;CHAR(10)&amp;CHAR(10)&amp;"Te escribo porque "&amp;E176&amp;" personas de tu equipo aún no se han sentado en el Capítulo 1:"&amp;CHAR(10)&amp;CHAR(10)&amp;"1. Juan Diego Torres Calderon De Vettori
2. Diego Arturo Lescano Cardenas
3. Arturo Francisco Rios Tipiani"&amp;CHAR(10)&amp;CHAR(10)&amp;"El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Andres, buen día.
Te escribo porque 3 personas de tu equipo aún no se han sentado en el Capítulo 1:
1. Juan Diego Torres Calderon De Vettori
2. Diego Arturo Lescano Cardenas
3. Arturo Francisco Rios Tipiani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77" customFormat="false" ht="105" hidden="false" customHeight="true" outlineLevel="0" collapsed="false">
      <c r="A177" s="10" t="n">
        <v>173</v>
      </c>
      <c r="B177" s="6" t="s">
        <v>926</v>
      </c>
      <c r="C177" s="7" t="s">
        <v>14</v>
      </c>
      <c r="D177" s="7" t="s">
        <v>927</v>
      </c>
      <c r="E177" s="11" t="n">
        <f aca="false">COUNTIF(DATA!A:A,B177)</f>
        <v>1</v>
      </c>
      <c r="F177" s="11" t="n">
        <f aca="false">COUNTIFS(DATA!A:A,B177,DATA!G:G,"CONFIRMADO")</f>
        <v>0</v>
      </c>
      <c r="G177" s="5" t="str">
        <f aca="false">IF(E177=0,"SIN DATA",IF(F177=E177,"✅ COMPLETO",IF(F177&gt;0,"🔄 PARCIAL",IF(COUNTIFS(DATA!A:A,B177,DATA!G:G,"PENDIENTE")=E177,"⏳ PENDIENTE","⚠ MIXTO"))))</f>
        <v>⏳ PENDIENTE</v>
      </c>
      <c r="H177" s="12" t="str">
        <f aca="false">"Hola "&amp;IFERROR(LEFT(TRIM(MID(B177,FIND(" ",B177,FIND(" ",B177)+1)+1,100)),IFERROR(FIND(" ",TRIM(MID(B177,FIND(" ",B177,FIND(" ",B177)+1)+1,100)))-1,100)),TRIM(MID(B177,FIND(" ",B177&amp;" ")+1,100)))&amp;", buen día."&amp;CHAR(10)&amp;CHAR(10)&amp;"Te escribo porque una persona de tu equipo aún no se ha sentado en el Capítulo 1:"&amp;CHAR(10)&amp;CHAR(10)&amp;"1. Josue Emanuel Vivanco Quiliche"&amp;CHAR(10)&amp;CHAR(10)&amp;"El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Maria, buen día.
Te escribo porque una persona de tu equipo aún no se ha sentado en el Capítulo 1:
1. Josue Emanuel Vivanco Quiliche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78" customFormat="false" ht="105" hidden="false" customHeight="true" outlineLevel="0" collapsed="false">
      <c r="A178" s="13" t="n">
        <v>174</v>
      </c>
      <c r="B178" s="3" t="s">
        <v>929</v>
      </c>
      <c r="C178" s="4" t="s">
        <v>14</v>
      </c>
      <c r="D178" s="4" t="s">
        <v>930</v>
      </c>
      <c r="E178" s="14" t="n">
        <f aca="false">COUNTIF(DATA!A:A,B178)</f>
        <v>1</v>
      </c>
      <c r="F178" s="14" t="n">
        <f aca="false">COUNTIFS(DATA!A:A,B178,DATA!G:G,"CONFIRMADO")</f>
        <v>0</v>
      </c>
      <c r="G178" s="5" t="str">
        <f aca="false">IF(E178=0,"SIN DATA",IF(F178=E178,"✅ COMPLETO",IF(F178&gt;0,"🔄 PARCIAL",IF(COUNTIFS(DATA!A:A,B178,DATA!G:G,"PENDIENTE")=E178,"⏳ PENDIENTE","⚠ MIXTO"))))</f>
        <v>⏳ PENDIENTE</v>
      </c>
      <c r="H178" s="12" t="str">
        <f aca="false">"Hola "&amp;IFERROR(LEFT(TRIM(MID(B178,FIND(" ",B178,FIND(" ",B178)+1)+1,100)),IFERROR(FIND(" ",TRIM(MID(B178,FIND(" ",B178,FIND(" ",B178)+1)+1,100)))-1,100)),TRIM(MID(B178,FIND(" ",B178&amp;" ")+1,100)))&amp;", buen día."&amp;CHAR(10)&amp;CHAR(10)&amp;"Te escribo porque una persona de tu equipo aún no se ha sentado en el Capítulo 1:"&amp;CHAR(10)&amp;CHAR(10)&amp;"1. Marianne Grace Lloyd Saldana"&amp;CHAR(10)&amp;CHAR(10)&amp;"El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Diana, buen día.
Te escribo porque una persona de tu equipo aún no se ha sentado en el Capítulo 1:
1. Marianne Grace Lloyd Saldana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79" customFormat="false" ht="150" hidden="false" customHeight="true" outlineLevel="0" collapsed="false">
      <c r="A179" s="10" t="n">
        <v>175</v>
      </c>
      <c r="B179" s="6" t="s">
        <v>932</v>
      </c>
      <c r="C179" s="7" t="s">
        <v>14</v>
      </c>
      <c r="D179" s="7" t="s">
        <v>934</v>
      </c>
      <c r="E179" s="11" t="n">
        <f aca="false">COUNTIF(DATA!A:A,B179)</f>
        <v>4</v>
      </c>
      <c r="F179" s="11" t="n">
        <f aca="false">COUNTIFS(DATA!A:A,B179,DATA!G:G,"CONFIRMADO")</f>
        <v>0</v>
      </c>
      <c r="G179" s="5" t="str">
        <f aca="false">IF(E179=0,"SIN DATA",IF(F179=E179,"✅ COMPLETO",IF(F179&gt;0,"🔄 PARCIAL",IF(COUNTIFS(DATA!A:A,B179,DATA!G:G,"PENDIENTE")=E179,"⏳ PENDIENTE","⚠ MIXTO"))))</f>
        <v>⏳ PENDIENTE</v>
      </c>
      <c r="H179" s="12" t="str">
        <f aca="false">"Hola "&amp;IFERROR(LEFT(TRIM(MID(B179,FIND(" ",B179,FIND(" ",B179)+1)+1,100)),IFERROR(FIND(" ",TRIM(MID(B179,FIND(" ",B179,FIND(" ",B179)+1)+1,100)))-1,100)),TRIM(MID(B179,FIND(" ",B179&amp;" ")+1,100)))&amp;", buen día."&amp;CHAR(10)&amp;CHAR(10)&amp;"Te escribo porque "&amp;E179&amp;" personas de tu equipo aún no se han sentado en el Capítulo 1:"&amp;CHAR(10)&amp;CHAR(10)&amp;"1. Aquemi Montano Miranda
2. Yessica Rosalez Pariona.
3. Lirio Segundo Rojas Montano
4. Eliabe Tovar Miranda"&amp;CHAR(10)&amp;CHAR(10)&amp;"El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Ariskela, buen día.
Te escribo porque 4 personas de tu equipo aún no se han sentado en el Capítulo 1:
1. Aquemi Montano Miranda
2. Yessica Rosalez Pariona.
3. Lirio Segundo Rojas Montano
4. Eliabe Tovar Miranda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0" customFormat="false" ht="135" hidden="false" customHeight="true" outlineLevel="0" collapsed="false">
      <c r="A180" s="13" t="n">
        <v>176</v>
      </c>
      <c r="B180" s="3" t="s">
        <v>939</v>
      </c>
      <c r="C180" s="4" t="s">
        <v>14</v>
      </c>
      <c r="D180" s="4" t="s">
        <v>941</v>
      </c>
      <c r="E180" s="14" t="n">
        <f aca="false">COUNTIF(DATA!A:A,B180)</f>
        <v>3</v>
      </c>
      <c r="F180" s="14" t="n">
        <f aca="false">COUNTIFS(DATA!A:A,B180,DATA!G:G,"CONFIRMADO")</f>
        <v>0</v>
      </c>
      <c r="G180" s="5" t="str">
        <f aca="false">IF(E180=0,"SIN DATA",IF(F180=E180,"✅ COMPLETO",IF(F180&gt;0,"🔄 PARCIAL",IF(COUNTIFS(DATA!A:A,B180,DATA!G:G,"PENDIENTE")=E180,"⏳ PENDIENTE","⚠ MIXTO"))))</f>
        <v>⏳ PENDIENTE</v>
      </c>
      <c r="H180" s="12" t="str">
        <f aca="false">"Hola "&amp;IFERROR(LEFT(TRIM(MID(B180,FIND(" ",B180,FIND(" ",B180)+1)+1,100)),IFERROR(FIND(" ",TRIM(MID(B180,FIND(" ",B180,FIND(" ",B180)+1)+1,100)))-1,100)),TRIM(MID(B180,FIND(" ",B180&amp;" ")+1,100)))&amp;", buen día."&amp;CHAR(10)&amp;CHAR(10)&amp;"Te escribo porque "&amp;E180&amp;" personas de tu equipo aún no se han sentado en el Capítulo 1:"&amp;CHAR(10)&amp;CHAR(10)&amp;"1. Luis Ygancio Uriarte Medina
2. Marko Akiro Uriarte Carbajal
3. Manuel Hipolito Gonzalez Pisfil"&amp;CHAR(10)&amp;CHAR(10)&amp;"El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Aaron, buen día.
Te escribo porque 3 personas de tu equipo aún no se han sentado en el Capítulo 1:
1. Luis Ygancio Uriarte Medina
2. Marko Akiro Uriarte Carbajal
3. Manuel Hipolito Gonzalez Pisfil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1" customFormat="false" ht="225" hidden="false" customHeight="true" outlineLevel="0" collapsed="false">
      <c r="A181" s="10" t="n">
        <v>177</v>
      </c>
      <c r="B181" s="6" t="s">
        <v>945</v>
      </c>
      <c r="C181" s="7" t="s">
        <v>14</v>
      </c>
      <c r="D181" s="7" t="s">
        <v>946</v>
      </c>
      <c r="E181" s="11" t="n">
        <f aca="false">COUNTIF(DATA!A:A,B181)</f>
        <v>9</v>
      </c>
      <c r="F181" s="11" t="n">
        <f aca="false">COUNTIFS(DATA!A:A,B181,DATA!G:G,"CONFIRMADO")</f>
        <v>0</v>
      </c>
      <c r="G181" s="5" t="str">
        <f aca="false">IF(E181=0,"SIN DATA",IF(F181=E181,"✅ COMPLETO",IF(F181&gt;0,"🔄 PARCIAL",IF(COUNTIFS(DATA!A:A,B181,DATA!G:G,"PENDIENTE")=E181,"⏳ PENDIENTE","⚠ MIXTO"))))</f>
        <v>⏳ PENDIENTE</v>
      </c>
      <c r="H181" s="12" t="str">
        <f aca="false">"Hola "&amp;IFERROR(LEFT(TRIM(MID(B181,FIND(" ",B181,FIND(" ",B181)+1)+1,100)),IFERROR(FIND(" ",TRIM(MID(B181,FIND(" ",B181,FIND(" ",B181)+1)+1,100)))-1,100)),TRIM(MID(B181,FIND(" ",B181&amp;" ")+1,100)))&amp;", buen día."&amp;CHAR(10)&amp;CHAR(10)&amp;"Te escribo porque "&amp;E181&amp;" personas de tu equipo aún no se han sentado en el Capítulo 1:"&amp;CHAR(10)&amp;CHAR(10)&amp;"1. Maria Isabel Martinez Monje
2. Rosa Del Carmen Sanchez Moreno
3. Roberto Elias Barzola Barzola
4. Luis Alberto Castaneda Marin
5. Gianella Uribe Lizarraga
6. Felix Ortiz
7. Deiser Job Herrera Cabrera
8. Cindy Flor Escamilo Rojas
9. Cruz Isabel Orbe De Saavedra"&amp;CHAR(10)&amp;CHAR(10)&amp;"El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Milagros, buen día.
Te escribo porque 9 personas de tu equipo aún no se han sentado en el Capítulo 1:
1. Maria Isabel Martinez Monje
2. Rosa Del Carmen Sanchez Moreno
3. Roberto Elias Barzola Barzola
4. Luis Alberto Castaneda Marin
5. Gianella Uribe Lizarraga
6. Felix Ortiz
7. Deiser Job Herrera Cabrera
8. Cindy Flor Escamilo Rojas
9. Cruz Isabel Orbe De Saavedra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2" customFormat="false" ht="120" hidden="false" customHeight="true" outlineLevel="0" collapsed="false">
      <c r="A182" s="13" t="n">
        <v>178</v>
      </c>
      <c r="B182" s="3" t="s">
        <v>956</v>
      </c>
      <c r="C182" s="4" t="s">
        <v>14</v>
      </c>
      <c r="D182" s="4" t="s">
        <v>957</v>
      </c>
      <c r="E182" s="14" t="n">
        <f aca="false">COUNTIF(DATA!A:A,B182)</f>
        <v>2</v>
      </c>
      <c r="F182" s="14" t="n">
        <f aca="false">COUNTIFS(DATA!A:A,B182,DATA!G:G,"CONFIRMADO")</f>
        <v>0</v>
      </c>
      <c r="G182" s="5" t="str">
        <f aca="false">IF(E182=0,"SIN DATA",IF(F182=E182,"✅ COMPLETO",IF(F182&gt;0,"🔄 PARCIAL",IF(COUNTIFS(DATA!A:A,B182,DATA!G:G,"PENDIENTE")=E182,"⏳ PENDIENTE","⚠ MIXTO"))))</f>
        <v>⏳ PENDIENTE</v>
      </c>
      <c r="H182" s="12" t="str">
        <f aca="false">"Hola "&amp;IFERROR(LEFT(TRIM(MID(B182,FIND(" ",B182,FIND(" ",B182)+1)+1,100)),IFERROR(FIND(" ",TRIM(MID(B182,FIND(" ",B182,FIND(" ",B182)+1)+1,100)))-1,100)),TRIM(MID(B182,FIND(" ",B182&amp;" ")+1,100)))&amp;", buen día."&amp;CHAR(10)&amp;CHAR(10)&amp;"Te escribo porque "&amp;E182&amp;" personas de tu equipo aún no se han sentado en el Capítulo 1:"&amp;CHAR(10)&amp;CHAR(10)&amp;"1. Maritza Miranda Calsin
2. Tonny Frank Ccorimaya Aguilar"&amp;CHAR(10)&amp;CHAR(10)&amp;"El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De, buen día.
Te escribo porque 2 personas de tu equipo aún no se han sentado en el Capítulo 1:
1. Maritza Miranda Calsin
2. Tonny Frank Ccorimaya Aguilar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3" customFormat="false" ht="150" hidden="false" customHeight="true" outlineLevel="0" collapsed="false">
      <c r="A183" s="10" t="n">
        <v>179</v>
      </c>
      <c r="B183" s="6" t="s">
        <v>960</v>
      </c>
      <c r="C183" s="7" t="s">
        <v>14</v>
      </c>
      <c r="D183" s="7" t="s">
        <v>962</v>
      </c>
      <c r="E183" s="11" t="n">
        <f aca="false">COUNTIF(DATA!A:A,B183)</f>
        <v>4</v>
      </c>
      <c r="F183" s="11" t="n">
        <f aca="false">COUNTIFS(DATA!A:A,B183,DATA!G:G,"CONFIRMADO")</f>
        <v>0</v>
      </c>
      <c r="G183" s="5" t="str">
        <f aca="false">IF(E183=0,"SIN DATA",IF(F183=E183,"✅ COMPLETO",IF(F183&gt;0,"🔄 PARCIAL",IF(COUNTIFS(DATA!A:A,B183,DATA!G:G,"PENDIENTE")=E183,"⏳ PENDIENTE","⚠ MIXTO"))))</f>
        <v>⏳ PENDIENTE</v>
      </c>
      <c r="H183" s="12" t="str">
        <f aca="false">"Hola "&amp;IFERROR(LEFT(TRIM(MID(B183,FIND(" ",B183,FIND(" ",B183)+1)+1,100)),IFERROR(FIND(" ",TRIM(MID(B183,FIND(" ",B183,FIND(" ",B183)+1)+1,100)))-1,100)),TRIM(MID(B183,FIND(" ",B183&amp;" ")+1,100)))&amp;", buen día."&amp;CHAR(10)&amp;CHAR(10)&amp;"Te escribo porque "&amp;E183&amp;" personas de tu equipo aún no se han sentado en el Capítulo 1:"&amp;CHAR(10)&amp;CHAR(10)&amp;"1. Shianeé Mayli Murga Quispe Murga Quispe
2. Wendy Melissa Celis Minope
3. Luis Alberto Coronel Jiron
4. Andrea Alejandra Lizarribar Leon"&amp;CHAR(10)&amp;CHAR(10)&amp;"El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Camila, buen día.
Te escribo porque 4 personas de tu equipo aún no se han sentado en el Capítulo 1:
1. Shianeé Mayli Murga Quispe Murga Quispe
2. Wendy Melissa Celis Minope
3. Luis Alberto Coronel Jiron
4. Andrea Alejandra Lizarribar Leon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4" customFormat="false" ht="120" hidden="false" customHeight="true" outlineLevel="0" collapsed="false">
      <c r="A184" s="13" t="n">
        <v>180</v>
      </c>
      <c r="B184" s="3" t="s">
        <v>967</v>
      </c>
      <c r="C184" s="4" t="s">
        <v>21</v>
      </c>
      <c r="D184" s="4" t="s">
        <v>968</v>
      </c>
      <c r="E184" s="14" t="n">
        <f aca="false">COUNTIF(DATA!A:A,B184)</f>
        <v>2</v>
      </c>
      <c r="F184" s="14" t="n">
        <f aca="false">COUNTIFS(DATA!A:A,B184,DATA!G:G,"CONFIRMADO")</f>
        <v>0</v>
      </c>
      <c r="G184" s="5" t="str">
        <f aca="false">IF(E184=0,"SIN DATA",IF(F184=E184,"✅ COMPLETO",IF(F184&gt;0,"🔄 PARCIAL",IF(COUNTIFS(DATA!A:A,B184,DATA!G:G,"PENDIENTE")=E184,"⏳ PENDIENTE","⚠ MIXTO"))))</f>
        <v>⏳ PENDIENTE</v>
      </c>
      <c r="H184" s="12" t="str">
        <f aca="false">"Hola "&amp;IFERROR(LEFT(TRIM(MID(B184,FIND(" ",B184,FIND(" ",B184)+1)+1,100)),IFERROR(FIND(" ",TRIM(MID(B184,FIND(" ",B184,FIND(" ",B184)+1)+1,100)))-1,100)),TRIM(MID(B184,FIND(" ",B184&amp;" ")+1,100)))&amp;", buen día."&amp;CHAR(10)&amp;CHAR(10)&amp;"Te escribo porque "&amp;E184&amp;" personas de tu equipo aún no se han sentado en el Capítulo 1:"&amp;CHAR(10)&amp;CHAR(10)&amp;"1. Ana Elva Quise Calsina
2. Junior Javier Figueroa Saveedra"&amp;CHAR(10)&amp;CHAR(10)&amp;"El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Jose, buen día.
Te escribo porque 2 personas de tu equipo aún no se han sentado en el Capítulo 1:
1. Ana Elva Quise Calsina
2. Junior Javier Figueroa Saveedra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5" customFormat="false" ht="135" hidden="false" customHeight="true" outlineLevel="0" collapsed="false">
      <c r="A185" s="10" t="n">
        <v>181</v>
      </c>
      <c r="B185" s="6" t="s">
        <v>971</v>
      </c>
      <c r="C185" s="7" t="s">
        <v>21</v>
      </c>
      <c r="D185" s="7" t="s">
        <v>973</v>
      </c>
      <c r="E185" s="11" t="n">
        <f aca="false">COUNTIF(DATA!A:A,B185)</f>
        <v>3</v>
      </c>
      <c r="F185" s="11" t="n">
        <f aca="false">COUNTIFS(DATA!A:A,B185,DATA!G:G,"CONFIRMADO")</f>
        <v>0</v>
      </c>
      <c r="G185" s="5" t="str">
        <f aca="false">IF(E185=0,"SIN DATA",IF(F185=E185,"✅ COMPLETO",IF(F185&gt;0,"🔄 PARCIAL",IF(COUNTIFS(DATA!A:A,B185,DATA!G:G,"PENDIENTE")=E185,"⏳ PENDIENTE","⚠ MIXTO"))))</f>
        <v>⏳ PENDIENTE</v>
      </c>
      <c r="H185" s="12" t="str">
        <f aca="false">"Hola "&amp;IFERROR(LEFT(TRIM(MID(B185,FIND(" ",B185,FIND(" ",B185)+1)+1,100)),IFERROR(FIND(" ",TRIM(MID(B185,FIND(" ",B185,FIND(" ",B185)+1)+1,100)))-1,100)),TRIM(MID(B185,FIND(" ",B185&amp;" ")+1,100)))&amp;", buen día."&amp;CHAR(10)&amp;CHAR(10)&amp;"Te escribo porque "&amp;E185&amp;" personas de tu equipo aún no se han sentado en el Capítulo 1:"&amp;CHAR(10)&amp;CHAR(10)&amp;"1. Renzo Renato Uribe Soto
2. Araceli Uribe
3. Ferenz Gonzales"&amp;CHAR(10)&amp;CHAR(10)&amp;"El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Ariana, buen día.
Te escribo porque 3 personas de tu equipo aún no se han sentado en el Capítulo 1:
1. Renzo Renato Uribe Soto
2. Araceli Uribe
3. Ferenz Gonzales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6" customFormat="false" ht="135" hidden="false" customHeight="true" outlineLevel="0" collapsed="false">
      <c r="A186" s="13" t="n">
        <v>182</v>
      </c>
      <c r="B186" s="3" t="s">
        <v>977</v>
      </c>
      <c r="C186" s="4" t="s">
        <v>21</v>
      </c>
      <c r="D186" s="4" t="s">
        <v>979</v>
      </c>
      <c r="E186" s="14" t="n">
        <f aca="false">COUNTIF(DATA!A:A,B186)</f>
        <v>3</v>
      </c>
      <c r="F186" s="14" t="n">
        <f aca="false">COUNTIFS(DATA!A:A,B186,DATA!G:G,"CONFIRMADO")</f>
        <v>0</v>
      </c>
      <c r="G186" s="5" t="str">
        <f aca="false">IF(E186=0,"SIN DATA",IF(F186=E186,"✅ COMPLETO",IF(F186&gt;0,"🔄 PARCIAL",IF(COUNTIFS(DATA!A:A,B186,DATA!G:G,"PENDIENTE")=E186,"⏳ PENDIENTE","⚠ MIXTO"))))</f>
        <v>⏳ PENDIENTE</v>
      </c>
      <c r="H186" s="12" t="str">
        <f aca="false">"Hola "&amp;IFERROR(LEFT(TRIM(MID(B186,FIND(" ",B186,FIND(" ",B186)+1)+1,100)),IFERROR(FIND(" ",TRIM(MID(B186,FIND(" ",B186,FIND(" ",B186)+1)+1,100)))-1,100)),TRIM(MID(B186,FIND(" ",B186&amp;" ")+1,100)))&amp;", buen día."&amp;CHAR(10)&amp;CHAR(10)&amp;"Te escribo porque "&amp;E186&amp;" personas de tu equipo aún no se han sentado en el Capítulo 1:"&amp;CHAR(10)&amp;CHAR(10)&amp;"1. Rosarela Erika Vargas Enriquez
2. Wagner Muchas Monroy
3. Ulises Vargas Enriquez"&amp;CHAR(10)&amp;CHAR(10)&amp;"El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Jolber, buen día.
Te escribo porque 3 personas de tu equipo aún no se han sentado en el Capítulo 1:
1. Rosarela Erika Vargas Enriquez
2. Wagner Muchas Monroy
3. Ulises Vargas Enriquez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7" customFormat="false" ht="120" hidden="false" customHeight="true" outlineLevel="0" collapsed="false">
      <c r="A187" s="10" t="n">
        <v>183</v>
      </c>
      <c r="B187" s="6" t="s">
        <v>983</v>
      </c>
      <c r="C187" s="7" t="s">
        <v>21</v>
      </c>
      <c r="D187" s="7" t="s">
        <v>985</v>
      </c>
      <c r="E187" s="11" t="n">
        <f aca="false">COUNTIF(DATA!A:A,B187)</f>
        <v>2</v>
      </c>
      <c r="F187" s="11" t="n">
        <f aca="false">COUNTIFS(DATA!A:A,B187,DATA!G:G,"CONFIRMADO")</f>
        <v>0</v>
      </c>
      <c r="G187" s="5" t="str">
        <f aca="false">IF(E187=0,"SIN DATA",IF(F187=E187,"✅ COMPLETO",IF(F187&gt;0,"🔄 PARCIAL",IF(COUNTIFS(DATA!A:A,B187,DATA!G:G,"PENDIENTE")=E187,"⏳ PENDIENTE","⚠ MIXTO"))))</f>
        <v>⏳ PENDIENTE</v>
      </c>
      <c r="H187" s="12" t="str">
        <f aca="false">"Hola "&amp;IFERROR(LEFT(TRIM(MID(B187,FIND(" ",B187,FIND(" ",B187)+1)+1,100)),IFERROR(FIND(" ",TRIM(MID(B187,FIND(" ",B187,FIND(" ",B187)+1)+1,100)))-1,100)),TRIM(MID(B187,FIND(" ",B187&amp;" ")+1,100)))&amp;", buen día."&amp;CHAR(10)&amp;CHAR(10)&amp;"Te escribo porque "&amp;E187&amp;" personas de tu equipo aún no se han sentado en el Capítulo 1:"&amp;CHAR(10)&amp;CHAR(10)&amp;"1. Hugo Juan Nunez Nino
2. Geraldine Judith Pena Espinoza"&amp;CHAR(10)&amp;CHAR(10)&amp;"El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Karin, buen día.
Te escribo porque 2 personas de tu equipo aún no se han sentado en el Capítulo 1:
1. Hugo Juan Nunez Nino
2. Geraldine Judith Pena Espinoza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8" customFormat="false" ht="135" hidden="false" customHeight="true" outlineLevel="0" collapsed="false">
      <c r="A188" s="13" t="n">
        <v>184</v>
      </c>
      <c r="B188" s="3" t="s">
        <v>988</v>
      </c>
      <c r="C188" s="4" t="s">
        <v>21</v>
      </c>
      <c r="D188" s="4" t="s">
        <v>990</v>
      </c>
      <c r="E188" s="14" t="n">
        <f aca="false">COUNTIF(DATA!A:A,B188)</f>
        <v>3</v>
      </c>
      <c r="F188" s="14" t="n">
        <f aca="false">COUNTIFS(DATA!A:A,B188,DATA!G:G,"CONFIRMADO")</f>
        <v>0</v>
      </c>
      <c r="G188" s="5" t="str">
        <f aca="false">IF(E188=0,"SIN DATA",IF(F188=E188,"✅ COMPLETO",IF(F188&gt;0,"🔄 PARCIAL",IF(COUNTIFS(DATA!A:A,B188,DATA!G:G,"PENDIENTE")=E188,"⏳ PENDIENTE","⚠ MIXTO"))))</f>
        <v>⏳ PENDIENTE</v>
      </c>
      <c r="H188" s="12" t="str">
        <f aca="false">"Hola "&amp;IFERROR(LEFT(TRIM(MID(B188,FIND(" ",B188,FIND(" ",B188)+1)+1,100)),IFERROR(FIND(" ",TRIM(MID(B188,FIND(" ",B188,FIND(" ",B188)+1)+1,100)))-1,100)),TRIM(MID(B188,FIND(" ",B188&amp;" ")+1,100)))&amp;", buen día."&amp;CHAR(10)&amp;CHAR(10)&amp;"Te escribo porque "&amp;E188&amp;" personas de tu equipo aún no se han sentado en el Capítulo 1:"&amp;CHAR(10)&amp;CHAR(10)&amp;"1. Isela Pelaez Flores
2. Roberto Cahuana Valencia
3. Rosa Valencia Ccoscco"&amp;CHAR(10)&amp;CHAR(10)&amp;"El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Yolanda, buen día.
Te escribo porque 3 personas de tu equipo aún no se han sentado en el Capítulo 1:
1. Isela Pelaez Flores
2. Roberto Cahuana Valencia
3. Rosa Valencia Ccoscco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89" customFormat="false" ht="105" hidden="false" customHeight="true" outlineLevel="0" collapsed="false">
      <c r="A189" s="10" t="n">
        <v>185</v>
      </c>
      <c r="B189" s="6" t="s">
        <v>994</v>
      </c>
      <c r="C189" s="7" t="s">
        <v>21</v>
      </c>
      <c r="D189" s="7" t="s">
        <v>996</v>
      </c>
      <c r="E189" s="11" t="n">
        <f aca="false">COUNTIF(DATA!A:A,B189)</f>
        <v>1</v>
      </c>
      <c r="F189" s="11" t="n">
        <f aca="false">COUNTIFS(DATA!A:A,B189,DATA!G:G,"CONFIRMADO")</f>
        <v>0</v>
      </c>
      <c r="G189" s="5" t="str">
        <f aca="false">IF(E189=0,"SIN DATA",IF(F189=E189,"✅ COMPLETO",IF(F189&gt;0,"🔄 PARCIAL",IF(COUNTIFS(DATA!A:A,B189,DATA!G:G,"PENDIENTE")=E189,"⏳ PENDIENTE","⚠ MIXTO"))))</f>
        <v>⏳ PENDIENTE</v>
      </c>
      <c r="H189" s="12" t="str">
        <f aca="false">"Hola "&amp;IFERROR(LEFT(TRIM(MID(B189,FIND(" ",B189,FIND(" ",B189)+1)+1,100)),IFERROR(FIND(" ",TRIM(MID(B189,FIND(" ",B189,FIND(" ",B189)+1)+1,100)))-1,100)),TRIM(MID(B189,FIND(" ",B189&amp;" ")+1,100)))&amp;", buen día."&amp;CHAR(10)&amp;CHAR(10)&amp;"Te escribo porque una persona de tu equipo aún no se ha sentado en el Capítulo 1:"&amp;CHAR(10)&amp;CHAR(10)&amp;"1. Pedro Arturo Miranda Moya"&amp;CHAR(10)&amp;CHAR(10)&amp;"El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Buendia, buen día.
Te escribo porque una persona de tu equipo aún no se ha sentado en el Capítulo 1:
1. Pedro Arturo Miranda Moya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0" customFormat="false" ht="105" hidden="false" customHeight="true" outlineLevel="0" collapsed="false">
      <c r="A190" s="13" t="n">
        <v>186</v>
      </c>
      <c r="B190" s="3" t="s">
        <v>998</v>
      </c>
      <c r="C190" s="4" t="s">
        <v>21</v>
      </c>
      <c r="D190" s="4" t="s">
        <v>1000</v>
      </c>
      <c r="E190" s="14" t="n">
        <f aca="false">COUNTIF(DATA!A:A,B190)</f>
        <v>1</v>
      </c>
      <c r="F190" s="14" t="n">
        <f aca="false">COUNTIFS(DATA!A:A,B190,DATA!G:G,"CONFIRMADO")</f>
        <v>0</v>
      </c>
      <c r="G190" s="5" t="str">
        <f aca="false">IF(E190=0,"SIN DATA",IF(F190=E190,"✅ COMPLETO",IF(F190&gt;0,"🔄 PARCIAL",IF(COUNTIFS(DATA!A:A,B190,DATA!G:G,"PENDIENTE")=E190,"⏳ PENDIENTE","⚠ MIXTO"))))</f>
        <v>⏳ PENDIENTE</v>
      </c>
      <c r="H190" s="12" t="str">
        <f aca="false">"Hola "&amp;IFERROR(LEFT(TRIM(MID(B190,FIND(" ",B190,FIND(" ",B190)+1)+1,100)),IFERROR(FIND(" ",TRIM(MID(B190,FIND(" ",B190,FIND(" ",B190)+1)+1,100)))-1,100)),TRIM(MID(B190,FIND(" ",B190&amp;" ")+1,100)))&amp;", buen día."&amp;CHAR(10)&amp;CHAR(10)&amp;"Te escribo porque una persona de tu equipo aún no se ha sentado en el Capítulo 1:"&amp;CHAR(10)&amp;CHAR(10)&amp;"1. Carlos Jesus Mendoza Navarrete"&amp;CHAR(10)&amp;CHAR(10)&amp;"El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Brian, buen día.
Te escribo porque una persona de tu equipo aún no se ha sentado en el Capítulo 1:
1. Carlos Jesus Mendoza Navarrete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1" customFormat="false" ht="135" hidden="false" customHeight="true" outlineLevel="0" collapsed="false">
      <c r="A191" s="10" t="n">
        <v>187</v>
      </c>
      <c r="B191" s="6" t="s">
        <v>1002</v>
      </c>
      <c r="C191" s="7" t="s">
        <v>21</v>
      </c>
      <c r="D191" s="7" t="s">
        <v>1004</v>
      </c>
      <c r="E191" s="11" t="n">
        <f aca="false">COUNTIF(DATA!A:A,B191)</f>
        <v>3</v>
      </c>
      <c r="F191" s="11" t="n">
        <f aca="false">COUNTIFS(DATA!A:A,B191,DATA!G:G,"CONFIRMADO")</f>
        <v>0</v>
      </c>
      <c r="G191" s="5" t="str">
        <f aca="false">IF(E191=0,"SIN DATA",IF(F191=E191,"✅ COMPLETO",IF(F191&gt;0,"🔄 PARCIAL",IF(COUNTIFS(DATA!A:A,B191,DATA!G:G,"PENDIENTE")=E191,"⏳ PENDIENTE","⚠ MIXTO"))))</f>
        <v>⏳ PENDIENTE</v>
      </c>
      <c r="H191" s="12" t="str">
        <f aca="false">"Hola "&amp;IFERROR(LEFT(TRIM(MID(B191,FIND(" ",B191,FIND(" ",B191)+1)+1,100)),IFERROR(FIND(" ",TRIM(MID(B191,FIND(" ",B191,FIND(" ",B191)+1)+1,100)))-1,100)),TRIM(MID(B191,FIND(" ",B191&amp;" ")+1,100)))&amp;", buen día."&amp;CHAR(10)&amp;CHAR(10)&amp;"Te escribo porque "&amp;E191&amp;" personas de tu equipo aún no se han sentado en el Capítulo 1:"&amp;CHAR(10)&amp;CHAR(10)&amp;"1. Rosa Melita Venancino Venancino
2. Sheyla Raborg Garcia
3. Hugo Luis Inche Chavez"&amp;CHAR(10)&amp;CHAR(10)&amp;"El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Lida, buen día.
Te escribo porque 3 personas de tu equipo aún no se han sentado en el Capítulo 1:
1. Rosa Melita Venancino Venancino
2. Sheyla Raborg Garcia
3. Hugo Luis Inche Chavez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92" customFormat="false" ht="105" hidden="false" customHeight="true" outlineLevel="0" collapsed="false">
      <c r="A192" s="13" t="n">
        <v>188</v>
      </c>
      <c r="B192" s="3" t="s">
        <v>1008</v>
      </c>
      <c r="C192" s="4" t="s">
        <v>21</v>
      </c>
      <c r="D192" s="4" t="s">
        <v>1010</v>
      </c>
      <c r="E192" s="14" t="n">
        <f aca="false">COUNTIF(DATA!A:A,B192)</f>
        <v>1</v>
      </c>
      <c r="F192" s="14" t="n">
        <f aca="false">COUNTIFS(DATA!A:A,B192,DATA!G:G,"CONFIRMADO")</f>
        <v>0</v>
      </c>
      <c r="G192" s="5" t="str">
        <f aca="false">IF(E192=0,"SIN DATA",IF(F192=E192,"✅ COMPLETO",IF(F192&gt;0,"🔄 PARCIAL",IF(COUNTIFS(DATA!A:A,B192,DATA!G:G,"PENDIENTE")=E192,"⏳ PENDIENTE","⚠ MIXTO"))))</f>
        <v>⏳ PENDIENTE</v>
      </c>
      <c r="H192" s="12" t="str">
        <f aca="false">"Hola "&amp;IFERROR(LEFT(TRIM(MID(B192,FIND(" ",B192,FIND(" ",B192)+1)+1,100)),IFERROR(FIND(" ",TRIM(MID(B192,FIND(" ",B192,FIND(" ",B192)+1)+1,100)))-1,100)),TRIM(MID(B192,FIND(" ",B192&amp;" ")+1,100)))&amp;", buen día."&amp;CHAR(10)&amp;CHAR(10)&amp;"Te escribo porque una persona de tu equipo aún no se ha sentado en el Capítulo 1:"&amp;CHAR(10)&amp;CHAR(10)&amp;"1. Fiorela Lizbeth Miranda Yampi"&amp;CHAR(10)&amp;CHAR(10)&amp;"El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Genara, buen día.
Te escribo porque una persona de tu equipo aún no se ha sentado en el Capítulo 1:
1. Fiorela Lizbeth Miranda Yampi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3" customFormat="false" ht="105" hidden="false" customHeight="true" outlineLevel="0" collapsed="false">
      <c r="A193" s="10" t="n">
        <v>189</v>
      </c>
      <c r="B193" s="6" t="s">
        <v>1012</v>
      </c>
      <c r="C193" s="7" t="s">
        <v>21</v>
      </c>
      <c r="D193" s="7" t="s">
        <v>1014</v>
      </c>
      <c r="E193" s="11" t="n">
        <f aca="false">COUNTIF(DATA!A:A,B193)</f>
        <v>1</v>
      </c>
      <c r="F193" s="11" t="n">
        <f aca="false">COUNTIFS(DATA!A:A,B193,DATA!G:G,"CONFIRMADO")</f>
        <v>0</v>
      </c>
      <c r="G193" s="5" t="str">
        <f aca="false">IF(E193=0,"SIN DATA",IF(F193=E193,"✅ COMPLETO",IF(F193&gt;0,"🔄 PARCIAL",IF(COUNTIFS(DATA!A:A,B193,DATA!G:G,"PENDIENTE")=E193,"⏳ PENDIENTE","⚠ MIXTO"))))</f>
        <v>⏳ PENDIENTE</v>
      </c>
      <c r="H193" s="12" t="str">
        <f aca="false">"Hola "&amp;IFERROR(LEFT(TRIM(MID(B193,FIND(" ",B193,FIND(" ",B193)+1)+1,100)),IFERROR(FIND(" ",TRIM(MID(B193,FIND(" ",B193,FIND(" ",B193)+1)+1,100)))-1,100)),TRIM(MID(B193,FIND(" ",B193&amp;" ")+1,100)))&amp;", buen día."&amp;CHAR(10)&amp;CHAR(10)&amp;"Te escribo porque una persona de tu equipo aún no se ha sentado en el Capítulo 1:"&amp;CHAR(10)&amp;CHAR(10)&amp;"1. Solahs Romero Tasayco"&amp;CHAR(10)&amp;CHAR(10)&amp;"El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Estefany, buen día.
Te escribo porque una persona de tu equipo aún no se ha sentado en el Capítulo 1:
1. Solahs Romero Tasayco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4" customFormat="false" ht="105" hidden="false" customHeight="true" outlineLevel="0" collapsed="false">
      <c r="A194" s="13" t="n">
        <v>190</v>
      </c>
      <c r="B194" s="3" t="s">
        <v>1016</v>
      </c>
      <c r="C194" s="4" t="s">
        <v>21</v>
      </c>
      <c r="D194" s="4" t="s">
        <v>1018</v>
      </c>
      <c r="E194" s="14" t="n">
        <f aca="false">COUNTIF(DATA!A:A,B194)</f>
        <v>1</v>
      </c>
      <c r="F194" s="14" t="n">
        <f aca="false">COUNTIFS(DATA!A:A,B194,DATA!G:G,"CONFIRMADO")</f>
        <v>0</v>
      </c>
      <c r="G194" s="5" t="str">
        <f aca="false">IF(E194=0,"SIN DATA",IF(F194=E194,"✅ COMPLETO",IF(F194&gt;0,"🔄 PARCIAL",IF(COUNTIFS(DATA!A:A,B194,DATA!G:G,"PENDIENTE")=E194,"⏳ PENDIENTE","⚠ MIXTO"))))</f>
        <v>⏳ PENDIENTE</v>
      </c>
      <c r="H194" s="12" t="str">
        <f aca="false">"Hola "&amp;IFERROR(LEFT(TRIM(MID(B194,FIND(" ",B194,FIND(" ",B194)+1)+1,100)),IFERROR(FIND(" ",TRIM(MID(B194,FIND(" ",B194,FIND(" ",B194)+1)+1,100)))-1,100)),TRIM(MID(B194,FIND(" ",B194&amp;" ")+1,100)))&amp;", buen día."&amp;CHAR(10)&amp;CHAR(10)&amp;"Te escribo porque una persona de tu equipo aún no se ha sentado en el Capítulo 1:"&amp;CHAR(10)&amp;CHAR(10)&amp;"1. Ana Isabel Foroca Santa"&amp;CHAR(10)&amp;CHAR(10)&amp;"El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Doris, buen día.
Te escribo porque una persona de tu equipo aún no se ha sentado en el Capítulo 1:
1. Ana Isabel Foroca Santa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5" customFormat="false" ht="120" hidden="false" customHeight="true" outlineLevel="0" collapsed="false">
      <c r="A195" s="10" t="n">
        <v>191</v>
      </c>
      <c r="B195" s="6" t="s">
        <v>1020</v>
      </c>
      <c r="C195" s="7" t="s">
        <v>21</v>
      </c>
      <c r="D195" s="7" t="s">
        <v>1022</v>
      </c>
      <c r="E195" s="11" t="n">
        <f aca="false">COUNTIF(DATA!A:A,B195)</f>
        <v>2</v>
      </c>
      <c r="F195" s="11" t="n">
        <f aca="false">COUNTIFS(DATA!A:A,B195,DATA!G:G,"CONFIRMADO")</f>
        <v>0</v>
      </c>
      <c r="G195" s="5" t="str">
        <f aca="false">IF(E195=0,"SIN DATA",IF(F195=E195,"✅ COMPLETO",IF(F195&gt;0,"🔄 PARCIAL",IF(COUNTIFS(DATA!A:A,B195,DATA!G:G,"PENDIENTE")=E195,"⏳ PENDIENTE","⚠ MIXTO"))))</f>
        <v>⏳ PENDIENTE</v>
      </c>
      <c r="H195" s="12" t="str">
        <f aca="false">"Hola "&amp;IFERROR(LEFT(TRIM(MID(B195,FIND(" ",B195,FIND(" ",B195)+1)+1,100)),IFERROR(FIND(" ",TRIM(MID(B195,FIND(" ",B195,FIND(" ",B195)+1)+1,100)))-1,100)),TRIM(MID(B195,FIND(" ",B195&amp;" ")+1,100)))&amp;", buen día."&amp;CHAR(10)&amp;CHAR(10)&amp;"Te escribo porque "&amp;E195&amp;" personas de tu equipo aún no se han sentado en el Capítulo 1:"&amp;CHAR(10)&amp;CHAR(10)&amp;"1. Diego Arturo Paz Horostegui
2. Yrma Haydee Mendoza Paredes"&amp;CHAR(10)&amp;CHAR(10)&amp;"El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Edgar, buen día.
Te escribo porque 2 personas de tu equipo aún no se han sentado en el Capítulo 1:
1. Diego Arturo Paz Horostegui
2. Yrma Haydee Mendoza Paredes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96" customFormat="false" ht="195" hidden="false" customHeight="true" outlineLevel="0" collapsed="false">
      <c r="A196" s="13" t="n">
        <v>192</v>
      </c>
      <c r="B196" s="3" t="s">
        <v>1025</v>
      </c>
      <c r="C196" s="4" t="s">
        <v>21</v>
      </c>
      <c r="D196" s="4" t="s">
        <v>1027</v>
      </c>
      <c r="E196" s="14" t="n">
        <f aca="false">COUNTIF(DATA!A:A,B196)</f>
        <v>7</v>
      </c>
      <c r="F196" s="14" t="n">
        <f aca="false">COUNTIFS(DATA!A:A,B196,DATA!G:G,"CONFIRMADO")</f>
        <v>0</v>
      </c>
      <c r="G196" s="5" t="str">
        <f aca="false">IF(E196=0,"SIN DATA",IF(F196=E196,"✅ COMPLETO",IF(F196&gt;0,"🔄 PARCIAL",IF(COUNTIFS(DATA!A:A,B196,DATA!G:G,"PENDIENTE")=E196,"⏳ PENDIENTE","⚠ MIXTO"))))</f>
        <v>⏳ PENDIENTE</v>
      </c>
      <c r="H196" s="12" t="str">
        <f aca="false">"Hola "&amp;IFERROR(LEFT(TRIM(MID(B196,FIND(" ",B196,FIND(" ",B196)+1)+1,100)),IFERROR(FIND(" ",TRIM(MID(B196,FIND(" ",B196,FIND(" ",B196)+1)+1,100)))-1,100)),TRIM(MID(B196,FIND(" ",B196&amp;" ")+1,100)))&amp;", buen día."&amp;CHAR(10)&amp;CHAR(10)&amp;"Te escribo porque "&amp;E196&amp;" personas de tu equipo aún no se han sentado en el Capítulo 1:"&amp;CHAR(10)&amp;CHAR(10)&amp;"1. Hayde Huanap Ravello
2. Esther Ludena Garcia
3. Pamela Alondra Ramirez Manuyama
4. Ruben Daniel Aponte Perez
5. Jimmy Paul Zamorano Alvarado
6. Melissa Alejos Clemente
7. Sandra Sofia Bances Orco"&amp;CHAR(10)&amp;CHAR(10)&amp;"El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Charo, buen día.
Te escribo porque 7 personas de tu equipo aún no se han sentado en el Capítulo 1:
1. Hayde Huanap Ravello
2. Esther Ludena Garcia
3. Pamela Alondra Ramirez Manuyama
4. Ruben Daniel Aponte Perez
5. Jimmy Paul Zamorano Alvarado
6. Melissa Alejos Clemente
7. Sandra Sofia Bances Orco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197" customFormat="false" ht="105" hidden="false" customHeight="true" outlineLevel="0" collapsed="false">
      <c r="A197" s="10" t="n">
        <v>193</v>
      </c>
      <c r="B197" s="6" t="s">
        <v>1035</v>
      </c>
      <c r="C197" s="7" t="s">
        <v>21</v>
      </c>
      <c r="D197" s="7" t="s">
        <v>1036</v>
      </c>
      <c r="E197" s="11" t="n">
        <f aca="false">COUNTIF(DATA!A:A,B197)</f>
        <v>1</v>
      </c>
      <c r="F197" s="11" t="n">
        <f aca="false">COUNTIFS(DATA!A:A,B197,DATA!G:G,"CONFIRMADO")</f>
        <v>0</v>
      </c>
      <c r="G197" s="5" t="str">
        <f aca="false">IF(E197=0,"SIN DATA",IF(F197=E197,"✅ COMPLETO",IF(F197&gt;0,"🔄 PARCIAL",IF(COUNTIFS(DATA!A:A,B197,DATA!G:G,"PENDIENTE")=E197,"⏳ PENDIENTE","⚠ MIXTO"))))</f>
        <v>⏳ PENDIENTE</v>
      </c>
      <c r="H197" s="12" t="str">
        <f aca="false">"Hola "&amp;IFERROR(LEFT(TRIM(MID(B197,FIND(" ",B197,FIND(" ",B197)+1)+1,100)),IFERROR(FIND(" ",TRIM(MID(B197,FIND(" ",B197,FIND(" ",B197)+1)+1,100)))-1,100)),TRIM(MID(B197,FIND(" ",B197&amp;" ")+1,100)))&amp;", buen día."&amp;CHAR(10)&amp;CHAR(10)&amp;"Te escribo porque una persona de tu equipo aún no se ha sentado en el Capítulo 1:"&amp;CHAR(10)&amp;CHAR(10)&amp;"1. Julissa Querevalu"&amp;CHAR(10)&amp;CHAR(10)&amp;"El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Gustavo, buen día.
Te escribo porque una persona de tu equipo aún no se ha sentado en el Capítulo 1:
1. Julissa Querevalu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8" customFormat="false" ht="105" hidden="false" customHeight="true" outlineLevel="0" collapsed="false">
      <c r="A198" s="13" t="n">
        <v>194</v>
      </c>
      <c r="B198" s="3" t="s">
        <v>1038</v>
      </c>
      <c r="C198" s="4" t="s">
        <v>21</v>
      </c>
      <c r="D198" s="4" t="s">
        <v>1039</v>
      </c>
      <c r="E198" s="14" t="n">
        <f aca="false">COUNTIF(DATA!A:A,B198)</f>
        <v>1</v>
      </c>
      <c r="F198" s="14" t="n">
        <f aca="false">COUNTIFS(DATA!A:A,B198,DATA!G:G,"CONFIRMADO")</f>
        <v>0</v>
      </c>
      <c r="G198" s="5" t="str">
        <f aca="false">IF(E198=0,"SIN DATA",IF(F198=E198,"✅ COMPLETO",IF(F198&gt;0,"🔄 PARCIAL",IF(COUNTIFS(DATA!A:A,B198,DATA!G:G,"PENDIENTE")=E198,"⏳ PENDIENTE","⚠ MIXTO"))))</f>
        <v>⏳ PENDIENTE</v>
      </c>
      <c r="H198" s="12" t="str">
        <f aca="false">"Hola "&amp;IFERROR(LEFT(TRIM(MID(B198,FIND(" ",B198,FIND(" ",B198)+1)+1,100)),IFERROR(FIND(" ",TRIM(MID(B198,FIND(" ",B198,FIND(" ",B198)+1)+1,100)))-1,100)),TRIM(MID(B198,FIND(" ",B198&amp;" ")+1,100)))&amp;", buen día."&amp;CHAR(10)&amp;CHAR(10)&amp;"Te escribo porque una persona de tu equipo aún no se ha sentado en el Capítulo 1:"&amp;CHAR(10)&amp;CHAR(10)&amp;"1. Rosario Kimberly Yupanqui Rodriguez"&amp;CHAR(10)&amp;CHAR(10)&amp;"El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Carmen, buen día.
Te escribo porque una persona de tu equipo aún no se ha sentado en el Capítulo 1:
1. Rosario Kimberly Yupanqui Rodriguez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199" customFormat="false" ht="165" hidden="false" customHeight="true" outlineLevel="0" collapsed="false">
      <c r="A199" s="10" t="n">
        <v>195</v>
      </c>
      <c r="B199" s="6" t="s">
        <v>1041</v>
      </c>
      <c r="C199" s="7" t="s">
        <v>21</v>
      </c>
      <c r="D199" s="7" t="s">
        <v>1043</v>
      </c>
      <c r="E199" s="11" t="n">
        <f aca="false">COUNTIF(DATA!A:A,B199)</f>
        <v>5</v>
      </c>
      <c r="F199" s="11" t="n">
        <f aca="false">COUNTIFS(DATA!A:A,B199,DATA!G:G,"CONFIRMADO")</f>
        <v>0</v>
      </c>
      <c r="G199" s="5" t="str">
        <f aca="false">IF(E199=0,"SIN DATA",IF(F199=E199,"✅ COMPLETO",IF(F199&gt;0,"🔄 PARCIAL",IF(COUNTIFS(DATA!A:A,B199,DATA!G:G,"PENDIENTE")=E199,"⏳ PENDIENTE","⚠ MIXTO"))))</f>
        <v>⏳ PENDIENTE</v>
      </c>
      <c r="H199" s="12" t="str">
        <f aca="false">"Hola "&amp;IFERROR(LEFT(TRIM(MID(B199,FIND(" ",B199,FIND(" ",B199)+1)+1,100)),IFERROR(FIND(" ",TRIM(MID(B199,FIND(" ",B199,FIND(" ",B199)+1)+1,100)))-1,100)),TRIM(MID(B199,FIND(" ",B199&amp;" ")+1,100)))&amp;", buen día."&amp;CHAR(10)&amp;CHAR(10)&amp;"Te escribo porque "&amp;E199&amp;" personas de tu equipo aún no se han sentado en el Capítulo 1:"&amp;CHAR(10)&amp;CHAR(10)&amp;"1. Baudelia Inga Tomaguilla
2. Fredy Inga Tomanguilla
3. Edgar Escalante Flores
4. Leydi Tello Talexio
5. Fabio Alvarez Salazar"&amp;CHAR(10)&amp;CHAR(10)&amp;"El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Lenin, buen día.
Te escribo porque 5 personas de tu equipo aún no se han sentado en el Capítulo 1:
1. Baudelia Inga Tomaguilla
2. Fredy Inga Tomanguilla
3. Edgar Escalante Flores
4. Leydi Tello Talexio
5. Fabio Alvarez Salazar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0" customFormat="false" ht="105" hidden="false" customHeight="true" outlineLevel="0" collapsed="false">
      <c r="A200" s="13" t="n">
        <v>196</v>
      </c>
      <c r="B200" s="3" t="s">
        <v>1049</v>
      </c>
      <c r="C200" s="4" t="s">
        <v>21</v>
      </c>
      <c r="D200" s="4" t="s">
        <v>1051</v>
      </c>
      <c r="E200" s="14" t="n">
        <f aca="false">COUNTIF(DATA!A:A,B200)</f>
        <v>1</v>
      </c>
      <c r="F200" s="14" t="n">
        <f aca="false">COUNTIFS(DATA!A:A,B200,DATA!G:G,"CONFIRMADO")</f>
        <v>0</v>
      </c>
      <c r="G200" s="5" t="str">
        <f aca="false">IF(E200=0,"SIN DATA",IF(F200=E200,"✅ COMPLETO",IF(F200&gt;0,"🔄 PARCIAL",IF(COUNTIFS(DATA!A:A,B200,DATA!G:G,"PENDIENTE")=E200,"⏳ PENDIENTE","⚠ MIXTO"))))</f>
        <v>⏳ PENDIENTE</v>
      </c>
      <c r="H200" s="12" t="str">
        <f aca="false">"Hola "&amp;IFERROR(LEFT(TRIM(MID(B200,FIND(" ",B200,FIND(" ",B200)+1)+1,100)),IFERROR(FIND(" ",TRIM(MID(B200,FIND(" ",B200,FIND(" ",B200)+1)+1,100)))-1,100)),TRIM(MID(B200,FIND(" ",B200&amp;" ")+1,100)))&amp;", buen día."&amp;CHAR(10)&amp;CHAR(10)&amp;"Te escribo porque una persona de tu equipo aún no se ha sentado en el Capítulo 1:"&amp;CHAR(10)&amp;CHAR(10)&amp;"1. Ponciano Curilla Lazo"&amp;CHAR(10)&amp;CHAR(10)&amp;"El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Yuli, buen día.
Te escribo porque una persona de tu equipo aún no se ha sentado en el Capítulo 1:
1. Ponciano Curilla Lazo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01" customFormat="false" ht="135" hidden="false" customHeight="true" outlineLevel="0" collapsed="false">
      <c r="A201" s="10" t="n">
        <v>197</v>
      </c>
      <c r="B201" s="6" t="s">
        <v>1053</v>
      </c>
      <c r="C201" s="7" t="s">
        <v>21</v>
      </c>
      <c r="D201" s="7" t="s">
        <v>1055</v>
      </c>
      <c r="E201" s="11" t="n">
        <f aca="false">COUNTIF(DATA!A:A,B201)</f>
        <v>3</v>
      </c>
      <c r="F201" s="11" t="n">
        <f aca="false">COUNTIFS(DATA!A:A,B201,DATA!G:G,"CONFIRMADO")</f>
        <v>0</v>
      </c>
      <c r="G201" s="5" t="str">
        <f aca="false">IF(E201=0,"SIN DATA",IF(F201=E201,"✅ COMPLETO",IF(F201&gt;0,"🔄 PARCIAL",IF(COUNTIFS(DATA!A:A,B201,DATA!G:G,"PENDIENTE")=E201,"⏳ PENDIENTE","⚠ MIXTO"))))</f>
        <v>⏳ PENDIENTE</v>
      </c>
      <c r="H201" s="12" t="str">
        <f aca="false">"Hola "&amp;IFERROR(LEFT(TRIM(MID(B201,FIND(" ",B201,FIND(" ",B201)+1)+1,100)),IFERROR(FIND(" ",TRIM(MID(B201,FIND(" ",B201,FIND(" ",B201)+1)+1,100)))-1,100)),TRIM(MID(B201,FIND(" ",B201&amp;" ")+1,100)))&amp;", buen día."&amp;CHAR(10)&amp;CHAR(10)&amp;"Te escribo porque "&amp;E201&amp;" personas de tu equipo aún no se han sentado en el Capítulo 1:"&amp;CHAR(10)&amp;CHAR(10)&amp;"1. Luciana Irene Taipe Oliva
2. Brijitte Joanne Garcia Acuna
3. Surimar Yaimara Mora Fernandez"&amp;CHAR(10)&amp;CHAR(10)&amp;"El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Rufino, buen día.
Te escribo porque 3 personas de tu equipo aún no se han sentado en el Capítulo 1:
1. Luciana Irene Taipe Oliva
2. Brijitte Joanne Garcia Acuna
3. Surimar Yaimara Mora Fernandez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2" customFormat="false" ht="195" hidden="false" customHeight="true" outlineLevel="0" collapsed="false">
      <c r="A202" s="13" t="n">
        <v>198</v>
      </c>
      <c r="B202" s="3" t="s">
        <v>1059</v>
      </c>
      <c r="C202" s="4" t="s">
        <v>21</v>
      </c>
      <c r="D202" s="4" t="s">
        <v>1061</v>
      </c>
      <c r="E202" s="14" t="n">
        <f aca="false">COUNTIF(DATA!A:A,B202)</f>
        <v>7</v>
      </c>
      <c r="F202" s="14" t="n">
        <f aca="false">COUNTIFS(DATA!A:A,B202,DATA!G:G,"CONFIRMADO")</f>
        <v>0</v>
      </c>
      <c r="G202" s="5" t="str">
        <f aca="false">IF(E202=0,"SIN DATA",IF(F202=E202,"✅ COMPLETO",IF(F202&gt;0,"🔄 PARCIAL",IF(COUNTIFS(DATA!A:A,B202,DATA!G:G,"PENDIENTE")=E202,"⏳ PENDIENTE","⚠ MIXTO"))))</f>
        <v>⏳ PENDIENTE</v>
      </c>
      <c r="H202" s="12" t="str">
        <f aca="false">"Hola "&amp;IFERROR(LEFT(TRIM(MID(B202,FIND(" ",B202,FIND(" ",B202)+1)+1,100)),IFERROR(FIND(" ",TRIM(MID(B202,FIND(" ",B202,FIND(" ",B202)+1)+1,100)))-1,100)),TRIM(MID(B202,FIND(" ",B202&amp;" ")+1,100)))&amp;", buen día."&amp;CHAR(10)&amp;CHAR(10)&amp;"Te escribo porque "&amp;E202&amp;" personas de tu equipo aún no se han sentado en el Capítulo 1:"&amp;CHAR(10)&amp;CHAR(10)&amp;"1. Leny Rocio Huaymacari Arirua
2. Maria Teresa Arevalo Sanchez
3. Oscar Alfredo Marroquin Castillo
4. Emerita Tangoa Lancha
5. Laura Luz Sanchez Ruiz
6. Milagritos Del Pilar Arevalo Sanchez
7. Zenida Victoria Crespo Atencio"&amp;CHAR(10)&amp;CHAR(10)&amp;"El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Bertha, buen día.
Te escribo porque 7 personas de tu equipo aún no se han sentado en el Capítulo 1:
1. Leny Rocio Huaymacari Arirua
2. Maria Teresa Arevalo Sanchez
3. Oscar Alfredo Marroquin Castillo
4. Emerita Tangoa Lancha
5. Laura Luz Sanchez Ruiz
6. Milagritos Del Pilar Arevalo Sanchez
7. Zenida Victoria Crespo Atencio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3" customFormat="false" ht="195" hidden="false" customHeight="true" outlineLevel="0" collapsed="false">
      <c r="A203" s="10" t="n">
        <v>199</v>
      </c>
      <c r="B203" s="6" t="s">
        <v>1069</v>
      </c>
      <c r="C203" s="7" t="s">
        <v>21</v>
      </c>
      <c r="D203" s="7" t="s">
        <v>1071</v>
      </c>
      <c r="E203" s="11" t="n">
        <f aca="false">COUNTIF(DATA!A:A,B203)</f>
        <v>7</v>
      </c>
      <c r="F203" s="11" t="n">
        <f aca="false">COUNTIFS(DATA!A:A,B203,DATA!G:G,"CONFIRMADO")</f>
        <v>0</v>
      </c>
      <c r="G203" s="5" t="str">
        <f aca="false">IF(E203=0,"SIN DATA",IF(F203=E203,"✅ COMPLETO",IF(F203&gt;0,"🔄 PARCIAL",IF(COUNTIFS(DATA!A:A,B203,DATA!G:G,"PENDIENTE")=E203,"⏳ PENDIENTE","⚠ MIXTO"))))</f>
        <v>⏳ PENDIENTE</v>
      </c>
      <c r="H203" s="12" t="str">
        <f aca="false">"Hola "&amp;IFERROR(LEFT(TRIM(MID(B203,FIND(" ",B203,FIND(" ",B203)+1)+1,100)),IFERROR(FIND(" ",TRIM(MID(B203,FIND(" ",B203,FIND(" ",B203)+1)+1,100)))-1,100)),TRIM(MID(B203,FIND(" ",B203&amp;" ")+1,100)))&amp;", buen día."&amp;CHAR(10)&amp;CHAR(10)&amp;"Te escribo porque "&amp;E203&amp;" personas de tu equipo aún no se han sentado en el Capítulo 1:"&amp;CHAR(10)&amp;CHAR(10)&amp;"1. Flavio Simon Lucas
2. Wily Nolasco Estela
3. Jose Antonio Ccanto Benito
4. Lucas Andrade Elder
5. Maria Celia Barazorda Chuquimajo
6. Aldo Torres Estela
7. Estelina Erica Nolasco Espinoza"&amp;CHAR(10)&amp;CHAR(10)&amp;"El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Nilda, buen día.
Te escribo porque 7 personas de tu equipo aún no se han sentado en el Capítulo 1:
1. Flavio Simon Lucas
2. Wily Nolasco Estela
3. Jose Antonio Ccanto Benito
4. Lucas Andrade Elder
5. Maria Celia Barazorda Chuquimajo
6. Aldo Torres Estela
7. Estelina Erica Nolasco Espinoza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4" customFormat="false" ht="165" hidden="false" customHeight="true" outlineLevel="0" collapsed="false">
      <c r="A204" s="13" t="n">
        <v>200</v>
      </c>
      <c r="B204" s="3" t="s">
        <v>1079</v>
      </c>
      <c r="C204" s="4" t="s">
        <v>21</v>
      </c>
      <c r="D204" s="4" t="s">
        <v>1080</v>
      </c>
      <c r="E204" s="14" t="n">
        <f aca="false">COUNTIF(DATA!A:A,B204)</f>
        <v>5</v>
      </c>
      <c r="F204" s="14" t="n">
        <f aca="false">COUNTIFS(DATA!A:A,B204,DATA!G:G,"CONFIRMADO")</f>
        <v>0</v>
      </c>
      <c r="G204" s="5" t="str">
        <f aca="false">IF(E204=0,"SIN DATA",IF(F204=E204,"✅ COMPLETO",IF(F204&gt;0,"🔄 PARCIAL",IF(COUNTIFS(DATA!A:A,B204,DATA!G:G,"PENDIENTE")=E204,"⏳ PENDIENTE","⚠ MIXTO"))))</f>
        <v>⏳ PENDIENTE</v>
      </c>
      <c r="H204" s="12" t="str">
        <f aca="false">"Hola "&amp;IFERROR(LEFT(TRIM(MID(B204,FIND(" ",B204,FIND(" ",B204)+1)+1,100)),IFERROR(FIND(" ",TRIM(MID(B204,FIND(" ",B204,FIND(" ",B204)+1)+1,100)))-1,100)),TRIM(MID(B204,FIND(" ",B204&amp;" ")+1,100)))&amp;", buen día."&amp;CHAR(10)&amp;CHAR(10)&amp;"Te escribo porque "&amp;E204&amp;" personas de tu equipo aún no se han sentado en el Capítulo 1:"&amp;CHAR(10)&amp;CHAR(10)&amp;"1. Ismael Garcia Salvador
2. Noelia Camila Zapata Mancilla
3. Mayusty Dania Curi Salvador
4. Luciana Quispe Palacios
5. Oscar Enrique Santiago Ramirez"&amp;CHAR(10)&amp;CHAR(10)&amp;"El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Jose, buen día.
Te escribo porque 5 personas de tu equipo aún no se han sentado en el Capítulo 1:
1. Ismael Garcia Salvador
2. Noelia Camila Zapata Mancilla
3. Mayusty Dania Curi Salvador
4. Luciana Quispe Palacios
5. Oscar Enrique Santiago Ramirez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5" customFormat="false" ht="165" hidden="false" customHeight="true" outlineLevel="0" collapsed="false">
      <c r="A205" s="10" t="n">
        <v>201</v>
      </c>
      <c r="B205" s="6" t="s">
        <v>1086</v>
      </c>
      <c r="C205" s="7" t="s">
        <v>21</v>
      </c>
      <c r="D205" s="7" t="s">
        <v>1087</v>
      </c>
      <c r="E205" s="11" t="n">
        <f aca="false">COUNTIF(DATA!A:A,B205)</f>
        <v>5</v>
      </c>
      <c r="F205" s="11" t="n">
        <f aca="false">COUNTIFS(DATA!A:A,B205,DATA!G:G,"CONFIRMADO")</f>
        <v>0</v>
      </c>
      <c r="G205" s="5" t="str">
        <f aca="false">IF(E205=0,"SIN DATA",IF(F205=E205,"✅ COMPLETO",IF(F205&gt;0,"🔄 PARCIAL",IF(COUNTIFS(DATA!A:A,B205,DATA!G:G,"PENDIENTE")=E205,"⏳ PENDIENTE","⚠ MIXTO"))))</f>
        <v>⏳ PENDIENTE</v>
      </c>
      <c r="H205" s="12" t="str">
        <f aca="false">"Hola "&amp;IFERROR(LEFT(TRIM(MID(B205,FIND(" ",B205,FIND(" ",B205)+1)+1,100)),IFERROR(FIND(" ",TRIM(MID(B205,FIND(" ",B205,FIND(" ",B205)+1)+1,100)))-1,100)),TRIM(MID(B205,FIND(" ",B205&amp;" ")+1,100)))&amp;", buen día."&amp;CHAR(10)&amp;CHAR(10)&amp;"Te escribo porque "&amp;E205&amp;" personas de tu equipo aún no se han sentado en el Capítulo 1:"&amp;CHAR(10)&amp;CHAR(10)&amp;"1. Gina Lizbeth Arapa Ponce
2. Carlos Joel Rivera Yip
3. Esther Luque Bonet
4. Dyango Francisco Jaramillo Alarcon
5. Yalesca Corahua Rojas"&amp;CHAR(10)&amp;CHAR(10)&amp;"El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Pamela, buen día.
Te escribo porque 5 personas de tu equipo aún no se han sentado en el Capítulo 1:
1. Gina Lizbeth Arapa Ponce
2. Carlos Joel Rivera Yip
3. Esther Luque Bonet
4. Dyango Francisco Jaramillo Alarcon
5. Yalesca Corahua Rojas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6" customFormat="false" ht="165" hidden="false" customHeight="true" outlineLevel="0" collapsed="false">
      <c r="A206" s="13" t="n">
        <v>202</v>
      </c>
      <c r="B206" s="3" t="s">
        <v>1093</v>
      </c>
      <c r="C206" s="4" t="s">
        <v>21</v>
      </c>
      <c r="D206" s="4" t="s">
        <v>1094</v>
      </c>
      <c r="E206" s="14" t="n">
        <f aca="false">COUNTIF(DATA!A:A,B206)</f>
        <v>5</v>
      </c>
      <c r="F206" s="14" t="n">
        <f aca="false">COUNTIFS(DATA!A:A,B206,DATA!G:G,"CONFIRMADO")</f>
        <v>0</v>
      </c>
      <c r="G206" s="5" t="str">
        <f aca="false">IF(E206=0,"SIN DATA",IF(F206=E206,"✅ COMPLETO",IF(F206&gt;0,"🔄 PARCIAL",IF(COUNTIFS(DATA!A:A,B206,DATA!G:G,"PENDIENTE")=E206,"⏳ PENDIENTE","⚠ MIXTO"))))</f>
        <v>⏳ PENDIENTE</v>
      </c>
      <c r="H206" s="12" t="str">
        <f aca="false">"Hola "&amp;IFERROR(LEFT(TRIM(MID(B206,FIND(" ",B206,FIND(" ",B206)+1)+1,100)),IFERROR(FIND(" ",TRIM(MID(B206,FIND(" ",B206,FIND(" ",B206)+1)+1,100)))-1,100)),TRIM(MID(B206,FIND(" ",B206&amp;" ")+1,100)))&amp;", buen día."&amp;CHAR(10)&amp;CHAR(10)&amp;"Te escribo porque "&amp;E206&amp;" personas de tu equipo aún no se han sentado en el Capítulo 1:"&amp;CHAR(10)&amp;CHAR(10)&amp;"1. Nilo Espinoza Leon
2. Claudia Jimena Rengifo Ochoa
3. Daniel Gerson Leon
4. Jessica Rossmeri Rique Calixto
5. Pamela Pastrana Rique"&amp;CHAR(10)&amp;CHAR(10)&amp;"El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Anthony, buen día.
Te escribo porque 5 personas de tu equipo aún no se han sentado en el Capítulo 1:
1. Nilo Espinoza Leon
2. Claudia Jimena Rengifo Ochoa
3. Daniel Gerson Leon
4. Jessica Rossmeri Rique Calixto
5. Pamela Pastrana Rique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7" customFormat="false" ht="210" hidden="false" customHeight="true" outlineLevel="0" collapsed="false">
      <c r="A207" s="10" t="n">
        <v>203</v>
      </c>
      <c r="B207" s="6" t="s">
        <v>1100</v>
      </c>
      <c r="C207" s="7" t="s">
        <v>21</v>
      </c>
      <c r="D207" s="7" t="s">
        <v>1102</v>
      </c>
      <c r="E207" s="11" t="n">
        <f aca="false">COUNTIF(DATA!A:A,B207)</f>
        <v>8</v>
      </c>
      <c r="F207" s="11" t="n">
        <f aca="false">COUNTIFS(DATA!A:A,B207,DATA!G:G,"CONFIRMADO")</f>
        <v>0</v>
      </c>
      <c r="G207" s="5" t="str">
        <f aca="false">IF(E207=0,"SIN DATA",IF(F207=E207,"✅ COMPLETO",IF(F207&gt;0,"🔄 PARCIAL",IF(COUNTIFS(DATA!A:A,B207,DATA!G:G,"PENDIENTE")=E207,"⏳ PENDIENTE","⚠ MIXTO"))))</f>
        <v>⏳ PENDIENTE</v>
      </c>
      <c r="H207" s="12" t="str">
        <f aca="false">"Hola "&amp;IFERROR(LEFT(TRIM(MID(B207,FIND(" ",B207,FIND(" ",B207)+1)+1,100)),IFERROR(FIND(" ",TRIM(MID(B207,FIND(" ",B207,FIND(" ",B207)+1)+1,100)))-1,100)),TRIM(MID(B207,FIND(" ",B207&amp;" ")+1,100)))&amp;", buen día."&amp;CHAR(10)&amp;CHAR(10)&amp;"Te escribo porque "&amp;E207&amp;" personas de tu equipo aún no se han sentado en el Capítulo 1:"&amp;CHAR(10)&amp;CHAR(10)&amp;"1. Maybeec  Lucy Ortega Carranza
2. Presilla Chuquillanqui Rodriguez
3. Carlos Enrique Farro Neyra
4. Elizabeth Pujaico Salvatierra
5. Fredy Raul Huayllasco Guerreros
6. Jose Francisco Osorio Carlos
7. Gabriela Stefania Hernando Vilela
8. Mariza Pilar Becerra Rengifo"&amp;CHAR(10)&amp;CHAR(10)&amp;"El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Rosmery, buen día.
Te escribo porque 8 personas de tu equipo aún no se han sentado en el Capítulo 1:
1. Maybeec  Lucy Ortega Carranza
2. Presilla Chuquillanqui Rodriguez
3. Carlos Enrique Farro Neyra
4. Elizabeth Pujaico Salvatierra
5. Fredy Raul Huayllasco Guerreros
6. Jose Francisco Osorio Carlos
7. Gabriela Stefania Hernando Vilela
8. Mariza Pilar Becerra Rengifo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8" customFormat="false" ht="150" hidden="false" customHeight="true" outlineLevel="0" collapsed="false">
      <c r="A208" s="13" t="n">
        <v>204</v>
      </c>
      <c r="B208" s="3" t="s">
        <v>1111</v>
      </c>
      <c r="C208" s="4" t="s">
        <v>21</v>
      </c>
      <c r="D208" s="4" t="s">
        <v>1113</v>
      </c>
      <c r="E208" s="14" t="n">
        <f aca="false">COUNTIF(DATA!A:A,B208)</f>
        <v>4</v>
      </c>
      <c r="F208" s="14" t="n">
        <f aca="false">COUNTIFS(DATA!A:A,B208,DATA!G:G,"CONFIRMADO")</f>
        <v>0</v>
      </c>
      <c r="G208" s="5" t="str">
        <f aca="false">IF(E208=0,"SIN DATA",IF(F208=E208,"✅ COMPLETO",IF(F208&gt;0,"🔄 PARCIAL",IF(COUNTIFS(DATA!A:A,B208,DATA!G:G,"PENDIENTE")=E208,"⏳ PENDIENTE","⚠ MIXTO"))))</f>
        <v>⏳ PENDIENTE</v>
      </c>
      <c r="H208" s="12" t="str">
        <f aca="false">"Hola "&amp;IFERROR(LEFT(TRIM(MID(B208,FIND(" ",B208,FIND(" ",B208)+1)+1,100)),IFERROR(FIND(" ",TRIM(MID(B208,FIND(" ",B208,FIND(" ",B208)+1)+1,100)))-1,100)),TRIM(MID(B208,FIND(" ",B208&amp;" ")+1,100)))&amp;", buen día."&amp;CHAR(10)&amp;CHAR(10)&amp;"Te escribo porque "&amp;E208&amp;" personas de tu equipo aún no se han sentado en el Capítulo 1:"&amp;CHAR(10)&amp;CHAR(10)&amp;"1. Rodrigo Giovani Morales Huarac
2. Felix Eduardo Villa Gonzales
3. Maria Teresa Vera Garcia
4. Carlos Fernando Huaman Cahuana"&amp;CHAR(10)&amp;CHAR(10)&amp;"El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Grezia, buen día.
Te escribo porque 4 personas de tu equipo aún no se han sentado en el Capítulo 1:
1. Rodrigo Giovani Morales Huarac
2. Felix Eduardo Villa Gonzales
3. Maria Teresa Vera Garcia
4. Carlos Fernando Huaman Cahuana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09" customFormat="false" ht="150" hidden="false" customHeight="true" outlineLevel="0" collapsed="false">
      <c r="A209" s="10" t="n">
        <v>205</v>
      </c>
      <c r="B209" s="6" t="s">
        <v>1118</v>
      </c>
      <c r="C209" s="7" t="s">
        <v>21</v>
      </c>
      <c r="D209" s="7" t="s">
        <v>1119</v>
      </c>
      <c r="E209" s="11" t="n">
        <f aca="false">COUNTIF(DATA!A:A,B209)</f>
        <v>4</v>
      </c>
      <c r="F209" s="11" t="n">
        <f aca="false">COUNTIFS(DATA!A:A,B209,DATA!G:G,"CONFIRMADO")</f>
        <v>0</v>
      </c>
      <c r="G209" s="5" t="str">
        <f aca="false">IF(E209=0,"SIN DATA",IF(F209=E209,"✅ COMPLETO",IF(F209&gt;0,"🔄 PARCIAL",IF(COUNTIFS(DATA!A:A,B209,DATA!G:G,"PENDIENTE")=E209,"⏳ PENDIENTE","⚠ MIXTO"))))</f>
        <v>⏳ PENDIENTE</v>
      </c>
      <c r="H209" s="12" t="str">
        <f aca="false">"Hola "&amp;IFERROR(LEFT(TRIM(MID(B209,FIND(" ",B209,FIND(" ",B209)+1)+1,100)),IFERROR(FIND(" ",TRIM(MID(B209,FIND(" ",B209,FIND(" ",B209)+1)+1,100)))-1,100)),TRIM(MID(B209,FIND(" ",B209&amp;" ")+1,100)))&amp;", buen día."&amp;CHAR(10)&amp;CHAR(10)&amp;"Te escribo porque "&amp;E209&amp;" personas de tu equipo aún no se han sentado en el Capítulo 1:"&amp;CHAR(10)&amp;CHAR(10)&amp;"1. Juan Castaneda Garay
2. Maria Jose Cuadrado Castaneda
3. Diana Ponce De Leon
4. Henry Luis Neyra Espinoza"&amp;CHAR(10)&amp;CHAR(10)&amp;"El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De, buen día.
Te escribo porque 4 personas de tu equipo aún no se han sentado en el Capítulo 1:
1. Juan Castaneda Garay
2. Maria Jose Cuadrado Castaneda
3. Diana Ponce De Leon
4. Henry Luis Neyra Espinoza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0" customFormat="false" ht="105" hidden="false" customHeight="true" outlineLevel="0" collapsed="false">
      <c r="A210" s="13" t="n">
        <v>206</v>
      </c>
      <c r="B210" s="3" t="s">
        <v>1124</v>
      </c>
      <c r="C210" s="4" t="s">
        <v>27</v>
      </c>
      <c r="D210" s="4" t="s">
        <v>1126</v>
      </c>
      <c r="E210" s="14" t="n">
        <f aca="false">COUNTIF(DATA!A:A,B210)</f>
        <v>1</v>
      </c>
      <c r="F210" s="14" t="n">
        <f aca="false">COUNTIFS(DATA!A:A,B210,DATA!G:G,"CONFIRMADO")</f>
        <v>0</v>
      </c>
      <c r="G210" s="5" t="str">
        <f aca="false">IF(E210=0,"SIN DATA",IF(F210=E210,"✅ COMPLETO",IF(F210&gt;0,"🔄 PARCIAL",IF(COUNTIFS(DATA!A:A,B210,DATA!G:G,"PENDIENTE")=E210,"⏳ PENDIENTE","⚠ MIXTO"))))</f>
        <v>⏳ PENDIENTE</v>
      </c>
      <c r="H210" s="12" t="str">
        <f aca="false">"Hola "&amp;IFERROR(LEFT(TRIM(MID(B210,FIND(" ",B210,FIND(" ",B210)+1)+1,100)),IFERROR(FIND(" ",TRIM(MID(B210,FIND(" ",B210,FIND(" ",B210)+1)+1,100)))-1,100)),TRIM(MID(B210,FIND(" ",B210&amp;" ")+1,100)))&amp;", buen día."&amp;CHAR(10)&amp;CHAR(10)&amp;"Te escribo porque una persona de tu equipo aún no se ha sentado en el Capítulo 1:"&amp;CHAR(10)&amp;CHAR(10)&amp;"1. Magda Mardonia Cadillo Vizcarra"&amp;CHAR(10)&amp;CHAR(10)&amp;"El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Maggie, buen día.
Te escribo porque una persona de tu equipo aún no se ha sentado en el Capítulo 1:
1. Magda Mardonia Cadillo Vizcarra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11" customFormat="false" ht="135" hidden="false" customHeight="true" outlineLevel="0" collapsed="false">
      <c r="A211" s="10" t="n">
        <v>207</v>
      </c>
      <c r="B211" s="6" t="s">
        <v>1128</v>
      </c>
      <c r="C211" s="7" t="s">
        <v>27</v>
      </c>
      <c r="D211" s="7" t="s">
        <v>1130</v>
      </c>
      <c r="E211" s="11" t="n">
        <f aca="false">COUNTIF(DATA!A:A,B211)</f>
        <v>3</v>
      </c>
      <c r="F211" s="11" t="n">
        <f aca="false">COUNTIFS(DATA!A:A,B211,DATA!G:G,"CONFIRMADO")</f>
        <v>0</v>
      </c>
      <c r="G211" s="5" t="str">
        <f aca="false">IF(E211=0,"SIN DATA",IF(F211=E211,"✅ COMPLETO",IF(F211&gt;0,"🔄 PARCIAL",IF(COUNTIFS(DATA!A:A,B211,DATA!G:G,"PENDIENTE")=E211,"⏳ PENDIENTE","⚠ MIXTO"))))</f>
        <v>⏳ PENDIENTE</v>
      </c>
      <c r="H211" s="12" t="str">
        <f aca="false">"Hola "&amp;IFERROR(LEFT(TRIM(MID(B211,FIND(" ",B211,FIND(" ",B211)+1)+1,100)),IFERROR(FIND(" ",TRIM(MID(B211,FIND(" ",B211,FIND(" ",B211)+1)+1,100)))-1,100)),TRIM(MID(B211,FIND(" ",B211&amp;" ")+1,100)))&amp;", buen día."&amp;CHAR(10)&amp;CHAR(10)&amp;"Te escribo porque "&amp;E211&amp;" personas de tu equipo aún no se han sentado en el Capítulo 1:"&amp;CHAR(10)&amp;CHAR(10)&amp;"1. Marnie Julia Susan Perales Espinoza
2. Alexis Contreras Rojas
3. Jesus Martin Ornay Sanchez"&amp;CHAR(10)&amp;CHAR(10)&amp;"El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Martin, buen día.
Te escribo porque 3 personas de tu equipo aún no se han sentado en el Capítulo 1:
1. Marnie Julia Susan Perales Espinoza
2. Alexis Contreras Rojas
3. Jesus Martin Ornay Sanchez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2" customFormat="false" ht="135" hidden="false" customHeight="true" outlineLevel="0" collapsed="false">
      <c r="A212" s="13" t="n">
        <v>208</v>
      </c>
      <c r="B212" s="3" t="s">
        <v>1134</v>
      </c>
      <c r="C212" s="4" t="s">
        <v>27</v>
      </c>
      <c r="D212" s="4" t="s">
        <v>1135</v>
      </c>
      <c r="E212" s="14" t="n">
        <f aca="false">COUNTIF(DATA!A:A,B212)</f>
        <v>3</v>
      </c>
      <c r="F212" s="14" t="n">
        <f aca="false">COUNTIFS(DATA!A:A,B212,DATA!G:G,"CONFIRMADO")</f>
        <v>0</v>
      </c>
      <c r="G212" s="5" t="str">
        <f aca="false">IF(E212=0,"SIN DATA",IF(F212=E212,"✅ COMPLETO",IF(F212&gt;0,"🔄 PARCIAL",IF(COUNTIFS(DATA!A:A,B212,DATA!G:G,"PENDIENTE")=E212,"⏳ PENDIENTE","⚠ MIXTO"))))</f>
        <v>⏳ PENDIENTE</v>
      </c>
      <c r="H212" s="12" t="str">
        <f aca="false">"Hola "&amp;IFERROR(LEFT(TRIM(MID(B212,FIND(" ",B212,FIND(" ",B212)+1)+1,100)),IFERROR(FIND(" ",TRIM(MID(B212,FIND(" ",B212,FIND(" ",B212)+1)+1,100)))-1,100)),TRIM(MID(B212,FIND(" ",B212&amp;" ")+1,100)))&amp;", buen día."&amp;CHAR(10)&amp;CHAR(10)&amp;"Te escribo porque "&amp;E212&amp;" personas de tu equipo aún no se han sentado en el Capítulo 1:"&amp;CHAR(10)&amp;CHAR(10)&amp;"1. Katherine Miriam Riveros Caballero
2. Ruth Maglenny Farias Estrada
3. Leslie Del Rosado Rodriguez Camarena"&amp;CHAR(10)&amp;CHAR(10)&amp;"El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Jesus, buen día.
Te escribo porque 3 personas de tu equipo aún no se han sentado en el Capítulo 1:
1. Katherine Miriam Riveros Caballero
2. Ruth Maglenny Farias Estrada
3. Leslie Del Rosado Rodriguez Camarena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3" customFormat="false" ht="135" hidden="false" customHeight="true" outlineLevel="0" collapsed="false">
      <c r="A213" s="10" t="n">
        <v>209</v>
      </c>
      <c r="B213" s="6" t="s">
        <v>1139</v>
      </c>
      <c r="C213" s="7" t="s">
        <v>27</v>
      </c>
      <c r="D213" s="7" t="s">
        <v>1140</v>
      </c>
      <c r="E213" s="11" t="n">
        <f aca="false">COUNTIF(DATA!A:A,B213)</f>
        <v>3</v>
      </c>
      <c r="F213" s="11" t="n">
        <f aca="false">COUNTIFS(DATA!A:A,B213,DATA!G:G,"CONFIRMADO")</f>
        <v>0</v>
      </c>
      <c r="G213" s="5" t="str">
        <f aca="false">IF(E213=0,"SIN DATA",IF(F213=E213,"✅ COMPLETO",IF(F213&gt;0,"🔄 PARCIAL",IF(COUNTIFS(DATA!A:A,B213,DATA!G:G,"PENDIENTE")=E213,"⏳ PENDIENTE","⚠ MIXTO"))))</f>
        <v>⏳ PENDIENTE</v>
      </c>
      <c r="H213" s="12" t="str">
        <f aca="false">"Hola "&amp;IFERROR(LEFT(TRIM(MID(B213,FIND(" ",B213,FIND(" ",B213)+1)+1,100)),IFERROR(FIND(" ",TRIM(MID(B213,FIND(" ",B213,FIND(" ",B213)+1)+1,100)))-1,100)),TRIM(MID(B213,FIND(" ",B213&amp;" ")+1,100)))&amp;", buen día."&amp;CHAR(10)&amp;CHAR(10)&amp;"Te escribo porque "&amp;E213&amp;" personas de tu equipo aún no se han sentado en el Capítulo 1:"&amp;CHAR(10)&amp;CHAR(10)&amp;"1. Diego Sebastian Castaneda Guerreros
2. Hans Mallma Leon
3. Gerald Christian Rodriguez Anaya"&amp;CHAR(10)&amp;CHAR(10)&amp;"El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De, buen día.
Te escribo porque 3 personas de tu equipo aún no se han sentado en el Capítulo 1:
1. Diego Sebastian Castaneda Guerreros
2. Hans Mallma Leon
3. Gerald Christian Rodriguez Anaya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4" customFormat="false" ht="135" hidden="false" customHeight="true" outlineLevel="0" collapsed="false">
      <c r="A214" s="13" t="n">
        <v>210</v>
      </c>
      <c r="B214" s="3" t="s">
        <v>1144</v>
      </c>
      <c r="C214" s="4" t="s">
        <v>27</v>
      </c>
      <c r="D214" s="4" t="s">
        <v>1145</v>
      </c>
      <c r="E214" s="14" t="n">
        <f aca="false">COUNTIF(DATA!A:A,B214)</f>
        <v>3</v>
      </c>
      <c r="F214" s="14" t="n">
        <f aca="false">COUNTIFS(DATA!A:A,B214,DATA!G:G,"CONFIRMADO")</f>
        <v>0</v>
      </c>
      <c r="G214" s="5" t="str">
        <f aca="false">IF(E214=0,"SIN DATA",IF(F214=E214,"✅ COMPLETO",IF(F214&gt;0,"🔄 PARCIAL",IF(COUNTIFS(DATA!A:A,B214,DATA!G:G,"PENDIENTE")=E214,"⏳ PENDIENTE","⚠ MIXTO"))))</f>
        <v>⏳ PENDIENTE</v>
      </c>
      <c r="H214" s="12" t="str">
        <f aca="false">"Hola "&amp;IFERROR(LEFT(TRIM(MID(B214,FIND(" ",B214,FIND(" ",B214)+1)+1,100)),IFERROR(FIND(" ",TRIM(MID(B214,FIND(" ",B214,FIND(" ",B214)+1)+1,100)))-1,100)),TRIM(MID(B214,FIND(" ",B214&amp;" ")+1,100)))&amp;", buen día."&amp;CHAR(10)&amp;CHAR(10)&amp;"Te escribo porque "&amp;E214&amp;" personas de tu equipo aún no se han sentado en el Capítulo 1:"&amp;CHAR(10)&amp;CHAR(10)&amp;"1. Ada Pilar Luna Pineda
2. Tula Elsa Sencie Espinoza
3. Benedicto Jensi Huaringa Cuellar"&amp;CHAR(10)&amp;CHAR(10)&amp;"El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Cristian, buen día.
Te escribo porque 3 personas de tu equipo aún no se han sentado en el Capítulo 1:
1. Ada Pilar Luna Pineda
2. Tula Elsa Sencie Espinoza
3. Benedicto Jensi Huaringa Cuellar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5" customFormat="false" ht="105" hidden="false" customHeight="true" outlineLevel="0" collapsed="false">
      <c r="A215" s="10" t="n">
        <v>211</v>
      </c>
      <c r="B215" s="6" t="s">
        <v>1149</v>
      </c>
      <c r="C215" s="7" t="s">
        <v>27</v>
      </c>
      <c r="D215" s="7" t="s">
        <v>1151</v>
      </c>
      <c r="E215" s="11" t="n">
        <f aca="false">COUNTIF(DATA!A:A,B215)</f>
        <v>1</v>
      </c>
      <c r="F215" s="11" t="n">
        <f aca="false">COUNTIFS(DATA!A:A,B215,DATA!G:G,"CONFIRMADO")</f>
        <v>0</v>
      </c>
      <c r="G215" s="5" t="str">
        <f aca="false">IF(E215=0,"SIN DATA",IF(F215=E215,"✅ COMPLETO",IF(F215&gt;0,"🔄 PARCIAL",IF(COUNTIFS(DATA!A:A,B215,DATA!G:G,"PENDIENTE")=E215,"⏳ PENDIENTE","⚠ MIXTO"))))</f>
        <v>⏳ PENDIENTE</v>
      </c>
      <c r="H215" s="12" t="str">
        <f aca="false">"Hola "&amp;IFERROR(LEFT(TRIM(MID(B215,FIND(" ",B215,FIND(" ",B215)+1)+1,100)),IFERROR(FIND(" ",TRIM(MID(B215,FIND(" ",B215,FIND(" ",B215)+1)+1,100)))-1,100)),TRIM(MID(B215,FIND(" ",B215&amp;" ")+1,100)))&amp;", buen día."&amp;CHAR(10)&amp;CHAR(10)&amp;"Te escribo porque una persona de tu equipo aún no se ha sentado en el Capítulo 1:"&amp;CHAR(10)&amp;CHAR(10)&amp;"1. Maritza Esther Aviles  Huaranga"&amp;CHAR(10)&amp;CHAR(10)&amp;"El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Ketty, buen día.
Te escribo porque una persona de tu equipo aún no se ha sentado en el Capítulo 1:
1. Maritza Esther Aviles  Huaranga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16" customFormat="false" ht="150" hidden="false" customHeight="true" outlineLevel="0" collapsed="false">
      <c r="A216" s="13" t="n">
        <v>212</v>
      </c>
      <c r="B216" s="3" t="s">
        <v>1153</v>
      </c>
      <c r="C216" s="4" t="s">
        <v>27</v>
      </c>
      <c r="D216" s="4" t="s">
        <v>1155</v>
      </c>
      <c r="E216" s="14" t="n">
        <f aca="false">COUNTIF(DATA!A:A,B216)</f>
        <v>4</v>
      </c>
      <c r="F216" s="14" t="n">
        <f aca="false">COUNTIFS(DATA!A:A,B216,DATA!G:G,"CONFIRMADO")</f>
        <v>0</v>
      </c>
      <c r="G216" s="5" t="str">
        <f aca="false">IF(E216=0,"SIN DATA",IF(F216=E216,"✅ COMPLETO",IF(F216&gt;0,"🔄 PARCIAL",IF(COUNTIFS(DATA!A:A,B216,DATA!G:G,"PENDIENTE")=E216,"⏳ PENDIENTE","⚠ MIXTO"))))</f>
        <v>⏳ PENDIENTE</v>
      </c>
      <c r="H216" s="12" t="str">
        <f aca="false">"Hola "&amp;IFERROR(LEFT(TRIM(MID(B216,FIND(" ",B216,FIND(" ",B216)+1)+1,100)),IFERROR(FIND(" ",TRIM(MID(B216,FIND(" ",B216,FIND(" ",B216)+1)+1,100)))-1,100)),TRIM(MID(B216,FIND(" ",B216&amp;" ")+1,100)))&amp;", buen día."&amp;CHAR(10)&amp;CHAR(10)&amp;"Te escribo porque "&amp;E216&amp;" personas de tu equipo aún no se han sentado en el Capítulo 1:"&amp;CHAR(10)&amp;CHAR(10)&amp;"1. Eros Reynaldo Velasquez Huaman
2. Paulina Natividad Maria Mendoza Samaniego
3. Rucy Jannet De La Cruz Capcha
4. Doris Juana Espiritu De La Cruz"&amp;CHAR(10)&amp;CHAR(10)&amp;"El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Gissella, buen día.
Te escribo porque 4 personas de tu equipo aún no se han sentado en el Capítulo 1:
1. Eros Reynaldo Velasquez Huaman
2. Paulina Natividad Maria Mendoza Samaniego
3. Rucy Jannet De La Cruz Capcha
4. Doris Juana Espiritu De La Cruz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7" customFormat="false" ht="120" hidden="false" customHeight="true" outlineLevel="0" collapsed="false">
      <c r="A217" s="10" t="n">
        <v>213</v>
      </c>
      <c r="B217" s="6" t="s">
        <v>1160</v>
      </c>
      <c r="C217" s="7" t="s">
        <v>27</v>
      </c>
      <c r="D217" s="7" t="s">
        <v>1162</v>
      </c>
      <c r="E217" s="11" t="n">
        <f aca="false">COUNTIF(DATA!A:A,B217)</f>
        <v>2</v>
      </c>
      <c r="F217" s="11" t="n">
        <f aca="false">COUNTIFS(DATA!A:A,B217,DATA!G:G,"CONFIRMADO")</f>
        <v>0</v>
      </c>
      <c r="G217" s="5" t="str">
        <f aca="false">IF(E217=0,"SIN DATA",IF(F217=E217,"✅ COMPLETO",IF(F217&gt;0,"🔄 PARCIAL",IF(COUNTIFS(DATA!A:A,B217,DATA!G:G,"PENDIENTE")=E217,"⏳ PENDIENTE","⚠ MIXTO"))))</f>
        <v>⏳ PENDIENTE</v>
      </c>
      <c r="H217" s="12" t="str">
        <f aca="false">"Hola "&amp;IFERROR(LEFT(TRIM(MID(B217,FIND(" ",B217,FIND(" ",B217)+1)+1,100)),IFERROR(FIND(" ",TRIM(MID(B217,FIND(" ",B217,FIND(" ",B217)+1)+1,100)))-1,100)),TRIM(MID(B217,FIND(" ",B217&amp;" ")+1,100)))&amp;", buen día."&amp;CHAR(10)&amp;CHAR(10)&amp;"Te escribo porque "&amp;E217&amp;" personas de tu equipo aún no se han sentado en el Capítulo 1:"&amp;CHAR(10)&amp;CHAR(10)&amp;"1. Lizeth Elsa Apaza Castro
2. Cruz Abad Mulatillo"&amp;CHAR(10)&amp;CHAR(10)&amp;"El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Nasha, buen día.
Te escribo porque 2 personas de tu equipo aún no se han sentado en el Capítulo 1:
1. Lizeth Elsa Apaza Castro
2. Cruz Abad Mulatillo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8" customFormat="false" ht="225" hidden="false" customHeight="true" outlineLevel="0" collapsed="false">
      <c r="A218" s="13" t="n">
        <v>214</v>
      </c>
      <c r="B218" s="3" t="s">
        <v>1165</v>
      </c>
      <c r="C218" s="4" t="s">
        <v>27</v>
      </c>
      <c r="D218" s="4" t="s">
        <v>1167</v>
      </c>
      <c r="E218" s="14" t="n">
        <f aca="false">COUNTIF(DATA!A:A,B218)</f>
        <v>9</v>
      </c>
      <c r="F218" s="14" t="n">
        <f aca="false">COUNTIFS(DATA!A:A,B218,DATA!G:G,"CONFIRMADO")</f>
        <v>0</v>
      </c>
      <c r="G218" s="5" t="str">
        <f aca="false">IF(E218=0,"SIN DATA",IF(F218=E218,"✅ COMPLETO",IF(F218&gt;0,"🔄 PARCIAL",IF(COUNTIFS(DATA!A:A,B218,DATA!G:G,"PENDIENTE")=E218,"⏳ PENDIENTE","⚠ MIXTO"))))</f>
        <v>⏳ PENDIENTE</v>
      </c>
      <c r="H218" s="12" t="str">
        <f aca="false">"Hola "&amp;IFERROR(LEFT(TRIM(MID(B218,FIND(" ",B218,FIND(" ",B218)+1)+1,100)),IFERROR(FIND(" ",TRIM(MID(B218,FIND(" ",B218,FIND(" ",B218)+1)+1,100)))-1,100)),TRIM(MID(B218,FIND(" ",B218&amp;" ")+1,100)))&amp;", buen día."&amp;CHAR(10)&amp;CHAR(10)&amp;"Te escribo porque "&amp;E218&amp;" personas de tu equipo aún no se han sentado en el Capítulo 1:"&amp;CHAR(10)&amp;CHAR(10)&amp;"1. Jack Jader Gonzales Ramirez
2. Jenny Rocio Indigoyen Perez
3. Luz Quispe Arriguela
4. Julia Merida Benites Prieto
5. Joseph Karols Garibay Benites
6. Ana Maria Lucia Bolo Sarmiento
7. Kelly Ethel Ponte Lopez
8. Maria Elizabeth Malaga Zapata
9. Claudia Margot Sanchez Babilonia"&amp;CHAR(10)&amp;CHAR(10)&amp;"El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Gareth, buen día.
Te escribo porque 9 personas de tu equipo aún no se han sentado en el Capítulo 1:
1. Jack Jader Gonzales Ramirez
2. Jenny Rocio Indigoyen Perez
3. Luz Quispe Arriguela
4. Julia Merida Benites Prieto
5. Joseph Karols Garibay Benites
6. Ana Maria Lucia Bolo Sarmiento
7. Kelly Ethel Ponte Lopez
8. Maria Elizabeth Malaga Zapata
9. Claudia Margot Sanchez Babilonia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19" customFormat="false" ht="105" hidden="false" customHeight="true" outlineLevel="0" collapsed="false">
      <c r="A219" s="10" t="n">
        <v>215</v>
      </c>
      <c r="B219" s="6" t="s">
        <v>1177</v>
      </c>
      <c r="C219" s="7" t="s">
        <v>27</v>
      </c>
      <c r="D219" s="7" t="s">
        <v>1179</v>
      </c>
      <c r="E219" s="11" t="n">
        <f aca="false">COUNTIF(DATA!A:A,B219)</f>
        <v>1</v>
      </c>
      <c r="F219" s="11" t="n">
        <f aca="false">COUNTIFS(DATA!A:A,B219,DATA!G:G,"CONFIRMADO")</f>
        <v>0</v>
      </c>
      <c r="G219" s="5" t="str">
        <f aca="false">IF(E219=0,"SIN DATA",IF(F219=E219,"✅ COMPLETO",IF(F219&gt;0,"🔄 PARCIAL",IF(COUNTIFS(DATA!A:A,B219,DATA!G:G,"PENDIENTE")=E219,"⏳ PENDIENTE","⚠ MIXTO"))))</f>
        <v>⏳ PENDIENTE</v>
      </c>
      <c r="H219" s="12" t="str">
        <f aca="false">"Hola "&amp;IFERROR(LEFT(TRIM(MID(B219,FIND(" ",B219,FIND(" ",B219)+1)+1,100)),IFERROR(FIND(" ",TRIM(MID(B219,FIND(" ",B219,FIND(" ",B219)+1)+1,100)))-1,100)),TRIM(MID(B219,FIND(" ",B219&amp;" ")+1,100)))&amp;", buen día."&amp;CHAR(10)&amp;CHAR(10)&amp;"Te escribo porque una persona de tu equipo aún no se ha sentado en el Capítulo 1:"&amp;CHAR(10)&amp;CHAR(10)&amp;"1. Sebastian Garcia Cubas"&amp;CHAR(10)&amp;CHAR(10)&amp;"El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Roberth, buen día.
Te escribo porque una persona de tu equipo aún no se ha sentado en el Capítulo 1:
1. Sebastian Garcia Cubas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0" customFormat="false" ht="105" hidden="false" customHeight="true" outlineLevel="0" collapsed="false">
      <c r="A220" s="13" t="n">
        <v>216</v>
      </c>
      <c r="B220" s="3" t="s">
        <v>1181</v>
      </c>
      <c r="C220" s="4" t="s">
        <v>27</v>
      </c>
      <c r="D220" s="4" t="s">
        <v>1183</v>
      </c>
      <c r="E220" s="14" t="n">
        <f aca="false">COUNTIF(DATA!A:A,B220)</f>
        <v>1</v>
      </c>
      <c r="F220" s="14" t="n">
        <f aca="false">COUNTIFS(DATA!A:A,B220,DATA!G:G,"CONFIRMADO")</f>
        <v>0</v>
      </c>
      <c r="G220" s="5" t="str">
        <f aca="false">IF(E220=0,"SIN DATA",IF(F220=E220,"✅ COMPLETO",IF(F220&gt;0,"🔄 PARCIAL",IF(COUNTIFS(DATA!A:A,B220,DATA!G:G,"PENDIENTE")=E220,"⏳ PENDIENTE","⚠ MIXTO"))))</f>
        <v>⏳ PENDIENTE</v>
      </c>
      <c r="H220" s="12" t="str">
        <f aca="false">"Hola "&amp;IFERROR(LEFT(TRIM(MID(B220,FIND(" ",B220,FIND(" ",B220)+1)+1,100)),IFERROR(FIND(" ",TRIM(MID(B220,FIND(" ",B220,FIND(" ",B220)+1)+1,100)))-1,100)),TRIM(MID(B220,FIND(" ",B220&amp;" ")+1,100)))&amp;", buen día."&amp;CHAR(10)&amp;CHAR(10)&amp;"Te escribo porque una persona de tu equipo aún no se ha sentado en el Capítulo 1:"&amp;CHAR(10)&amp;CHAR(10)&amp;"1. John Diaz Flores"&amp;CHAR(10)&amp;CHAR(10)&amp;"El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Samuel, buen día.
Te escribo porque una persona de tu equipo aún no se ha sentado en el Capítulo 1:
1. John Diaz Flores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1" customFormat="false" ht="270" hidden="false" customHeight="true" outlineLevel="0" collapsed="false">
      <c r="A221" s="10" t="n">
        <v>217</v>
      </c>
      <c r="B221" s="6" t="s">
        <v>1185</v>
      </c>
      <c r="C221" s="7" t="s">
        <v>27</v>
      </c>
      <c r="D221" s="7" t="s">
        <v>1187</v>
      </c>
      <c r="E221" s="11" t="n">
        <f aca="false">COUNTIF(DATA!A:A,B221)</f>
        <v>12</v>
      </c>
      <c r="F221" s="11" t="n">
        <f aca="false">COUNTIFS(DATA!A:A,B221,DATA!G:G,"CONFIRMADO")</f>
        <v>0</v>
      </c>
      <c r="G221" s="5" t="str">
        <f aca="false">IF(E221=0,"SIN DATA",IF(F221=E221,"✅ COMPLETO",IF(F221&gt;0,"🔄 PARCIAL",IF(COUNTIFS(DATA!A:A,B221,DATA!G:G,"PENDIENTE")=E221,"⏳ PENDIENTE","⚠ MIXTO"))))</f>
        <v>⏳ PENDIENTE</v>
      </c>
      <c r="H221" s="12" t="str">
        <f aca="false">"Hola "&amp;IFERROR(LEFT(TRIM(MID(B221,FIND(" ",B221,FIND(" ",B221)+1)+1,100)),IFERROR(FIND(" ",TRIM(MID(B221,FIND(" ",B221,FIND(" ",B221)+1)+1,100)))-1,100)),TRIM(MID(B221,FIND(" ",B221&amp;" ")+1,100)))&amp;", buen día."&amp;CHAR(10)&amp;CHAR(10)&amp;"Te escribo porque "&amp;E221&amp;" personas de tu equipo aún no se han sentado en el Capítulo 1:"&amp;CHAR(10)&amp;CHAR(10)&amp;"1. Yeny Eulalia Luchine Condor
2. Juan Carlos Contreras Luchine
3. Edith Darika Valerio Palomino
4. Peter Julio Asconoa Alarcon
5. Katerine Inche Contreras
6. Nerida Ayra Encarnacion
7. Saul Alfredo Vargas Chamorro
8. Marlene Luchine Condor
9. Any Stephani Faustino Gamarra
10. Amira Torres Camavilca
11. Joselyn Thalia Espinoza Cano
12. Marco Antonio Mayta Arrieta"&amp;CHAR(10)&amp;CHAR(10)&amp;"El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David, buen día.
Te escribo porque 12 personas de tu equipo aún no se han sentado en el Capítulo 1:
1. Yeny Eulalia Luchine Condor
2. Juan Carlos Contreras Luchine
3. Edith Darika Valerio Palomino
4. Peter Julio Asconoa Alarcon
5. Katerine Inche Contreras
6. Nerida Ayra Encarnacion
7. Saul Alfredo Vargas Chamorro
8. Marlene Luchine Condor
9. Any Stephani Faustino Gamarra
10. Amira Torres Camavilca
11. Joselyn Thalia Espinoza Cano
12. Marco Antonio Mayta Arrieta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22" customFormat="false" ht="300" hidden="false" customHeight="true" outlineLevel="0" collapsed="false">
      <c r="A222" s="13" t="n">
        <v>218</v>
      </c>
      <c r="B222" s="3" t="s">
        <v>1200</v>
      </c>
      <c r="C222" s="4" t="s">
        <v>27</v>
      </c>
      <c r="D222" s="4" t="s">
        <v>1201</v>
      </c>
      <c r="E222" s="14" t="n">
        <f aca="false">COUNTIF(DATA!A:A,B222)</f>
        <v>14</v>
      </c>
      <c r="F222" s="14" t="n">
        <f aca="false">COUNTIFS(DATA!A:A,B222,DATA!G:G,"CONFIRMADO")</f>
        <v>0</v>
      </c>
      <c r="G222" s="5" t="str">
        <f aca="false">IF(E222=0,"SIN DATA",IF(F222=E222,"✅ COMPLETO",IF(F222&gt;0,"🔄 PARCIAL",IF(COUNTIFS(DATA!A:A,B222,DATA!G:G,"PENDIENTE")=E222,"⏳ PENDIENTE","⚠ MIXTO"))))</f>
        <v>⏳ PENDIENTE</v>
      </c>
      <c r="H222" s="12" t="str">
        <f aca="false">"Hola "&amp;IFERROR(LEFT(TRIM(MID(B222,FIND(" ",B222,FIND(" ",B222)+1)+1,100)),IFERROR(FIND(" ",TRIM(MID(B222,FIND(" ",B222,FIND(" ",B222)+1)+1,100)))-1,100)),TRIM(MID(B222,FIND(" ",B222&amp;" ")+1,100)))&amp;", buen día."&amp;CHAR(10)&amp;CHAR(10)&amp;"Te escribo porque "&amp;E222&amp;" personas de tu equipo aún no se han sentado en el Capítulo 1:"&amp;CHAR(10)&amp;CHAR(10)&amp;"1. Claudia Fatima Reyna Nina
2. Maria Esperanza Barrera Carrasco
3. Francisco Santillan Torrejon
4. Katty Chumpitaz Ruiz
5. Jair Andre Jove Canaza
6. Kiara Larisa Guerrero Castillo
7. Jose Ramos Arapa
8. Jemer Castillo Huamani
9. Diego Alonso Huayhua Fernandez
10. Victor Andres Garcia Espinoza
11. Jeanpool Stuar Huaman Suma
12. Sarela Katherine Quispe Suaquita
13. Edgar Jove Condori
14. Soolange Xohanna Espinoza Choquepata"&amp;CHAR(10)&amp;CHAR(10)&amp;"El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Fernando, buen día.
Te escribo porque 14 personas de tu equipo aún no se han sentado en el Capítulo 1:
1. Claudia Fatima Reyna Nina
2. Maria Esperanza Barrera Carrasco
3. Francisco Santillan Torrejon
4. Katty Chumpitaz Ruiz
5. Jair Andre Jove Canaza
6. Kiara Larisa Guerrero Castillo
7. Jose Ramos Arapa
8. Jemer Castillo Huamani
9. Diego Alonso Huayhua Fernandez
10. Victor Andres Garcia Espinoza
11. Jeanpool Stuar Huaman Suma
12. Sarela Katherine Quispe Suaquita
13. Edgar Jove Condori
14. Soolange Xohanna Espinoza Choquepata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23" customFormat="false" ht="105" hidden="false" customHeight="true" outlineLevel="0" collapsed="false">
      <c r="A223" s="10" t="n">
        <v>219</v>
      </c>
      <c r="B223" s="6" t="s">
        <v>1216</v>
      </c>
      <c r="C223" s="7" t="s">
        <v>27</v>
      </c>
      <c r="D223" s="7" t="s">
        <v>1217</v>
      </c>
      <c r="E223" s="11" t="n">
        <f aca="false">COUNTIF(DATA!A:A,B223)</f>
        <v>1</v>
      </c>
      <c r="F223" s="11" t="n">
        <f aca="false">COUNTIFS(DATA!A:A,B223,DATA!G:G,"CONFIRMADO")</f>
        <v>0</v>
      </c>
      <c r="G223" s="5" t="str">
        <f aca="false">IF(E223=0,"SIN DATA",IF(F223=E223,"✅ COMPLETO",IF(F223&gt;0,"🔄 PARCIAL",IF(COUNTIFS(DATA!A:A,B223,DATA!G:G,"PENDIENTE")=E223,"⏳ PENDIENTE","⚠ MIXTO"))))</f>
        <v>⏳ PENDIENTE</v>
      </c>
      <c r="H223" s="12" t="str">
        <f aca="false">"Hola "&amp;IFERROR(LEFT(TRIM(MID(B223,FIND(" ",B223,FIND(" ",B223)+1)+1,100)),IFERROR(FIND(" ",TRIM(MID(B223,FIND(" ",B223,FIND(" ",B223)+1)+1,100)))-1,100)),TRIM(MID(B223,FIND(" ",B223&amp;" ")+1,100)))&amp;", buen día."&amp;CHAR(10)&amp;CHAR(10)&amp;"Te escribo porque una persona de tu equipo aún no se ha sentado en el Capítulo 1:"&amp;CHAR(10)&amp;CHAR(10)&amp;"1. Jack Piero Valdivia Faustino"&amp;CHAR(10)&amp;CHAR(10)&amp;"El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Cruz, buen día.
Te escribo porque una persona de tu equipo aún no se ha sentado en el Capítulo 1:
1. Jack Piero Valdivia Faustino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4" customFormat="false" ht="165" hidden="false" customHeight="true" outlineLevel="0" collapsed="false">
      <c r="A224" s="13" t="n">
        <v>220</v>
      </c>
      <c r="B224" s="3" t="s">
        <v>1219</v>
      </c>
      <c r="C224" s="4" t="s">
        <v>27</v>
      </c>
      <c r="D224" s="4" t="s">
        <v>1221</v>
      </c>
      <c r="E224" s="14" t="n">
        <f aca="false">COUNTIF(DATA!A:A,B224)</f>
        <v>5</v>
      </c>
      <c r="F224" s="14" t="n">
        <f aca="false">COUNTIFS(DATA!A:A,B224,DATA!G:G,"CONFIRMADO")</f>
        <v>0</v>
      </c>
      <c r="G224" s="5" t="str">
        <f aca="false">IF(E224=0,"SIN DATA",IF(F224=E224,"✅ COMPLETO",IF(F224&gt;0,"🔄 PARCIAL",IF(COUNTIFS(DATA!A:A,B224,DATA!G:G,"PENDIENTE")=E224,"⏳ PENDIENTE","⚠ MIXTO"))))</f>
        <v>⏳ PENDIENTE</v>
      </c>
      <c r="H224" s="12" t="str">
        <f aca="false">"Hola "&amp;IFERROR(LEFT(TRIM(MID(B224,FIND(" ",B224,FIND(" ",B224)+1)+1,100)),IFERROR(FIND(" ",TRIM(MID(B224,FIND(" ",B224,FIND(" ",B224)+1)+1,100)))-1,100)),TRIM(MID(B224,FIND(" ",B224&amp;" ")+1,100)))&amp;", buen día."&amp;CHAR(10)&amp;CHAR(10)&amp;"Te escribo porque "&amp;E224&amp;" personas de tu equipo aún no se han sentado en el Capítulo 1:"&amp;CHAR(10)&amp;CHAR(10)&amp;"1. Bety Maribel Pablo Francisco
2. Jhon Carlos Granados Shupingahua
3. Jhordan Anthony Granados Shupingahua
4. Rosana Vilma Dominguez Montalvo
5. Reyna Josefina Castro Nolasco"&amp;CHAR(10)&amp;CHAR(10)&amp;"El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Kempis, buen día.
Te escribo porque 5 personas de tu equipo aún no se han sentado en el Capítulo 1:
1. Bety Maribel Pablo Francisco
2. Jhon Carlos Granados Shupingahua
3. Jhordan Anthony Granados Shupingahua
4. Rosana Vilma Dominguez Montalvo
5. Reyna Josefina Castro Nolasco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25" customFormat="false" ht="105" hidden="false" customHeight="true" outlineLevel="0" collapsed="false">
      <c r="A225" s="10" t="n">
        <v>221</v>
      </c>
      <c r="B225" s="6" t="s">
        <v>1227</v>
      </c>
      <c r="C225" s="7" t="s">
        <v>27</v>
      </c>
      <c r="D225" s="7" t="s">
        <v>1229</v>
      </c>
      <c r="E225" s="11" t="n">
        <f aca="false">COUNTIF(DATA!A:A,B225)</f>
        <v>1</v>
      </c>
      <c r="F225" s="11" t="n">
        <f aca="false">COUNTIFS(DATA!A:A,B225,DATA!G:G,"CONFIRMADO")</f>
        <v>0</v>
      </c>
      <c r="G225" s="5" t="str">
        <f aca="false">IF(E225=0,"SIN DATA",IF(F225=E225,"✅ COMPLETO",IF(F225&gt;0,"🔄 PARCIAL",IF(COUNTIFS(DATA!A:A,B225,DATA!G:G,"PENDIENTE")=E225,"⏳ PENDIENTE","⚠ MIXTO"))))</f>
        <v>⏳ PENDIENTE</v>
      </c>
      <c r="H225" s="12" t="str">
        <f aca="false">"Hola "&amp;IFERROR(LEFT(TRIM(MID(B225,FIND(" ",B225,FIND(" ",B225)+1)+1,100)),IFERROR(FIND(" ",TRIM(MID(B225,FIND(" ",B225,FIND(" ",B225)+1)+1,100)))-1,100)),TRIM(MID(B225,FIND(" ",B225&amp;" ")+1,100)))&amp;", buen día."&amp;CHAR(10)&amp;CHAR(10)&amp;"Te escribo porque una persona de tu equipo aún no se ha sentado en el Capítulo 1:"&amp;CHAR(10)&amp;CHAR(10)&amp;"1. Dulueibis Manrique"&amp;CHAR(10)&amp;CHAR(10)&amp;"El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Yarismar, buen día.
Te escribo porque una persona de tu equipo aún no se ha sentado en el Capítulo 1:
1. Dulueibis Manrique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6" customFormat="false" ht="120" hidden="false" customHeight="true" outlineLevel="0" collapsed="false">
      <c r="A226" s="13" t="n">
        <v>222</v>
      </c>
      <c r="B226" s="3" t="s">
        <v>1231</v>
      </c>
      <c r="C226" s="4" t="s">
        <v>27</v>
      </c>
      <c r="D226" s="4" t="s">
        <v>1233</v>
      </c>
      <c r="E226" s="14" t="n">
        <f aca="false">COUNTIF(DATA!A:A,B226)</f>
        <v>2</v>
      </c>
      <c r="F226" s="14" t="n">
        <f aca="false">COUNTIFS(DATA!A:A,B226,DATA!G:G,"CONFIRMADO")</f>
        <v>0</v>
      </c>
      <c r="G226" s="5" t="str">
        <f aca="false">IF(E226=0,"SIN DATA",IF(F226=E226,"✅ COMPLETO",IF(F226&gt;0,"🔄 PARCIAL",IF(COUNTIFS(DATA!A:A,B226,DATA!G:G,"PENDIENTE")=E226,"⏳ PENDIENTE","⚠ MIXTO"))))</f>
        <v>⏳ PENDIENTE</v>
      </c>
      <c r="H226" s="12" t="str">
        <f aca="false">"Hola "&amp;IFERROR(LEFT(TRIM(MID(B226,FIND(" ",B226,FIND(" ",B226)+1)+1,100)),IFERROR(FIND(" ",TRIM(MID(B226,FIND(" ",B226,FIND(" ",B226)+1)+1,100)))-1,100)),TRIM(MID(B226,FIND(" ",B226&amp;" ")+1,100)))&amp;", buen día."&amp;CHAR(10)&amp;CHAR(10)&amp;"Te escribo porque "&amp;E226&amp;" personas de tu equipo aún no se han sentado en el Capítulo 1:"&amp;CHAR(10)&amp;CHAR(10)&amp;"1. Valentina Apaza Condori
2. Lucia Calizaya De Pilco"&amp;CHAR(10)&amp;CHAR(10)&amp;"El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Ruth, buen día.
Te escribo porque 2 personas de tu equipo aún no se han sentado en el Capítulo 1:
1. Valentina Apaza Condori
2. Lucia Calizaya De Pilco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27" customFormat="false" ht="105" hidden="false" customHeight="true" outlineLevel="0" collapsed="false">
      <c r="A227" s="10" t="n">
        <v>223</v>
      </c>
      <c r="B227" s="6" t="s">
        <v>1236</v>
      </c>
      <c r="C227" s="7" t="s">
        <v>27</v>
      </c>
      <c r="D227" s="7" t="s">
        <v>1238</v>
      </c>
      <c r="E227" s="11" t="n">
        <f aca="false">COUNTIF(DATA!A:A,B227)</f>
        <v>1</v>
      </c>
      <c r="F227" s="11" t="n">
        <f aca="false">COUNTIFS(DATA!A:A,B227,DATA!G:G,"CONFIRMADO")</f>
        <v>0</v>
      </c>
      <c r="G227" s="5" t="str">
        <f aca="false">IF(E227=0,"SIN DATA",IF(F227=E227,"✅ COMPLETO",IF(F227&gt;0,"🔄 PARCIAL",IF(COUNTIFS(DATA!A:A,B227,DATA!G:G,"PENDIENTE")=E227,"⏳ PENDIENTE","⚠ MIXTO"))))</f>
        <v>⏳ PENDIENTE</v>
      </c>
      <c r="H227" s="12" t="str">
        <f aca="false">"Hola "&amp;IFERROR(LEFT(TRIM(MID(B227,FIND(" ",B227,FIND(" ",B227)+1)+1,100)),IFERROR(FIND(" ",TRIM(MID(B227,FIND(" ",B227,FIND(" ",B227)+1)+1,100)))-1,100)),TRIM(MID(B227,FIND(" ",B227&amp;" ")+1,100)))&amp;", buen día."&amp;CHAR(10)&amp;CHAR(10)&amp;"Te escribo porque una persona de tu equipo aún no se ha sentado en el Capítulo 1:"&amp;CHAR(10)&amp;CHAR(10)&amp;"1. Remigia Gomez Pacoricona"&amp;CHAR(10)&amp;CHAR(10)&amp;"El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Nayelly, buen día.
Te escribo porque una persona de tu equipo aún no se ha sentado en el Capítulo 1:
1. Remigia Gomez Pacoricona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8" customFormat="false" ht="105" hidden="false" customHeight="true" outlineLevel="0" collapsed="false">
      <c r="A228" s="13" t="n">
        <v>224</v>
      </c>
      <c r="B228" s="3" t="s">
        <v>1240</v>
      </c>
      <c r="C228" s="4" t="s">
        <v>27</v>
      </c>
      <c r="D228" s="4" t="s">
        <v>1242</v>
      </c>
      <c r="E228" s="14" t="n">
        <f aca="false">COUNTIF(DATA!A:A,B228)</f>
        <v>1</v>
      </c>
      <c r="F228" s="14" t="n">
        <f aca="false">COUNTIFS(DATA!A:A,B228,DATA!G:G,"CONFIRMADO")</f>
        <v>0</v>
      </c>
      <c r="G228" s="5" t="str">
        <f aca="false">IF(E228=0,"SIN DATA",IF(F228=E228,"✅ COMPLETO",IF(F228&gt;0,"🔄 PARCIAL",IF(COUNTIFS(DATA!A:A,B228,DATA!G:G,"PENDIENTE")=E228,"⏳ PENDIENTE","⚠ MIXTO"))))</f>
        <v>⏳ PENDIENTE</v>
      </c>
      <c r="H228" s="12" t="str">
        <f aca="false">"Hola "&amp;IFERROR(LEFT(TRIM(MID(B228,FIND(" ",B228,FIND(" ",B228)+1)+1,100)),IFERROR(FIND(" ",TRIM(MID(B228,FIND(" ",B228,FIND(" ",B228)+1)+1,100)))-1,100)),TRIM(MID(B228,FIND(" ",B228&amp;" ")+1,100)))&amp;", buen día."&amp;CHAR(10)&amp;CHAR(10)&amp;"Te escribo porque una persona de tu equipo aún no se ha sentado en el Capítulo 1:"&amp;CHAR(10)&amp;CHAR(10)&amp;"1. Jorge Luis Cardenas Cordova"&amp;CHAR(10)&amp;CHAR(10)&amp;"El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Jhomira, buen día.
Te escribo porque una persona de tu equipo aún no se ha sentado en el Capítulo 1:
1. Jorge Luis Cardenas Cordova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29" customFormat="false" ht="165" hidden="false" customHeight="true" outlineLevel="0" collapsed="false">
      <c r="A229" s="10" t="n">
        <v>225</v>
      </c>
      <c r="B229" s="6" t="s">
        <v>1244</v>
      </c>
      <c r="C229" s="7" t="s">
        <v>27</v>
      </c>
      <c r="D229" s="7" t="s">
        <v>1246</v>
      </c>
      <c r="E229" s="11" t="n">
        <f aca="false">COUNTIF(DATA!A:A,B229)</f>
        <v>5</v>
      </c>
      <c r="F229" s="11" t="n">
        <f aca="false">COUNTIFS(DATA!A:A,B229,DATA!G:G,"CONFIRMADO")</f>
        <v>0</v>
      </c>
      <c r="G229" s="5" t="str">
        <f aca="false">IF(E229=0,"SIN DATA",IF(F229=E229,"✅ COMPLETO",IF(F229&gt;0,"🔄 PARCIAL",IF(COUNTIFS(DATA!A:A,B229,DATA!G:G,"PENDIENTE")=E229,"⏳ PENDIENTE","⚠ MIXTO"))))</f>
        <v>⏳ PENDIENTE</v>
      </c>
      <c r="H229" s="12" t="str">
        <f aca="false">"Hola "&amp;IFERROR(LEFT(TRIM(MID(B229,FIND(" ",B229,FIND(" ",B229)+1)+1,100)),IFERROR(FIND(" ",TRIM(MID(B229,FIND(" ",B229,FIND(" ",B229)+1)+1,100)))-1,100)),TRIM(MID(B229,FIND(" ",B229&amp;" ")+1,100)))&amp;", buen día."&amp;CHAR(10)&amp;CHAR(10)&amp;"Te escribo porque "&amp;E229&amp;" personas de tu equipo aún no se han sentado en el Capítulo 1:"&amp;CHAR(10)&amp;CHAR(10)&amp;"1. Ana Paula Espinoza Lopez
2. Cristian Zevallos Tonconi
3. Ricardo Magno Robles Paredes
4. Dino Gabriel Rivera Lopez
5. Christian Christian Maza Raymundo"&amp;CHAR(10)&amp;CHAR(10)&amp;"El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Giovana, buen día.
Te escribo porque 5 personas de tu equipo aún no se han sentado en el Capítulo 1:
1. Ana Paula Espinoza Lopez
2. Cristian Zevallos Tonconi
3. Ricardo Magno Robles Paredes
4. Dino Gabriel Rivera Lopez
5. Christian Christian Maza Raymundo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0" customFormat="false" ht="135" hidden="false" customHeight="true" outlineLevel="0" collapsed="false">
      <c r="A230" s="13" t="n">
        <v>226</v>
      </c>
      <c r="B230" s="3" t="s">
        <v>1252</v>
      </c>
      <c r="C230" s="4" t="s">
        <v>27</v>
      </c>
      <c r="D230" s="4" t="s">
        <v>1254</v>
      </c>
      <c r="E230" s="14" t="n">
        <f aca="false">COUNTIF(DATA!A:A,B230)</f>
        <v>3</v>
      </c>
      <c r="F230" s="14" t="n">
        <f aca="false">COUNTIFS(DATA!A:A,B230,DATA!G:G,"CONFIRMADO")</f>
        <v>0</v>
      </c>
      <c r="G230" s="5" t="str">
        <f aca="false">IF(E230=0,"SIN DATA",IF(F230=E230,"✅ COMPLETO",IF(F230&gt;0,"🔄 PARCIAL",IF(COUNTIFS(DATA!A:A,B230,DATA!G:G,"PENDIENTE")=E230,"⏳ PENDIENTE","⚠ MIXTO"))))</f>
        <v>⏳ PENDIENTE</v>
      </c>
      <c r="H230" s="12" t="str">
        <f aca="false">"Hola "&amp;IFERROR(LEFT(TRIM(MID(B230,FIND(" ",B230,FIND(" ",B230)+1)+1,100)),IFERROR(FIND(" ",TRIM(MID(B230,FIND(" ",B230,FIND(" ",B230)+1)+1,100)))-1,100)),TRIM(MID(B230,FIND(" ",B230&amp;" ")+1,100)))&amp;", buen día."&amp;CHAR(10)&amp;CHAR(10)&amp;"Te escribo porque "&amp;E230&amp;" personas de tu equipo aún no se han sentado en el Capítulo 1:"&amp;CHAR(10)&amp;CHAR(10)&amp;"1. Miguel Angel Mucha Davila
2. Mikhail Arturo Davila Perez
3. Jhon Arturo Davila Perez"&amp;CHAR(10)&amp;CHAR(10)&amp;"El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Arturo, buen día.
Te escribo porque 3 personas de tu equipo aún no se han sentado en el Capítulo 1:
1. Miguel Angel Mucha Davila
2. Mikhail Arturo Davila Perez
3. Jhon Arturo Davila Perez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1" customFormat="false" ht="135" hidden="false" customHeight="true" outlineLevel="0" collapsed="false">
      <c r="A231" s="10" t="n">
        <v>227</v>
      </c>
      <c r="B231" s="6" t="s">
        <v>1258</v>
      </c>
      <c r="C231" s="7" t="s">
        <v>27</v>
      </c>
      <c r="D231" s="7" t="s">
        <v>1259</v>
      </c>
      <c r="E231" s="11" t="n">
        <f aca="false">COUNTIF(DATA!A:A,B231)</f>
        <v>3</v>
      </c>
      <c r="F231" s="11" t="n">
        <f aca="false">COUNTIFS(DATA!A:A,B231,DATA!G:G,"CONFIRMADO")</f>
        <v>0</v>
      </c>
      <c r="G231" s="5" t="str">
        <f aca="false">IF(E231=0,"SIN DATA",IF(F231=E231,"✅ COMPLETO",IF(F231&gt;0,"🔄 PARCIAL",IF(COUNTIFS(DATA!A:A,B231,DATA!G:G,"PENDIENTE")=E231,"⏳ PENDIENTE","⚠ MIXTO"))))</f>
        <v>⏳ PENDIENTE</v>
      </c>
      <c r="H231" s="12" t="str">
        <f aca="false">"Hola "&amp;IFERROR(LEFT(TRIM(MID(B231,FIND(" ",B231,FIND(" ",B231)+1)+1,100)),IFERROR(FIND(" ",TRIM(MID(B231,FIND(" ",B231,FIND(" ",B231)+1)+1,100)))-1,100)),TRIM(MID(B231,FIND(" ",B231&amp;" ")+1,100)))&amp;", buen día."&amp;CHAR(10)&amp;CHAR(10)&amp;"Te escribo porque "&amp;E231&amp;" personas de tu equipo aún no se han sentado en el Capítulo 1:"&amp;CHAR(10)&amp;CHAR(10)&amp;"1. Wendy Xiomara Ramirez Rengifo
2. Jonathan Justo Sipiran Vega
3. Susana Gonzales Valdivia"&amp;CHAR(10)&amp;CHAR(10)&amp;"El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Sandra, buen día.
Te escribo porque 3 personas de tu equipo aún no se han sentado en el Capítulo 1:
1. Wendy Xiomara Ramirez Rengifo
2. Jonathan Justo Sipiran Vega
3. Susana Gonzales Valdivia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2" customFormat="false" ht="120" hidden="false" customHeight="true" outlineLevel="0" collapsed="false">
      <c r="A232" s="13" t="n">
        <v>228</v>
      </c>
      <c r="B232" s="3" t="s">
        <v>1263</v>
      </c>
      <c r="C232" s="4" t="s">
        <v>27</v>
      </c>
      <c r="D232" s="4" t="s">
        <v>1264</v>
      </c>
      <c r="E232" s="14" t="n">
        <f aca="false">COUNTIF(DATA!A:A,B232)</f>
        <v>2</v>
      </c>
      <c r="F232" s="14" t="n">
        <f aca="false">COUNTIFS(DATA!A:A,B232,DATA!G:G,"CONFIRMADO")</f>
        <v>0</v>
      </c>
      <c r="G232" s="5" t="str">
        <f aca="false">IF(E232=0,"SIN DATA",IF(F232=E232,"✅ COMPLETO",IF(F232&gt;0,"🔄 PARCIAL",IF(COUNTIFS(DATA!A:A,B232,DATA!G:G,"PENDIENTE")=E232,"⏳ PENDIENTE","⚠ MIXTO"))))</f>
        <v>⏳ PENDIENTE</v>
      </c>
      <c r="H232" s="12" t="str">
        <f aca="false">"Hola "&amp;IFERROR(LEFT(TRIM(MID(B232,FIND(" ",B232,FIND(" ",B232)+1)+1,100)),IFERROR(FIND(" ",TRIM(MID(B232,FIND(" ",B232,FIND(" ",B232)+1)+1,100)))-1,100)),TRIM(MID(B232,FIND(" ",B232&amp;" ")+1,100)))&amp;", buen día."&amp;CHAR(10)&amp;CHAR(10)&amp;"Te escribo porque "&amp;E232&amp;" personas de tu equipo aún no se han sentado en el Capítulo 1:"&amp;CHAR(10)&amp;CHAR(10)&amp;"1. Alesandra Patricia Tintaya Cabrera
2. Rocio Milagros Gomez Torres"&amp;CHAR(10)&amp;CHAR(10)&amp;"El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Jose, buen día.
Te escribo porque 2 personas de tu equipo aún no se han sentado en el Capítulo 1:
1. Alesandra Patricia Tintaya Cabrera
2. Rocio Milagros Gomez Torres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3" customFormat="false" ht="135" hidden="false" customHeight="true" outlineLevel="0" collapsed="false">
      <c r="A233" s="10" t="n">
        <v>229</v>
      </c>
      <c r="B233" s="6" t="s">
        <v>1267</v>
      </c>
      <c r="C233" s="7" t="s">
        <v>27</v>
      </c>
      <c r="D233" s="7" t="s">
        <v>1269</v>
      </c>
      <c r="E233" s="11" t="n">
        <f aca="false">COUNTIF(DATA!A:A,B233)</f>
        <v>3</v>
      </c>
      <c r="F233" s="11" t="n">
        <f aca="false">COUNTIFS(DATA!A:A,B233,DATA!G:G,"CONFIRMADO")</f>
        <v>0</v>
      </c>
      <c r="G233" s="5" t="str">
        <f aca="false">IF(E233=0,"SIN DATA",IF(F233=E233,"✅ COMPLETO",IF(F233&gt;0,"🔄 PARCIAL",IF(COUNTIFS(DATA!A:A,B233,DATA!G:G,"PENDIENTE")=E233,"⏳ PENDIENTE","⚠ MIXTO"))))</f>
        <v>⏳ PENDIENTE</v>
      </c>
      <c r="H233" s="12" t="str">
        <f aca="false">"Hola "&amp;IFERROR(LEFT(TRIM(MID(B233,FIND(" ",B233,FIND(" ",B233)+1)+1,100)),IFERROR(FIND(" ",TRIM(MID(B233,FIND(" ",B233,FIND(" ",B233)+1)+1,100)))-1,100)),TRIM(MID(B233,FIND(" ",B233&amp;" ")+1,100)))&amp;", buen día."&amp;CHAR(10)&amp;CHAR(10)&amp;"Te escribo porque "&amp;E233&amp;" personas de tu equipo aún no se han sentado en el Capítulo 1:"&amp;CHAR(10)&amp;CHAR(10)&amp;"1. Magali Macedo Sanchez
2. Erika Janneth Temple Julca
3. Alvaro Javier Jimenez Garcia"&amp;CHAR(10)&amp;CHAR(10)&amp;"El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Marcos, buen día.
Te escribo porque 3 personas de tu equipo aún no se han sentado en el Capítulo 1:
1. Magali Macedo Sanchez
2. Erika Janneth Temple Julca
3. Alvaro Javier Jimenez Garcia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4" customFormat="false" ht="225" hidden="false" customHeight="true" outlineLevel="0" collapsed="false">
      <c r="A234" s="13" t="n">
        <v>230</v>
      </c>
      <c r="B234" s="3" t="s">
        <v>1273</v>
      </c>
      <c r="C234" s="4" t="s">
        <v>27</v>
      </c>
      <c r="D234" s="4" t="s">
        <v>1274</v>
      </c>
      <c r="E234" s="14" t="n">
        <f aca="false">COUNTIF(DATA!A:A,B234)</f>
        <v>9</v>
      </c>
      <c r="F234" s="14" t="n">
        <f aca="false">COUNTIFS(DATA!A:A,B234,DATA!G:G,"CONFIRMADO")</f>
        <v>0</v>
      </c>
      <c r="G234" s="5" t="str">
        <f aca="false">IF(E234=0,"SIN DATA",IF(F234=E234,"✅ COMPLETO",IF(F234&gt;0,"🔄 PARCIAL",IF(COUNTIFS(DATA!A:A,B234,DATA!G:G,"PENDIENTE")=E234,"⏳ PENDIENTE","⚠ MIXTO"))))</f>
        <v>⏳ PENDIENTE</v>
      </c>
      <c r="H234" s="12" t="str">
        <f aca="false">"Hola "&amp;IFERROR(LEFT(TRIM(MID(B234,FIND(" ",B234,FIND(" ",B234)+1)+1,100)),IFERROR(FIND(" ",TRIM(MID(B234,FIND(" ",B234,FIND(" ",B234)+1)+1,100)))-1,100)),TRIM(MID(B234,FIND(" ",B234&amp;" ")+1,100)))&amp;", buen día."&amp;CHAR(10)&amp;CHAR(10)&amp;"Te escribo porque "&amp;E234&amp;" personas de tu equipo aún no se han sentado en el Capítulo 1:"&amp;CHAR(10)&amp;CHAR(10)&amp;"1. Sandra Rosa Lopez Choquehuanca
2. Joelly Ruby Ramos Mamani
3. Zenaida Mery Cayllahua Cast Cayllahua Castro
4. Luz Bejar Maraza
5. Epifanio Mallma Anaya
6. Luz Katherine Tacca Cruz
7. Leonor Fernanda Villanueva Huamanahui
8. Yoel Ancles Mamani Mamani
9. Lola Virginia Amao Contreras"&amp;CHAR(10)&amp;CHAR(10)&amp;"El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Jessica, buen día.
Te escribo porque 9 personas de tu equipo aún no se han sentado en el Capítulo 1:
1. Sandra Rosa Lopez Choquehuanca
2. Joelly Ruby Ramos Mamani
3. Zenaida Mery Cayllahua Cast Cayllahua Castro
4. Luz Bejar Maraza
5. Epifanio Mallma Anaya
6. Luz Katherine Tacca Cruz
7. Leonor Fernanda Villanueva Huamanahui
8. Yoel Ancles Mamani Mamani
9. Lola Virginia Amao Contreras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5" customFormat="false" ht="120" hidden="false" customHeight="true" outlineLevel="0" collapsed="false">
      <c r="A235" s="10" t="n">
        <v>231</v>
      </c>
      <c r="B235" s="6" t="s">
        <v>1284</v>
      </c>
      <c r="C235" s="7" t="s">
        <v>27</v>
      </c>
      <c r="D235" s="7" t="s">
        <v>1285</v>
      </c>
      <c r="E235" s="11" t="n">
        <f aca="false">COUNTIF(DATA!A:A,B235)</f>
        <v>2</v>
      </c>
      <c r="F235" s="11" t="n">
        <f aca="false">COUNTIFS(DATA!A:A,B235,DATA!G:G,"CONFIRMADO")</f>
        <v>0</v>
      </c>
      <c r="G235" s="5" t="str">
        <f aca="false">IF(E235=0,"SIN DATA",IF(F235=E235,"✅ COMPLETO",IF(F235&gt;0,"🔄 PARCIAL",IF(COUNTIFS(DATA!A:A,B235,DATA!G:G,"PENDIENTE")=E235,"⏳ PENDIENTE","⚠ MIXTO"))))</f>
        <v>⏳ PENDIENTE</v>
      </c>
      <c r="H235" s="12" t="str">
        <f aca="false">"Hola "&amp;IFERROR(LEFT(TRIM(MID(B235,FIND(" ",B235,FIND(" ",B235)+1)+1,100)),IFERROR(FIND(" ",TRIM(MID(B235,FIND(" ",B235,FIND(" ",B235)+1)+1,100)))-1,100)),TRIM(MID(B235,FIND(" ",B235&amp;" ")+1,100)))&amp;", buen día."&amp;CHAR(10)&amp;CHAR(10)&amp;"Te escribo porque "&amp;E235&amp;" personas de tu equipo aún no se han sentado en el Capítulo 1:"&amp;CHAR(10)&amp;CHAR(10)&amp;"1. Jorgue Luis Mendez Estacion
2. Nicanor Velasquez Ventura"&amp;CHAR(10)&amp;CHAR(10)&amp;"El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Rosmery, buen día.
Te escribo porque 2 personas de tu equipo aún no se han sentado en el Capítulo 1:
1. Jorgue Luis Mendez Estacion
2. Nicanor Velasquez Ventura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6" customFormat="false" ht="135" hidden="false" customHeight="true" outlineLevel="0" collapsed="false">
      <c r="A236" s="13" t="n">
        <v>232</v>
      </c>
      <c r="B236" s="3" t="s">
        <v>1288</v>
      </c>
      <c r="C236" s="4" t="s">
        <v>27</v>
      </c>
      <c r="D236" s="4" t="s">
        <v>1290</v>
      </c>
      <c r="E236" s="14" t="n">
        <f aca="false">COUNTIF(DATA!A:A,B236)</f>
        <v>3</v>
      </c>
      <c r="F236" s="14" t="n">
        <f aca="false">COUNTIFS(DATA!A:A,B236,DATA!G:G,"CONFIRMADO")</f>
        <v>0</v>
      </c>
      <c r="G236" s="5" t="str">
        <f aca="false">IF(E236=0,"SIN DATA",IF(F236=E236,"✅ COMPLETO",IF(F236&gt;0,"🔄 PARCIAL",IF(COUNTIFS(DATA!A:A,B236,DATA!G:G,"PENDIENTE")=E236,"⏳ PENDIENTE","⚠ MIXTO"))))</f>
        <v>⏳ PENDIENTE</v>
      </c>
      <c r="H236" s="12" t="str">
        <f aca="false">"Hola "&amp;IFERROR(LEFT(TRIM(MID(B236,FIND(" ",B236,FIND(" ",B236)+1)+1,100)),IFERROR(FIND(" ",TRIM(MID(B236,FIND(" ",B236,FIND(" ",B236)+1)+1,100)))-1,100)),TRIM(MID(B236,FIND(" ",B236&amp;" ")+1,100)))&amp;", buen día."&amp;CHAR(10)&amp;CHAR(10)&amp;"Te escribo porque "&amp;E236&amp;" personas de tu equipo aún no se han sentado en el Capítulo 1:"&amp;CHAR(10)&amp;CHAR(10)&amp;"1. Alicia Cristina Ortiz Villena
2. Ruby Mercedes Rospigliosi De Chenguayen
3. Rodriguez Arenas Herle Christiam"&amp;CHAR(10)&amp;CHAR(10)&amp;"El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Francisco, buen día.
Te escribo porque 3 personas de tu equipo aún no se han sentado en el Capítulo 1:
1. Alicia Cristina Ortiz Villena
2. Ruby Mercedes Rospigliosi De Chenguayen
3. Rodriguez Arenas Herle Christiam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7" customFormat="false" ht="240" hidden="false" customHeight="true" outlineLevel="0" collapsed="false">
      <c r="A237" s="10" t="n">
        <v>233</v>
      </c>
      <c r="B237" s="6" t="s">
        <v>1294</v>
      </c>
      <c r="C237" s="7" t="s">
        <v>27</v>
      </c>
      <c r="D237" s="7" t="s">
        <v>1296</v>
      </c>
      <c r="E237" s="11" t="n">
        <f aca="false">COUNTIF(DATA!A:A,B237)</f>
        <v>10</v>
      </c>
      <c r="F237" s="11" t="n">
        <f aca="false">COUNTIFS(DATA!A:A,B237,DATA!G:G,"CONFIRMADO")</f>
        <v>0</v>
      </c>
      <c r="G237" s="5" t="str">
        <f aca="false">IF(E237=0,"SIN DATA",IF(F237=E237,"✅ COMPLETO",IF(F237&gt;0,"🔄 PARCIAL",IF(COUNTIFS(DATA!A:A,B237,DATA!G:G,"PENDIENTE")=E237,"⏳ PENDIENTE","⚠ MIXTO"))))</f>
        <v>⏳ PENDIENTE</v>
      </c>
      <c r="H237" s="12" t="str">
        <f aca="false">"Hola "&amp;IFERROR(LEFT(TRIM(MID(B237,FIND(" ",B237,FIND(" ",B237)+1)+1,100)),IFERROR(FIND(" ",TRIM(MID(B237,FIND(" ",B237,FIND(" ",B237)+1)+1,100)))-1,100)),TRIM(MID(B237,FIND(" ",B237&amp;" ")+1,100)))&amp;", buen día."&amp;CHAR(10)&amp;CHAR(10)&amp;"Te escribo porque "&amp;E237&amp;" personas de tu equipo aún no se han sentado en el Capítulo 1:"&amp;CHAR(10)&amp;CHAR(10)&amp;"1. Marina Anahua Atencio
2. Dario Aguilar Vilca
3. Oliver Adrian Ramirez Hualpa
4. Juliana Cervantes Acho Cervantes Acho
5. Juliana Giron Machado
6. Claudia Ore
7. Lourdes Milagros Limachi Incacutipa
8. Rosmery Roque Perca
9. Juan Limachi Incacutipa
10. Didier Loza Apaza Loza Apaza"&amp;CHAR(10)&amp;CHAR(10)&amp;"El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Rosa, buen día.
Te escribo porque 10 personas de tu equipo aún no se han sentado en el Capítulo 1:
1. Marina Anahua Atencio
2. Dario Aguilar Vilca
3. Oliver Adrian Ramirez Hualpa
4. Juliana Cervantes Acho Cervantes Acho
5. Juliana Giron Machado
6. Claudia Ore
7. Lourdes Milagros Limachi Incacutipa
8. Rosmery Roque Perca
9. Juan Limachi Incacutipa
10. Didier Loza Apaza Loza Apaza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8" customFormat="false" ht="120" hidden="false" customHeight="true" outlineLevel="0" collapsed="false">
      <c r="A238" s="13" t="n">
        <v>234</v>
      </c>
      <c r="B238" s="3" t="s">
        <v>1307</v>
      </c>
      <c r="C238" s="4" t="s">
        <v>27</v>
      </c>
      <c r="D238" s="4" t="s">
        <v>1309</v>
      </c>
      <c r="E238" s="14" t="n">
        <f aca="false">COUNTIF(DATA!A:A,B238)</f>
        <v>2</v>
      </c>
      <c r="F238" s="14" t="n">
        <f aca="false">COUNTIFS(DATA!A:A,B238,DATA!G:G,"CONFIRMADO")</f>
        <v>0</v>
      </c>
      <c r="G238" s="5" t="str">
        <f aca="false">IF(E238=0,"SIN DATA",IF(F238=E238,"✅ COMPLETO",IF(F238&gt;0,"🔄 PARCIAL",IF(COUNTIFS(DATA!A:A,B238,DATA!G:G,"PENDIENTE")=E238,"⏳ PENDIENTE","⚠ MIXTO"))))</f>
        <v>⏳ PENDIENTE</v>
      </c>
      <c r="H238" s="12" t="str">
        <f aca="false">"Hola "&amp;IFERROR(LEFT(TRIM(MID(B238,FIND(" ",B238,FIND(" ",B238)+1)+1,100)),IFERROR(FIND(" ",TRIM(MID(B238,FIND(" ",B238,FIND(" ",B238)+1)+1,100)))-1,100)),TRIM(MID(B238,FIND(" ",B238&amp;" ")+1,100)))&amp;", buen día."&amp;CHAR(10)&amp;CHAR(10)&amp;"Te escribo porque "&amp;E238&amp;" personas de tu equipo aún no se han sentado en el Capítulo 1:"&amp;CHAR(10)&amp;CHAR(10)&amp;"1. Oscar Anibal Leiva Sulluchuco
2. Rosa Bazan Flores"&amp;CHAR(10)&amp;CHAR(10)&amp;"El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Cesar, buen día.
Te escribo porque 2 personas de tu equipo aún no se han sentado en el Capítulo 1:
1. Oscar Anibal Leiva Sulluchuco
2. Rosa Bazan Flores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39" customFormat="false" ht="105" hidden="false" customHeight="true" outlineLevel="0" collapsed="false">
      <c r="A239" s="10" t="n">
        <v>235</v>
      </c>
      <c r="B239" s="6" t="s">
        <v>1312</v>
      </c>
      <c r="C239" s="7" t="s">
        <v>27</v>
      </c>
      <c r="D239" s="7" t="s">
        <v>1314</v>
      </c>
      <c r="E239" s="11" t="n">
        <f aca="false">COUNTIF(DATA!A:A,B239)</f>
        <v>1</v>
      </c>
      <c r="F239" s="11" t="n">
        <f aca="false">COUNTIFS(DATA!A:A,B239,DATA!G:G,"CONFIRMADO")</f>
        <v>0</v>
      </c>
      <c r="G239" s="5" t="str">
        <f aca="false">IF(E239=0,"SIN DATA",IF(F239=E239,"✅ COMPLETO",IF(F239&gt;0,"🔄 PARCIAL",IF(COUNTIFS(DATA!A:A,B239,DATA!G:G,"PENDIENTE")=E239,"⏳ PENDIENTE","⚠ MIXTO"))))</f>
        <v>⏳ PENDIENTE</v>
      </c>
      <c r="H239" s="12" t="str">
        <f aca="false">"Hola "&amp;IFERROR(LEFT(TRIM(MID(B239,FIND(" ",B239,FIND(" ",B239)+1)+1,100)),IFERROR(FIND(" ",TRIM(MID(B239,FIND(" ",B239,FIND(" ",B239)+1)+1,100)))-1,100)),TRIM(MID(B239,FIND(" ",B239&amp;" ")+1,100)))&amp;", buen día."&amp;CHAR(10)&amp;CHAR(10)&amp;"Te escribo porque una persona de tu equipo aún no se ha sentado en el Capítulo 1:"&amp;CHAR(10)&amp;CHAR(10)&amp;"1. Edith Cacanahuaray Huanca"&amp;CHAR(10)&amp;CHAR(10)&amp;"El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Veronica, buen día.
Te escribo porque una persona de tu equipo aún no se ha sentado en el Capítulo 1:
1. Edith Cacanahuaray Huanca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40" customFormat="false" ht="180" hidden="false" customHeight="true" outlineLevel="0" collapsed="false">
      <c r="A240" s="13" t="n">
        <v>236</v>
      </c>
      <c r="B240" s="3" t="s">
        <v>1316</v>
      </c>
      <c r="C240" s="4" t="s">
        <v>37</v>
      </c>
      <c r="D240" s="4" t="s">
        <v>1318</v>
      </c>
      <c r="E240" s="14" t="n">
        <f aca="false">COUNTIF(DATA!A:A,B240)</f>
        <v>6</v>
      </c>
      <c r="F240" s="14" t="n">
        <f aca="false">COUNTIFS(DATA!A:A,B240,DATA!G:G,"CONFIRMADO")</f>
        <v>0</v>
      </c>
      <c r="G240" s="5" t="str">
        <f aca="false">IF(E240=0,"SIN DATA",IF(F240=E240,"✅ COMPLETO",IF(F240&gt;0,"🔄 PARCIAL",IF(COUNTIFS(DATA!A:A,B240,DATA!G:G,"PENDIENTE")=E240,"⏳ PENDIENTE","⚠ MIXTO"))))</f>
        <v>⏳ PENDIENTE</v>
      </c>
      <c r="H240" s="12" t="str">
        <f aca="false">"Hola "&amp;IFERROR(LEFT(TRIM(MID(B240,FIND(" ",B240,FIND(" ",B240)+1)+1,100)),IFERROR(FIND(" ",TRIM(MID(B240,FIND(" ",B240,FIND(" ",B240)+1)+1,100)))-1,100)),TRIM(MID(B240,FIND(" ",B240&amp;" ")+1,100)))&amp;", buen día."&amp;CHAR(10)&amp;CHAR(10)&amp;"Te escribo porque "&amp;E240&amp;" personas de tu equipo aún no se han sentado en el Capítulo 1:"&amp;CHAR(10)&amp;CHAR(10)&amp;"1. Ivan Calderon Cortez
2. Elena Agurto Crisanto
3. Yessica Lisset Briceno Rengifo
4. Mirian Elizabeth Munoz Quispe
5. Denisse Anny Carhuamaca Leon
6. Fernando Marco Albitres Abanto"&amp;CHAR(10)&amp;CHAR(10)&amp;"El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Eufemia, buen día.
Te escribo porque 6 personas de tu equipo aún no se han sentado en el Capítulo 1:
1. Ivan Calderon Cortez
2. Elena Agurto Crisanto
3. Yessica Lisset Briceno Rengifo
4. Mirian Elizabeth Munoz Quispe
5. Denisse Anny Carhuamaca Leon
6. Fernando Marco Albitres Abanto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1" customFormat="false" ht="195" hidden="false" customHeight="true" outlineLevel="0" collapsed="false">
      <c r="A241" s="10" t="n">
        <v>237</v>
      </c>
      <c r="B241" s="6" t="s">
        <v>1325</v>
      </c>
      <c r="C241" s="7" t="s">
        <v>37</v>
      </c>
      <c r="D241" s="7" t="s">
        <v>1326</v>
      </c>
      <c r="E241" s="11" t="n">
        <f aca="false">COUNTIF(DATA!A:A,B241)</f>
        <v>7</v>
      </c>
      <c r="F241" s="11" t="n">
        <f aca="false">COUNTIFS(DATA!A:A,B241,DATA!G:G,"CONFIRMADO")</f>
        <v>0</v>
      </c>
      <c r="G241" s="5" t="str">
        <f aca="false">IF(E241=0,"SIN DATA",IF(F241=E241,"✅ COMPLETO",IF(F241&gt;0,"🔄 PARCIAL",IF(COUNTIFS(DATA!A:A,B241,DATA!G:G,"PENDIENTE")=E241,"⏳ PENDIENTE","⚠ MIXTO"))))</f>
        <v>⏳ PENDIENTE</v>
      </c>
      <c r="H241" s="12" t="str">
        <f aca="false">"Hola "&amp;IFERROR(LEFT(TRIM(MID(B241,FIND(" ",B241,FIND(" ",B241)+1)+1,100)),IFERROR(FIND(" ",TRIM(MID(B241,FIND(" ",B241,FIND(" ",B241)+1)+1,100)))-1,100)),TRIM(MID(B241,FIND(" ",B241&amp;" ")+1,100)))&amp;", buen día."&amp;CHAR(10)&amp;CHAR(10)&amp;"Te escribo porque "&amp;E241&amp;" personas de tu equipo aún no se han sentado en el Capítulo 1:"&amp;CHAR(10)&amp;CHAR(10)&amp;"1. Melanny Katiuska Trujillo Huallpatuero
2. Danilo Pretel Ocampo
3. Diana Corrales Holguin
4. Pedro Noel Hermenegildo Cuya
5. Irwin Bravo Oporto
6. Addriel Reyes Chura
7. Carlos Enrique Lora Bocanegra"&amp;CHAR(10)&amp;CHAR(10)&amp;"El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Geraldine, buen día.
Te escribo porque 7 personas de tu equipo aún no se han sentado en el Capítulo 1:
1. Melanny Katiuska Trujillo Huallpatuero
2. Danilo Pretel Ocampo
3. Diana Corrales Holguin
4. Pedro Noel Hermenegildo Cuya
5. Irwin Bravo Oporto
6. Addriel Reyes Chura
7. Carlos Enrique Lora Bocanegra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2" customFormat="false" ht="105" hidden="false" customHeight="true" outlineLevel="0" collapsed="false">
      <c r="A242" s="13" t="n">
        <v>238</v>
      </c>
      <c r="B242" s="3" t="s">
        <v>1334</v>
      </c>
      <c r="C242" s="4" t="s">
        <v>37</v>
      </c>
      <c r="D242" s="4" t="s">
        <v>1336</v>
      </c>
      <c r="E242" s="14" t="n">
        <f aca="false">COUNTIF(DATA!A:A,B242)</f>
        <v>1</v>
      </c>
      <c r="F242" s="14" t="n">
        <f aca="false">COUNTIFS(DATA!A:A,B242,DATA!G:G,"CONFIRMADO")</f>
        <v>0</v>
      </c>
      <c r="G242" s="5" t="str">
        <f aca="false">IF(E242=0,"SIN DATA",IF(F242=E242,"✅ COMPLETO",IF(F242&gt;0,"🔄 PARCIAL",IF(COUNTIFS(DATA!A:A,B242,DATA!G:G,"PENDIENTE")=E242,"⏳ PENDIENTE","⚠ MIXTO"))))</f>
        <v>⏳ PENDIENTE</v>
      </c>
      <c r="H242" s="12" t="str">
        <f aca="false">"Hola "&amp;IFERROR(LEFT(TRIM(MID(B242,FIND(" ",B242,FIND(" ",B242)+1)+1,100)),IFERROR(FIND(" ",TRIM(MID(B242,FIND(" ",B242,FIND(" ",B242)+1)+1,100)))-1,100)),TRIM(MID(B242,FIND(" ",B242&amp;" ")+1,100)))&amp;", buen día."&amp;CHAR(10)&amp;CHAR(10)&amp;"Te escribo porque una persona de tu equipo aún no se ha sentado en el Capítulo 1:"&amp;CHAR(10)&amp;CHAR(10)&amp;"1. Eduarda Firata Lipa"&amp;CHAR(10)&amp;CHAR(10)&amp;"El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Holly, buen día.
Te escribo porque una persona de tu equipo aún no se ha sentado en el Capítulo 1:
1. Eduarda Firata Lipa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43" customFormat="false" ht="165" hidden="false" customHeight="true" outlineLevel="0" collapsed="false">
      <c r="A243" s="10" t="n">
        <v>239</v>
      </c>
      <c r="B243" s="6" t="s">
        <v>1338</v>
      </c>
      <c r="C243" s="7" t="s">
        <v>37</v>
      </c>
      <c r="D243" s="7" t="s">
        <v>1340</v>
      </c>
      <c r="E243" s="11" t="n">
        <f aca="false">COUNTIF(DATA!A:A,B243)</f>
        <v>5</v>
      </c>
      <c r="F243" s="11" t="n">
        <f aca="false">COUNTIFS(DATA!A:A,B243,DATA!G:G,"CONFIRMADO")</f>
        <v>0</v>
      </c>
      <c r="G243" s="5" t="str">
        <f aca="false">IF(E243=0,"SIN DATA",IF(F243=E243,"✅ COMPLETO",IF(F243&gt;0,"🔄 PARCIAL",IF(COUNTIFS(DATA!A:A,B243,DATA!G:G,"PENDIENTE")=E243,"⏳ PENDIENTE","⚠ MIXTO"))))</f>
        <v>⏳ PENDIENTE</v>
      </c>
      <c r="H243" s="12" t="str">
        <f aca="false">"Hola "&amp;IFERROR(LEFT(TRIM(MID(B243,FIND(" ",B243,FIND(" ",B243)+1)+1,100)),IFERROR(FIND(" ",TRIM(MID(B243,FIND(" ",B243,FIND(" ",B243)+1)+1,100)))-1,100)),TRIM(MID(B243,FIND(" ",B243&amp;" ")+1,100)))&amp;", buen día."&amp;CHAR(10)&amp;CHAR(10)&amp;"Te escribo porque "&amp;E243&amp;" personas de tu equipo aún no se han sentado en el Capítulo 1:"&amp;CHAR(10)&amp;CHAR(10)&amp;"1. Jerson Alberto Flores Flores
2. Zulema Ana Maria Silva Lombardi
3. Mirella Mariela Pena Cipriano
4. Rodrigo Nelson Portal Silva
5. Emilio Gustavo Montero Cluzel"&amp;CHAR(10)&amp;CHAR(10)&amp;"El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Otty, buen día.
Te escribo porque 5 personas de tu equipo aún no se han sentado en el Capítulo 1:
1. Jerson Alberto Flores Flores
2. Zulema Ana Maria Silva Lombardi
3. Mirella Mariela Pena Cipriano
4. Rodrigo Nelson Portal Silva
5. Emilio Gustavo Montero Cluzel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4" customFormat="false" ht="120" hidden="false" customHeight="true" outlineLevel="0" collapsed="false">
      <c r="A244" s="13" t="n">
        <v>240</v>
      </c>
      <c r="B244" s="3" t="s">
        <v>1346</v>
      </c>
      <c r="C244" s="4" t="s">
        <v>37</v>
      </c>
      <c r="D244" s="4" t="s">
        <v>1348</v>
      </c>
      <c r="E244" s="14" t="n">
        <f aca="false">COUNTIF(DATA!A:A,B244)</f>
        <v>2</v>
      </c>
      <c r="F244" s="14" t="n">
        <f aca="false">COUNTIFS(DATA!A:A,B244,DATA!G:G,"CONFIRMADO")</f>
        <v>0</v>
      </c>
      <c r="G244" s="5" t="str">
        <f aca="false">IF(E244=0,"SIN DATA",IF(F244=E244,"✅ COMPLETO",IF(F244&gt;0,"🔄 PARCIAL",IF(COUNTIFS(DATA!A:A,B244,DATA!G:G,"PENDIENTE")=E244,"⏳ PENDIENTE","⚠ MIXTO"))))</f>
        <v>⏳ PENDIENTE</v>
      </c>
      <c r="H244" s="12" t="str">
        <f aca="false">"Hola "&amp;IFERROR(LEFT(TRIM(MID(B244,FIND(" ",B244,FIND(" ",B244)+1)+1,100)),IFERROR(FIND(" ",TRIM(MID(B244,FIND(" ",B244,FIND(" ",B244)+1)+1,100)))-1,100)),TRIM(MID(B244,FIND(" ",B244&amp;" ")+1,100)))&amp;", buen día."&amp;CHAR(10)&amp;CHAR(10)&amp;"Te escribo porque "&amp;E244&amp;" personas de tu equipo aún no se han sentado en el Capítulo 1:"&amp;CHAR(10)&amp;CHAR(10)&amp;"1. Andrey Luis Huamani Sandoval
2. Margiory Rocio Calle Guizado"&amp;CHAR(10)&amp;CHAR(10)&amp;"El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Naysha, buen día.
Te escribo porque 2 personas de tu equipo aún no se han sentado en el Capítulo 1:
1. Andrey Luis Huamani Sandoval
2. Margiory Rocio Calle Guizado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5" customFormat="false" ht="105" hidden="false" customHeight="true" outlineLevel="0" collapsed="false">
      <c r="A245" s="10" t="n">
        <v>241</v>
      </c>
      <c r="B245" s="6" t="s">
        <v>1351</v>
      </c>
      <c r="C245" s="7" t="s">
        <v>37</v>
      </c>
      <c r="D245" s="7" t="s">
        <v>1353</v>
      </c>
      <c r="E245" s="11" t="n">
        <f aca="false">COUNTIF(DATA!A:A,B245)</f>
        <v>1</v>
      </c>
      <c r="F245" s="11" t="n">
        <f aca="false">COUNTIFS(DATA!A:A,B245,DATA!G:G,"CONFIRMADO")</f>
        <v>0</v>
      </c>
      <c r="G245" s="5" t="str">
        <f aca="false">IF(E245=0,"SIN DATA",IF(F245=E245,"✅ COMPLETO",IF(F245&gt;0,"🔄 PARCIAL",IF(COUNTIFS(DATA!A:A,B245,DATA!G:G,"PENDIENTE")=E245,"⏳ PENDIENTE","⚠ MIXTO"))))</f>
        <v>⏳ PENDIENTE</v>
      </c>
      <c r="H245" s="12" t="str">
        <f aca="false">"Hola "&amp;IFERROR(LEFT(TRIM(MID(B245,FIND(" ",B245,FIND(" ",B245)+1)+1,100)),IFERROR(FIND(" ",TRIM(MID(B245,FIND(" ",B245,FIND(" ",B245)+1)+1,100)))-1,100)),TRIM(MID(B245,FIND(" ",B245&amp;" ")+1,100)))&amp;", buen día."&amp;CHAR(10)&amp;CHAR(10)&amp;"Te escribo porque una persona de tu equipo aún no se ha sentado en el Capítulo 1:"&amp;CHAR(10)&amp;CHAR(10)&amp;"1. Susana Ticona Choquena"&amp;CHAR(10)&amp;CHAR(10)&amp;"El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Delia, buen día.
Te escribo porque una persona de tu equipo aún no se ha sentado en el Capítulo 1:
1. Susana Ticona Choquena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46" customFormat="false" ht="120" hidden="false" customHeight="true" outlineLevel="0" collapsed="false">
      <c r="A246" s="13" t="n">
        <v>242</v>
      </c>
      <c r="B246" s="3" t="s">
        <v>1355</v>
      </c>
      <c r="C246" s="4" t="s">
        <v>37</v>
      </c>
      <c r="D246" s="4" t="s">
        <v>1357</v>
      </c>
      <c r="E246" s="14" t="n">
        <f aca="false">COUNTIF(DATA!A:A,B246)</f>
        <v>2</v>
      </c>
      <c r="F246" s="14" t="n">
        <f aca="false">COUNTIFS(DATA!A:A,B246,DATA!G:G,"CONFIRMADO")</f>
        <v>0</v>
      </c>
      <c r="G246" s="5" t="str">
        <f aca="false">IF(E246=0,"SIN DATA",IF(F246=E246,"✅ COMPLETO",IF(F246&gt;0,"🔄 PARCIAL",IF(COUNTIFS(DATA!A:A,B246,DATA!G:G,"PENDIENTE")=E246,"⏳ PENDIENTE","⚠ MIXTO"))))</f>
        <v>⏳ PENDIENTE</v>
      </c>
      <c r="H246" s="12" t="str">
        <f aca="false">"Hola "&amp;IFERROR(LEFT(TRIM(MID(B246,FIND(" ",B246,FIND(" ",B246)+1)+1,100)),IFERROR(FIND(" ",TRIM(MID(B246,FIND(" ",B246,FIND(" ",B246)+1)+1,100)))-1,100)),TRIM(MID(B246,FIND(" ",B246&amp;" ")+1,100)))&amp;", buen día."&amp;CHAR(10)&amp;CHAR(10)&amp;"Te escribo porque "&amp;E246&amp;" personas de tu equipo aún no se han sentado en el Capítulo 1:"&amp;CHAR(10)&amp;CHAR(10)&amp;"1. Rayda Pedraza
2. Jorge Melares Vasquez"&amp;CHAR(10)&amp;CHAR(10)&amp;"El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Lely, buen día.
Te escribo porque 2 personas de tu equipo aún no se han sentado en el Capítulo 1:
1. Rayda Pedraza
2. Jorge Melares Vasquez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7" customFormat="false" ht="135" hidden="false" customHeight="true" outlineLevel="0" collapsed="false">
      <c r="A247" s="10" t="n">
        <v>243</v>
      </c>
      <c r="B247" s="6" t="s">
        <v>1360</v>
      </c>
      <c r="C247" s="7" t="s">
        <v>37</v>
      </c>
      <c r="D247" s="7" t="s">
        <v>1362</v>
      </c>
      <c r="E247" s="11" t="n">
        <f aca="false">COUNTIF(DATA!A:A,B247)</f>
        <v>3</v>
      </c>
      <c r="F247" s="11" t="n">
        <f aca="false">COUNTIFS(DATA!A:A,B247,DATA!G:G,"CONFIRMADO")</f>
        <v>0</v>
      </c>
      <c r="G247" s="5" t="str">
        <f aca="false">IF(E247=0,"SIN DATA",IF(F247=E247,"✅ COMPLETO",IF(F247&gt;0,"🔄 PARCIAL",IF(COUNTIFS(DATA!A:A,B247,DATA!G:G,"PENDIENTE")=E247,"⏳ PENDIENTE","⚠ MIXTO"))))</f>
        <v>⏳ PENDIENTE</v>
      </c>
      <c r="H247" s="12" t="str">
        <f aca="false">"Hola "&amp;IFERROR(LEFT(TRIM(MID(B247,FIND(" ",B247,FIND(" ",B247)+1)+1,100)),IFERROR(FIND(" ",TRIM(MID(B247,FIND(" ",B247,FIND(" ",B247)+1)+1,100)))-1,100)),TRIM(MID(B247,FIND(" ",B247&amp;" ")+1,100)))&amp;", buen día."&amp;CHAR(10)&amp;CHAR(10)&amp;"Te escribo porque "&amp;E247&amp;" personas de tu equipo aún no se han sentado en el Capítulo 1:"&amp;CHAR(10)&amp;CHAR(10)&amp;"1. Ruth Celina Ramirez Valdez
2. Juan Carlos Ramos Layza
3. Diana Arrieta Bermudo"&amp;CHAR(10)&amp;CHAR(10)&amp;"El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Ida, buen día.
Te escribo porque 3 personas de tu equipo aún no se han sentado en el Capítulo 1:
1. Ruth Celina Ramirez Valdez
2. Juan Carlos Ramos Layza
3. Diana Arrieta Bermudo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48" customFormat="false" ht="105" hidden="false" customHeight="true" outlineLevel="0" collapsed="false">
      <c r="A248" s="13" t="n">
        <v>244</v>
      </c>
      <c r="B248" s="3" t="s">
        <v>1366</v>
      </c>
      <c r="C248" s="4" t="s">
        <v>37</v>
      </c>
      <c r="D248" s="4" t="s">
        <v>1368</v>
      </c>
      <c r="E248" s="14" t="n">
        <f aca="false">COUNTIF(DATA!A:A,B248)</f>
        <v>1</v>
      </c>
      <c r="F248" s="14" t="n">
        <f aca="false">COUNTIFS(DATA!A:A,B248,DATA!G:G,"CONFIRMADO")</f>
        <v>0</v>
      </c>
      <c r="G248" s="5" t="str">
        <f aca="false">IF(E248=0,"SIN DATA",IF(F248=E248,"✅ COMPLETO",IF(F248&gt;0,"🔄 PARCIAL",IF(COUNTIFS(DATA!A:A,B248,DATA!G:G,"PENDIENTE")=E248,"⏳ PENDIENTE","⚠ MIXTO"))))</f>
        <v>⏳ PENDIENTE</v>
      </c>
      <c r="H248" s="12" t="str">
        <f aca="false">"Hola "&amp;IFERROR(LEFT(TRIM(MID(B248,FIND(" ",B248,FIND(" ",B248)+1)+1,100)),IFERROR(FIND(" ",TRIM(MID(B248,FIND(" ",B248,FIND(" ",B248)+1)+1,100)))-1,100)),TRIM(MID(B248,FIND(" ",B248&amp;" ")+1,100)))&amp;", buen día."&amp;CHAR(10)&amp;CHAR(10)&amp;"Te escribo porque una persona de tu equipo aún no se ha sentado en el Capítulo 1:"&amp;CHAR(10)&amp;CHAR(10)&amp;"1. Martin Villanueva Ramos"&amp;CHAR(10)&amp;CHAR(10)&amp;"El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Sucethy, buen día.
Te escribo porque una persona de tu equipo aún no se ha sentado en el Capítulo 1:
1. Martin Villanueva Ramos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49" customFormat="false" ht="135" hidden="false" customHeight="true" outlineLevel="0" collapsed="false">
      <c r="A249" s="10" t="n">
        <v>245</v>
      </c>
      <c r="B249" s="6" t="s">
        <v>1370</v>
      </c>
      <c r="C249" s="7" t="s">
        <v>37</v>
      </c>
      <c r="D249" s="7" t="s">
        <v>1371</v>
      </c>
      <c r="E249" s="11" t="n">
        <f aca="false">COUNTIF(DATA!A:A,B249)</f>
        <v>3</v>
      </c>
      <c r="F249" s="11" t="n">
        <f aca="false">COUNTIFS(DATA!A:A,B249,DATA!G:G,"CONFIRMADO")</f>
        <v>0</v>
      </c>
      <c r="G249" s="5" t="str">
        <f aca="false">IF(E249=0,"SIN DATA",IF(F249=E249,"✅ COMPLETO",IF(F249&gt;0,"🔄 PARCIAL",IF(COUNTIFS(DATA!A:A,B249,DATA!G:G,"PENDIENTE")=E249,"⏳ PENDIENTE","⚠ MIXTO"))))</f>
        <v>⏳ PENDIENTE</v>
      </c>
      <c r="H249" s="12" t="str">
        <f aca="false">"Hola "&amp;IFERROR(LEFT(TRIM(MID(B249,FIND(" ",B249,FIND(" ",B249)+1)+1,100)),IFERROR(FIND(" ",TRIM(MID(B249,FIND(" ",B249,FIND(" ",B249)+1)+1,100)))-1,100)),TRIM(MID(B249,FIND(" ",B249&amp;" ")+1,100)))&amp;", buen día."&amp;CHAR(10)&amp;CHAR(10)&amp;"Te escribo porque "&amp;E249&amp;" personas de tu equipo aún no se han sentado en el Capítulo 1:"&amp;CHAR(10)&amp;CHAR(10)&amp;"1. Jimmy Alexander Bocanegra Calle
2. Abelio Davalos Ortega
3. Rita Juliana Davalos Vera"&amp;CHAR(10)&amp;CHAR(10)&amp;"El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Anita, buen día.
Te escribo porque 3 personas de tu equipo aún no se han sentado en el Capítulo 1:
1. Jimmy Alexander Bocanegra Calle
2. Abelio Davalos Ortega
3. Rita Juliana Davalos Vera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50" customFormat="false" ht="105" hidden="false" customHeight="true" outlineLevel="0" collapsed="false">
      <c r="A250" s="13" t="n">
        <v>246</v>
      </c>
      <c r="B250" s="3" t="s">
        <v>1375</v>
      </c>
      <c r="C250" s="4" t="s">
        <v>37</v>
      </c>
      <c r="D250" s="4" t="s">
        <v>1376</v>
      </c>
      <c r="E250" s="14" t="n">
        <f aca="false">COUNTIF(DATA!A:A,B250)</f>
        <v>1</v>
      </c>
      <c r="F250" s="14" t="n">
        <f aca="false">COUNTIFS(DATA!A:A,B250,DATA!G:G,"CONFIRMADO")</f>
        <v>0</v>
      </c>
      <c r="G250" s="5" t="str">
        <f aca="false">IF(E250=0,"SIN DATA",IF(F250=E250,"✅ COMPLETO",IF(F250&gt;0,"🔄 PARCIAL",IF(COUNTIFS(DATA!A:A,B250,DATA!G:G,"PENDIENTE")=E250,"⏳ PENDIENTE","⚠ MIXTO"))))</f>
        <v>⏳ PENDIENTE</v>
      </c>
      <c r="H250" s="12" t="str">
        <f aca="false">"Hola "&amp;IFERROR(LEFT(TRIM(MID(B250,FIND(" ",B250,FIND(" ",B250)+1)+1,100)),IFERROR(FIND(" ",TRIM(MID(B250,FIND(" ",B250,FIND(" ",B250)+1)+1,100)))-1,100)),TRIM(MID(B250,FIND(" ",B250&amp;" ")+1,100)))&amp;", buen día."&amp;CHAR(10)&amp;CHAR(10)&amp;"Te escribo porque una persona de tu equipo aún no se ha sentado en el Capítulo 1:"&amp;CHAR(10)&amp;CHAR(10)&amp;"1. Cecilia Anasabel Paredes Nakamura"&amp;CHAR(10)&amp;CHAR(10)&amp;"El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Diego, buen día.
Te escribo porque una persona de tu equipo aún no se ha sentado en el Capítulo 1:
1. Cecilia Anasabel Paredes Nakamura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1" customFormat="false" ht="105" hidden="false" customHeight="true" outlineLevel="0" collapsed="false">
      <c r="A251" s="10" t="n">
        <v>247</v>
      </c>
      <c r="B251" s="6" t="s">
        <v>1378</v>
      </c>
      <c r="C251" s="7" t="s">
        <v>37</v>
      </c>
      <c r="D251" s="7" t="s">
        <v>1380</v>
      </c>
      <c r="E251" s="11" t="n">
        <f aca="false">COUNTIF(DATA!A:A,B251)</f>
        <v>1</v>
      </c>
      <c r="F251" s="11" t="n">
        <f aca="false">COUNTIFS(DATA!A:A,B251,DATA!G:G,"CONFIRMADO")</f>
        <v>0</v>
      </c>
      <c r="G251" s="5" t="str">
        <f aca="false">IF(E251=0,"SIN DATA",IF(F251=E251,"✅ COMPLETO",IF(F251&gt;0,"🔄 PARCIAL",IF(COUNTIFS(DATA!A:A,B251,DATA!G:G,"PENDIENTE")=E251,"⏳ PENDIENTE","⚠ MIXTO"))))</f>
        <v>⏳ PENDIENTE</v>
      </c>
      <c r="H251" s="12" t="str">
        <f aca="false">"Hola "&amp;IFERROR(LEFT(TRIM(MID(B251,FIND(" ",B251,FIND(" ",B251)+1)+1,100)),IFERROR(FIND(" ",TRIM(MID(B251,FIND(" ",B251,FIND(" ",B251)+1)+1,100)))-1,100)),TRIM(MID(B251,FIND(" ",B251&amp;" ")+1,100)))&amp;", buen día."&amp;CHAR(10)&amp;CHAR(10)&amp;"Te escribo porque una persona de tu equipo aún no se ha sentado en el Capítulo 1:"&amp;CHAR(10)&amp;CHAR(10)&amp;"1. Robert Richard Ramos Davila"&amp;CHAR(10)&amp;CHAR(10)&amp;"El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Fortunato, buen día.
Te escribo porque una persona de tu equipo aún no se ha sentado en el Capítulo 1:
1. Robert Richard Ramos Davila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2" customFormat="false" ht="105" hidden="false" customHeight="true" outlineLevel="0" collapsed="false">
      <c r="A252" s="13" t="n">
        <v>248</v>
      </c>
      <c r="B252" s="3" t="s">
        <v>1382</v>
      </c>
      <c r="C252" s="4" t="s">
        <v>37</v>
      </c>
      <c r="D252" s="4" t="s">
        <v>1383</v>
      </c>
      <c r="E252" s="14" t="n">
        <f aca="false">COUNTIF(DATA!A:A,B252)</f>
        <v>1</v>
      </c>
      <c r="F252" s="14" t="n">
        <f aca="false">COUNTIFS(DATA!A:A,B252,DATA!G:G,"CONFIRMADO")</f>
        <v>0</v>
      </c>
      <c r="G252" s="5" t="str">
        <f aca="false">IF(E252=0,"SIN DATA",IF(F252=E252,"✅ COMPLETO",IF(F252&gt;0,"🔄 PARCIAL",IF(COUNTIFS(DATA!A:A,B252,DATA!G:G,"PENDIENTE")=E252,"⏳ PENDIENTE","⚠ MIXTO"))))</f>
        <v>⏳ PENDIENTE</v>
      </c>
      <c r="H252" s="12" t="str">
        <f aca="false">"Hola "&amp;IFERROR(LEFT(TRIM(MID(B252,FIND(" ",B252,FIND(" ",B252)+1)+1,100)),IFERROR(FIND(" ",TRIM(MID(B252,FIND(" ",B252,FIND(" ",B252)+1)+1,100)))-1,100)),TRIM(MID(B252,FIND(" ",B252&amp;" ")+1,100)))&amp;", buen día."&amp;CHAR(10)&amp;CHAR(10)&amp;"Te escribo porque una persona de tu equipo aún no se ha sentado en el Capítulo 1:"&amp;CHAR(10)&amp;CHAR(10)&amp;"1. Magali Flores Castillo"&amp;CHAR(10)&amp;CHAR(10)&amp;"El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Rosa, buen día.
Te escribo porque una persona de tu equipo aún no se ha sentado en el Capítulo 1:
1. Magali Flores Castillo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3" customFormat="false" ht="105" hidden="false" customHeight="true" outlineLevel="0" collapsed="false">
      <c r="A253" s="10" t="n">
        <v>249</v>
      </c>
      <c r="B253" s="6" t="s">
        <v>1385</v>
      </c>
      <c r="C253" s="7" t="s">
        <v>37</v>
      </c>
      <c r="D253" s="7" t="s">
        <v>1387</v>
      </c>
      <c r="E253" s="11" t="n">
        <f aca="false">COUNTIF(DATA!A:A,B253)</f>
        <v>1</v>
      </c>
      <c r="F253" s="11" t="n">
        <f aca="false">COUNTIFS(DATA!A:A,B253,DATA!G:G,"CONFIRMADO")</f>
        <v>0</v>
      </c>
      <c r="G253" s="5" t="str">
        <f aca="false">IF(E253=0,"SIN DATA",IF(F253=E253,"✅ COMPLETO",IF(F253&gt;0,"🔄 PARCIAL",IF(COUNTIFS(DATA!A:A,B253,DATA!G:G,"PENDIENTE")=E253,"⏳ PENDIENTE","⚠ MIXTO"))))</f>
        <v>⏳ PENDIENTE</v>
      </c>
      <c r="H253" s="12" t="str">
        <f aca="false">"Hola "&amp;IFERROR(LEFT(TRIM(MID(B253,FIND(" ",B253,FIND(" ",B253)+1)+1,100)),IFERROR(FIND(" ",TRIM(MID(B253,FIND(" ",B253,FIND(" ",B253)+1)+1,100)))-1,100)),TRIM(MID(B253,FIND(" ",B253&amp;" ")+1,100)))&amp;", buen día."&amp;CHAR(10)&amp;CHAR(10)&amp;"Te escribo porque una persona de tu equipo aún no se ha sentado en el Capítulo 1:"&amp;CHAR(10)&amp;CHAR(10)&amp;"1. Rogelia Arenaza Huamani"&amp;CHAR(10)&amp;CHAR(10)&amp;"El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Leydi, buen día.
Te escribo porque una persona de tu equipo aún no se ha sentado en el Capítulo 1:
1. Rogelia Arenaza Huamani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4" customFormat="false" ht="105" hidden="false" customHeight="true" outlineLevel="0" collapsed="false">
      <c r="A254" s="13" t="n">
        <v>250</v>
      </c>
      <c r="B254" s="3" t="s">
        <v>1389</v>
      </c>
      <c r="C254" s="4" t="s">
        <v>37</v>
      </c>
      <c r="D254" s="4" t="s">
        <v>1391</v>
      </c>
      <c r="E254" s="14" t="n">
        <f aca="false">COUNTIF(DATA!A:A,B254)</f>
        <v>1</v>
      </c>
      <c r="F254" s="14" t="n">
        <f aca="false">COUNTIFS(DATA!A:A,B254,DATA!G:G,"CONFIRMADO")</f>
        <v>0</v>
      </c>
      <c r="G254" s="5" t="str">
        <f aca="false">IF(E254=0,"SIN DATA",IF(F254=E254,"✅ COMPLETO",IF(F254&gt;0,"🔄 PARCIAL",IF(COUNTIFS(DATA!A:A,B254,DATA!G:G,"PENDIENTE")=E254,"⏳ PENDIENTE","⚠ MIXTO"))))</f>
        <v>⏳ PENDIENTE</v>
      </c>
      <c r="H254" s="12" t="str">
        <f aca="false">"Hola "&amp;IFERROR(LEFT(TRIM(MID(B254,FIND(" ",B254,FIND(" ",B254)+1)+1,100)),IFERROR(FIND(" ",TRIM(MID(B254,FIND(" ",B254,FIND(" ",B254)+1)+1,100)))-1,100)),TRIM(MID(B254,FIND(" ",B254&amp;" ")+1,100)))&amp;", buen día."&amp;CHAR(10)&amp;CHAR(10)&amp;"Te escribo porque una persona de tu equipo aún no se ha sentado en el Capítulo 1:"&amp;CHAR(10)&amp;CHAR(10)&amp;"1. Daysi Flor Caceres Monzon"&amp;CHAR(10)&amp;CHAR(10)&amp;"El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Barmer, buen día.
Te escribo porque una persona de tu equipo aún no se ha sentado en el Capítulo 1:
1. Daysi Flor Caceres Monzon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5" customFormat="false" ht="105" hidden="false" customHeight="true" outlineLevel="0" collapsed="false">
      <c r="A255" s="10" t="n">
        <v>251</v>
      </c>
      <c r="B255" s="6" t="s">
        <v>1393</v>
      </c>
      <c r="C255" s="7" t="s">
        <v>37</v>
      </c>
      <c r="D255" s="7" t="s">
        <v>1395</v>
      </c>
      <c r="E255" s="11" t="n">
        <f aca="false">COUNTIF(DATA!A:A,B255)</f>
        <v>1</v>
      </c>
      <c r="F255" s="11" t="n">
        <f aca="false">COUNTIFS(DATA!A:A,B255,DATA!G:G,"CONFIRMADO")</f>
        <v>0</v>
      </c>
      <c r="G255" s="5" t="str">
        <f aca="false">IF(E255=0,"SIN DATA",IF(F255=E255,"✅ COMPLETO",IF(F255&gt;0,"🔄 PARCIAL",IF(COUNTIFS(DATA!A:A,B255,DATA!G:G,"PENDIENTE")=E255,"⏳ PENDIENTE","⚠ MIXTO"))))</f>
        <v>⏳ PENDIENTE</v>
      </c>
      <c r="H255" s="12" t="str">
        <f aca="false">"Hola "&amp;IFERROR(LEFT(TRIM(MID(B255,FIND(" ",B255,FIND(" ",B255)+1)+1,100)),IFERROR(FIND(" ",TRIM(MID(B255,FIND(" ",B255,FIND(" ",B255)+1)+1,100)))-1,100)),TRIM(MID(B255,FIND(" ",B255&amp;" ")+1,100)))&amp;", buen día."&amp;CHAR(10)&amp;CHAR(10)&amp;"Te escribo porque una persona de tu equipo aún no se ha sentado en el Capítulo 1:"&amp;CHAR(10)&amp;CHAR(10)&amp;"1. Fredy Luis Gabriel Romero"&amp;CHAR(10)&amp;CHAR(10)&amp;"El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July, buen día.
Te escribo porque una persona de tu equipo aún no se ha sentado en el Capítulo 1:
1. Fredy Luis Gabriel Romero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6" customFormat="false" ht="105" hidden="false" customHeight="true" outlineLevel="0" collapsed="false">
      <c r="A256" s="13" t="n">
        <v>252</v>
      </c>
      <c r="B256" s="3" t="s">
        <v>1397</v>
      </c>
      <c r="C256" s="4" t="s">
        <v>37</v>
      </c>
      <c r="D256" s="4" t="s">
        <v>1399</v>
      </c>
      <c r="E256" s="14" t="n">
        <f aca="false">COUNTIF(DATA!A:A,B256)</f>
        <v>1</v>
      </c>
      <c r="F256" s="14" t="n">
        <f aca="false">COUNTIFS(DATA!A:A,B256,DATA!G:G,"CONFIRMADO")</f>
        <v>0</v>
      </c>
      <c r="G256" s="5" t="str">
        <f aca="false">IF(E256=0,"SIN DATA",IF(F256=E256,"✅ COMPLETO",IF(F256&gt;0,"🔄 PARCIAL",IF(COUNTIFS(DATA!A:A,B256,DATA!G:G,"PENDIENTE")=E256,"⏳ PENDIENTE","⚠ MIXTO"))))</f>
        <v>⏳ PENDIENTE</v>
      </c>
      <c r="H256" s="12" t="str">
        <f aca="false">"Hola "&amp;IFERROR(LEFT(TRIM(MID(B256,FIND(" ",B256,FIND(" ",B256)+1)+1,100)),IFERROR(FIND(" ",TRIM(MID(B256,FIND(" ",B256,FIND(" ",B256)+1)+1,100)))-1,100)),TRIM(MID(B256,FIND(" ",B256&amp;" ")+1,100)))&amp;", buen día."&amp;CHAR(10)&amp;CHAR(10)&amp;"Te escribo porque una persona de tu equipo aún no se ha sentado en el Capítulo 1:"&amp;CHAR(10)&amp;CHAR(10)&amp;"1. Alejandro Martinez Zavala"&amp;CHAR(10)&amp;CHAR(10)&amp;"El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Oswaldo, buen día.
Te escribo porque una persona de tu equipo aún no se ha sentado en el Capítulo 1:
1. Alejandro Martinez Zavala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57" customFormat="false" ht="120" hidden="false" customHeight="true" outlineLevel="0" collapsed="false">
      <c r="A257" s="10" t="n">
        <v>253</v>
      </c>
      <c r="B257" s="6" t="s">
        <v>1401</v>
      </c>
      <c r="C257" s="7" t="s">
        <v>37</v>
      </c>
      <c r="D257" s="7" t="s">
        <v>1403</v>
      </c>
      <c r="E257" s="11" t="n">
        <f aca="false">COUNTIF(DATA!A:A,B257)</f>
        <v>2</v>
      </c>
      <c r="F257" s="11" t="n">
        <f aca="false">COUNTIFS(DATA!A:A,B257,DATA!G:G,"CONFIRMADO")</f>
        <v>0</v>
      </c>
      <c r="G257" s="5" t="str">
        <f aca="false">IF(E257=0,"SIN DATA",IF(F257=E257,"✅ COMPLETO",IF(F257&gt;0,"🔄 PARCIAL",IF(COUNTIFS(DATA!A:A,B257,DATA!G:G,"PENDIENTE")=E257,"⏳ PENDIENTE","⚠ MIXTO"))))</f>
        <v>⏳ PENDIENTE</v>
      </c>
      <c r="H257" s="12" t="str">
        <f aca="false">"Hola "&amp;IFERROR(LEFT(TRIM(MID(B257,FIND(" ",B257,FIND(" ",B257)+1)+1,100)),IFERROR(FIND(" ",TRIM(MID(B257,FIND(" ",B257,FIND(" ",B257)+1)+1,100)))-1,100)),TRIM(MID(B257,FIND(" ",B257&amp;" ")+1,100)))&amp;", buen día."&amp;CHAR(10)&amp;CHAR(10)&amp;"Te escribo porque "&amp;E257&amp;" personas de tu equipo aún no se han sentado en el Capítulo 1:"&amp;CHAR(10)&amp;CHAR(10)&amp;"1. Rosa Maria Huamannahui Carhuas
2. Camila Mia Gutierrez Huamannahui"&amp;CHAR(10)&amp;CHAR(10)&amp;"El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Olga, buen día.
Te escribo porque 2 personas de tu equipo aún no se han sentado en el Capítulo 1:
1. Rosa Maria Huamannahui Carhuas
2. Camila Mia Gutierrez Huamannahui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58" customFormat="false" ht="120" hidden="false" customHeight="true" outlineLevel="0" collapsed="false">
      <c r="A258" s="13" t="n">
        <v>254</v>
      </c>
      <c r="B258" s="3" t="s">
        <v>1406</v>
      </c>
      <c r="C258" s="4" t="s">
        <v>37</v>
      </c>
      <c r="D258" s="4" t="s">
        <v>1407</v>
      </c>
      <c r="E258" s="14" t="n">
        <f aca="false">COUNTIF(DATA!A:A,B258)</f>
        <v>2</v>
      </c>
      <c r="F258" s="14" t="n">
        <f aca="false">COUNTIFS(DATA!A:A,B258,DATA!G:G,"CONFIRMADO")</f>
        <v>0</v>
      </c>
      <c r="G258" s="5" t="str">
        <f aca="false">IF(E258=0,"SIN DATA",IF(F258=E258,"✅ COMPLETO",IF(F258&gt;0,"🔄 PARCIAL",IF(COUNTIFS(DATA!A:A,B258,DATA!G:G,"PENDIENTE")=E258,"⏳ PENDIENTE","⚠ MIXTO"))))</f>
        <v>⏳ PENDIENTE</v>
      </c>
      <c r="H258" s="12" t="str">
        <f aca="false">"Hola "&amp;IFERROR(LEFT(TRIM(MID(B258,FIND(" ",B258,FIND(" ",B258)+1)+1,100)),IFERROR(FIND(" ",TRIM(MID(B258,FIND(" ",B258,FIND(" ",B258)+1)+1,100)))-1,100)),TRIM(MID(B258,FIND(" ",B258&amp;" ")+1,100)))&amp;", buen día."&amp;CHAR(10)&amp;CHAR(10)&amp;"Te escribo porque "&amp;E258&amp;" personas de tu equipo aún no se han sentado en el Capítulo 1:"&amp;CHAR(10)&amp;CHAR(10)&amp;"1. Lizeth Nathaly Mamani Yapuchura
2. Sherilyn Albornoz Ticona"&amp;CHAR(10)&amp;CHAR(10)&amp;"El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Doris, buen día.
Te escribo porque 2 personas de tu equipo aún no se han sentado en el Capítulo 1:
1. Lizeth Nathaly Mamani Yapuchura
2. Sherilyn Albornoz Ticona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59" customFormat="false" ht="135" hidden="false" customHeight="true" outlineLevel="0" collapsed="false">
      <c r="A259" s="10" t="n">
        <v>255</v>
      </c>
      <c r="B259" s="6" t="s">
        <v>1410</v>
      </c>
      <c r="C259" s="7" t="s">
        <v>37</v>
      </c>
      <c r="D259" s="7" t="s">
        <v>1412</v>
      </c>
      <c r="E259" s="11" t="n">
        <f aca="false">COUNTIF(DATA!A:A,B259)</f>
        <v>3</v>
      </c>
      <c r="F259" s="11" t="n">
        <f aca="false">COUNTIFS(DATA!A:A,B259,DATA!G:G,"CONFIRMADO")</f>
        <v>0</v>
      </c>
      <c r="G259" s="5" t="str">
        <f aca="false">IF(E259=0,"SIN DATA",IF(F259=E259,"✅ COMPLETO",IF(F259&gt;0,"🔄 PARCIAL",IF(COUNTIFS(DATA!A:A,B259,DATA!G:G,"PENDIENTE")=E259,"⏳ PENDIENTE","⚠ MIXTO"))))</f>
        <v>⏳ PENDIENTE</v>
      </c>
      <c r="H259" s="12" t="str">
        <f aca="false">"Hola "&amp;IFERROR(LEFT(TRIM(MID(B259,FIND(" ",B259,FIND(" ",B259)+1)+1,100)),IFERROR(FIND(" ",TRIM(MID(B259,FIND(" ",B259,FIND(" ",B259)+1)+1,100)))-1,100)),TRIM(MID(B259,FIND(" ",B259&amp;" ")+1,100)))&amp;", buen día."&amp;CHAR(10)&amp;CHAR(10)&amp;"Te escribo porque "&amp;E259&amp;" personas de tu equipo aún no se han sentado en el Capítulo 1:"&amp;CHAR(10)&amp;CHAR(10)&amp;"1. John Henry Carbajal Valdivia
2. Myrko Adrian Quispe Quispe
3. Enrique Antonio Quispe Galvez"&amp;CHAR(10)&amp;CHAR(10)&amp;"El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Melisa, buen día.
Te escribo porque 3 personas de tu equipo aún no se han sentado en el Capítulo 1:
1. John Henry Carbajal Valdivia
2. Myrko Adrian Quispe Quispe
3. Enrique Antonio Quispe Galvez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0" customFormat="false" ht="165" hidden="false" customHeight="true" outlineLevel="0" collapsed="false">
      <c r="A260" s="13" t="n">
        <v>256</v>
      </c>
      <c r="B260" s="3" t="s">
        <v>1416</v>
      </c>
      <c r="C260" s="4" t="s">
        <v>37</v>
      </c>
      <c r="D260" s="4" t="s">
        <v>1417</v>
      </c>
      <c r="E260" s="14" t="n">
        <f aca="false">COUNTIF(DATA!A:A,B260)</f>
        <v>5</v>
      </c>
      <c r="F260" s="14" t="n">
        <f aca="false">COUNTIFS(DATA!A:A,B260,DATA!G:G,"CONFIRMADO")</f>
        <v>0</v>
      </c>
      <c r="G260" s="5" t="str">
        <f aca="false">IF(E260=0,"SIN DATA",IF(F260=E260,"✅ COMPLETO",IF(F260&gt;0,"🔄 PARCIAL",IF(COUNTIFS(DATA!A:A,B260,DATA!G:G,"PENDIENTE")=E260,"⏳ PENDIENTE","⚠ MIXTO"))))</f>
        <v>⏳ PENDIENTE</v>
      </c>
      <c r="H260" s="12" t="str">
        <f aca="false">"Hola "&amp;IFERROR(LEFT(TRIM(MID(B260,FIND(" ",B260,FIND(" ",B260)+1)+1,100)),IFERROR(FIND(" ",TRIM(MID(B260,FIND(" ",B260,FIND(" ",B260)+1)+1,100)))-1,100)),TRIM(MID(B260,FIND(" ",B260&amp;" ")+1,100)))&amp;", buen día."&amp;CHAR(10)&amp;CHAR(10)&amp;"Te escribo porque "&amp;E260&amp;" personas de tu equipo aún no se han sentado en el Capítulo 1:"&amp;CHAR(10)&amp;CHAR(10)&amp;"1. Jhonny Lopez Melo
2. Olger Jesus Lopez Choquehuanca
3. Silvia Betty Cirilo Valverde
4. Edwin Ronald Balcazer Pineda
5. Marcela Rosa Lopez Melo"&amp;CHAR(10)&amp;CHAR(10)&amp;"El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Fernando, buen día.
Te escribo porque 5 personas de tu equipo aún no se han sentado en el Capítulo 1:
1. Jhonny Lopez Melo
2. Olger Jesus Lopez Choquehuanca
3. Silvia Betty Cirilo Valverde
4. Edwin Ronald Balcazer Pineda
5. Marcela Rosa Lopez Melo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1" customFormat="false" ht="105" hidden="false" customHeight="true" outlineLevel="0" collapsed="false">
      <c r="A261" s="10" t="n">
        <v>257</v>
      </c>
      <c r="B261" s="6" t="s">
        <v>1423</v>
      </c>
      <c r="C261" s="7" t="s">
        <v>37</v>
      </c>
      <c r="D261" s="7" t="s">
        <v>1425</v>
      </c>
      <c r="E261" s="11" t="n">
        <f aca="false">COUNTIF(DATA!A:A,B261)</f>
        <v>1</v>
      </c>
      <c r="F261" s="11" t="n">
        <f aca="false">COUNTIFS(DATA!A:A,B261,DATA!G:G,"CONFIRMADO")</f>
        <v>0</v>
      </c>
      <c r="G261" s="5" t="str">
        <f aca="false">IF(E261=0,"SIN DATA",IF(F261=E261,"✅ COMPLETO",IF(F261&gt;0,"🔄 PARCIAL",IF(COUNTIFS(DATA!A:A,B261,DATA!G:G,"PENDIENTE")=E261,"⏳ PENDIENTE","⚠ MIXTO"))))</f>
        <v>⏳ PENDIENTE</v>
      </c>
      <c r="H261" s="12" t="str">
        <f aca="false">"Hola "&amp;IFERROR(LEFT(TRIM(MID(B261,FIND(" ",B261,FIND(" ",B261)+1)+1,100)),IFERROR(FIND(" ",TRIM(MID(B261,FIND(" ",B261,FIND(" ",B261)+1)+1,100)))-1,100)),TRIM(MID(B261,FIND(" ",B261&amp;" ")+1,100)))&amp;", buen día."&amp;CHAR(10)&amp;CHAR(10)&amp;"Te escribo porque una persona de tu equipo aún no se ha sentado en el Capítulo 1:"&amp;CHAR(10)&amp;CHAR(10)&amp;"1. Betzabe Cansaya Inofuente"&amp;CHAR(10)&amp;CHAR(10)&amp;"El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Betzabe, buen día.
Te escribo porque una persona de tu equipo aún no se ha sentado en el Capítulo 1:
1. Betzabe Cansaya Inofuente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62" customFormat="false" ht="105" hidden="false" customHeight="true" outlineLevel="0" collapsed="false">
      <c r="A262" s="13" t="n">
        <v>258</v>
      </c>
      <c r="B262" s="3" t="s">
        <v>1427</v>
      </c>
      <c r="C262" s="4" t="s">
        <v>37</v>
      </c>
      <c r="D262" s="4" t="s">
        <v>1429</v>
      </c>
      <c r="E262" s="14" t="n">
        <f aca="false">COUNTIF(DATA!A:A,B262)</f>
        <v>1</v>
      </c>
      <c r="F262" s="14" t="n">
        <f aca="false">COUNTIFS(DATA!A:A,B262,DATA!G:G,"CONFIRMADO")</f>
        <v>0</v>
      </c>
      <c r="G262" s="5" t="str">
        <f aca="false">IF(E262=0,"SIN DATA",IF(F262=E262,"✅ COMPLETO",IF(F262&gt;0,"🔄 PARCIAL",IF(COUNTIFS(DATA!A:A,B262,DATA!G:G,"PENDIENTE")=E262,"⏳ PENDIENTE","⚠ MIXTO"))))</f>
        <v>⏳ PENDIENTE</v>
      </c>
      <c r="H262" s="12" t="str">
        <f aca="false">"Hola "&amp;IFERROR(LEFT(TRIM(MID(B262,FIND(" ",B262,FIND(" ",B262)+1)+1,100)),IFERROR(FIND(" ",TRIM(MID(B262,FIND(" ",B262,FIND(" ",B262)+1)+1,100)))-1,100)),TRIM(MID(B262,FIND(" ",B262&amp;" ")+1,100)))&amp;", buen día."&amp;CHAR(10)&amp;CHAR(10)&amp;"Te escribo porque una persona de tu equipo aún no se ha sentado en el Capítulo 1:"&amp;CHAR(10)&amp;CHAR(10)&amp;"1. Erick Alexander Alvarez Chavarria"&amp;CHAR(10)&amp;CHAR(10)&amp;"El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Lizbeth, buen día.
Te escribo porque una persona de tu equipo aún no se ha sentado en el Capítulo 1:
1. Erick Alexander Alvarez Chavarria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63" customFormat="false" ht="105" hidden="false" customHeight="true" outlineLevel="0" collapsed="false">
      <c r="A263" s="10" t="n">
        <v>259</v>
      </c>
      <c r="B263" s="6" t="s">
        <v>1431</v>
      </c>
      <c r="C263" s="7" t="s">
        <v>37</v>
      </c>
      <c r="D263" s="7" t="s">
        <v>1432</v>
      </c>
      <c r="E263" s="11" t="n">
        <f aca="false">COUNTIF(DATA!A:A,B263)</f>
        <v>1</v>
      </c>
      <c r="F263" s="11" t="n">
        <f aca="false">COUNTIFS(DATA!A:A,B263,DATA!G:G,"CONFIRMADO")</f>
        <v>0</v>
      </c>
      <c r="G263" s="5" t="str">
        <f aca="false">IF(E263=0,"SIN DATA",IF(F263=E263,"✅ COMPLETO",IF(F263&gt;0,"🔄 PARCIAL",IF(COUNTIFS(DATA!A:A,B263,DATA!G:G,"PENDIENTE")=E263,"⏳ PENDIENTE","⚠ MIXTO"))))</f>
        <v>⏳ PENDIENTE</v>
      </c>
      <c r="H263" s="12" t="str">
        <f aca="false">"Hola "&amp;IFERROR(LEFT(TRIM(MID(B263,FIND(" ",B263,FIND(" ",B263)+1)+1,100)),IFERROR(FIND(" ",TRIM(MID(B263,FIND(" ",B263,FIND(" ",B263)+1)+1,100)))-1,100)),TRIM(MID(B263,FIND(" ",B263&amp;" ")+1,100)))&amp;", buen día."&amp;CHAR(10)&amp;CHAR(10)&amp;"Te escribo porque una persona de tu equipo aún no se ha sentado en el Capítulo 1:"&amp;CHAR(10)&amp;CHAR(10)&amp;"1. Anselma Ramos Ramos"&amp;CHAR(10)&amp;CHAR(10)&amp;"El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Ana, buen día.
Te escribo porque una persona de tu equipo aún no se ha sentado en el Capítulo 1:
1. Anselma Ramos Ramos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64" customFormat="false" ht="150" hidden="false" customHeight="true" outlineLevel="0" collapsed="false">
      <c r="A264" s="13" t="n">
        <v>260</v>
      </c>
      <c r="B264" s="3" t="s">
        <v>1434</v>
      </c>
      <c r="C264" s="4" t="s">
        <v>37</v>
      </c>
      <c r="D264" s="4" t="s">
        <v>1436</v>
      </c>
      <c r="E264" s="14" t="n">
        <f aca="false">COUNTIF(DATA!A:A,B264)</f>
        <v>4</v>
      </c>
      <c r="F264" s="14" t="n">
        <f aca="false">COUNTIFS(DATA!A:A,B264,DATA!G:G,"CONFIRMADO")</f>
        <v>0</v>
      </c>
      <c r="G264" s="5" t="str">
        <f aca="false">IF(E264=0,"SIN DATA",IF(F264=E264,"✅ COMPLETO",IF(F264&gt;0,"🔄 PARCIAL",IF(COUNTIFS(DATA!A:A,B264,DATA!G:G,"PENDIENTE")=E264,"⏳ PENDIENTE","⚠ MIXTO"))))</f>
        <v>⏳ PENDIENTE</v>
      </c>
      <c r="H264" s="12" t="str">
        <f aca="false">"Hola "&amp;IFERROR(LEFT(TRIM(MID(B264,FIND(" ",B264,FIND(" ",B264)+1)+1,100)),IFERROR(FIND(" ",TRIM(MID(B264,FIND(" ",B264,FIND(" ",B264)+1)+1,100)))-1,100)),TRIM(MID(B264,FIND(" ",B264&amp;" ")+1,100)))&amp;", buen día."&amp;CHAR(10)&amp;CHAR(10)&amp;"Te escribo porque "&amp;E264&amp;" personas de tu equipo aún no se han sentado en el Capítulo 1:"&amp;CHAR(10)&amp;CHAR(10)&amp;"1. Mariano Lopez Ramos
2. Christian Jhonatan Ramos Ramos
3. Jefers Sebastian Salamanca Ramos
4. Elisban Alex Salamanca Ramos"&amp;CHAR(10)&amp;CHAR(10)&amp;"El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Wilfredo, buen día.
Te escribo porque 4 personas de tu equipo aún no se han sentado en el Capítulo 1:
1. Mariano Lopez Ramos
2. Christian Jhonatan Ramos Ramos
3. Jefers Sebastian Salamanca Ramos
4. Elisban Alex Salamanca Ramos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5" customFormat="false" ht="150" hidden="false" customHeight="true" outlineLevel="0" collapsed="false">
      <c r="A265" s="10" t="n">
        <v>261</v>
      </c>
      <c r="B265" s="6" t="s">
        <v>1441</v>
      </c>
      <c r="C265" s="7" t="s">
        <v>37</v>
      </c>
      <c r="D265" s="7" t="s">
        <v>1443</v>
      </c>
      <c r="E265" s="11" t="n">
        <f aca="false">COUNTIF(DATA!A:A,B265)</f>
        <v>4</v>
      </c>
      <c r="F265" s="11" t="n">
        <f aca="false">COUNTIFS(DATA!A:A,B265,DATA!G:G,"CONFIRMADO")</f>
        <v>0</v>
      </c>
      <c r="G265" s="5" t="str">
        <f aca="false">IF(E265=0,"SIN DATA",IF(F265=E265,"✅ COMPLETO",IF(F265&gt;0,"🔄 PARCIAL",IF(COUNTIFS(DATA!A:A,B265,DATA!G:G,"PENDIENTE")=E265,"⏳ PENDIENTE","⚠ MIXTO"))))</f>
        <v>⏳ PENDIENTE</v>
      </c>
      <c r="H265" s="12" t="str">
        <f aca="false">"Hola "&amp;IFERROR(LEFT(TRIM(MID(B265,FIND(" ",B265,FIND(" ",B265)+1)+1,100)),IFERROR(FIND(" ",TRIM(MID(B265,FIND(" ",B265,FIND(" ",B265)+1)+1,100)))-1,100)),TRIM(MID(B265,FIND(" ",B265&amp;" ")+1,100)))&amp;", buen día."&amp;CHAR(10)&amp;CHAR(10)&amp;"Te escribo porque "&amp;E265&amp;" personas de tu equipo aún no se han sentado en el Capítulo 1:"&amp;CHAR(10)&amp;CHAR(10)&amp;"1. Cesar Neil Ahumada Garcia
2. Hilda Irene Rinza Huaman
3. Magaly Vilcabana Sanchez
4. Medaly Vilcabana Sanchez"&amp;CHAR(10)&amp;CHAR(10)&amp;"El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Ignacio, buen día.
Te escribo porque 4 personas de tu equipo aún no se han sentado en el Capítulo 1:
1. Cesar Neil Ahumada Garcia
2. Hilda Irene Rinza Huaman
3. Magaly Vilcabana Sanchez
4. Medaly Vilcabana Sanchez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6" customFormat="false" ht="105" hidden="false" customHeight="true" outlineLevel="0" collapsed="false">
      <c r="A266" s="13" t="n">
        <v>262</v>
      </c>
      <c r="B266" s="3" t="s">
        <v>1448</v>
      </c>
      <c r="C266" s="4" t="s">
        <v>37</v>
      </c>
      <c r="D266" s="4" t="s">
        <v>1450</v>
      </c>
      <c r="E266" s="14" t="n">
        <f aca="false">COUNTIF(DATA!A:A,B266)</f>
        <v>1</v>
      </c>
      <c r="F266" s="14" t="n">
        <f aca="false">COUNTIFS(DATA!A:A,B266,DATA!G:G,"CONFIRMADO")</f>
        <v>0</v>
      </c>
      <c r="G266" s="5" t="str">
        <f aca="false">IF(E266=0,"SIN DATA",IF(F266=E266,"✅ COMPLETO",IF(F266&gt;0,"🔄 PARCIAL",IF(COUNTIFS(DATA!A:A,B266,DATA!G:G,"PENDIENTE")=E266,"⏳ PENDIENTE","⚠ MIXTO"))))</f>
        <v>⏳ PENDIENTE</v>
      </c>
      <c r="H266" s="12" t="str">
        <f aca="false">"Hola "&amp;IFERROR(LEFT(TRIM(MID(B266,FIND(" ",B266,FIND(" ",B266)+1)+1,100)),IFERROR(FIND(" ",TRIM(MID(B266,FIND(" ",B266,FIND(" ",B266)+1)+1,100)))-1,100)),TRIM(MID(B266,FIND(" ",B266&amp;" ")+1,100)))&amp;", buen día."&amp;CHAR(10)&amp;CHAR(10)&amp;"Te escribo porque una persona de tu equipo aún no se ha sentado en el Capítulo 1:"&amp;CHAR(10)&amp;CHAR(10)&amp;"1. Carlos Alexander Arias Cortez"&amp;CHAR(10)&amp;CHAR(10)&amp;"El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Francia, buen día.
Te escribo porque una persona de tu equipo aún no se ha sentado en el Capítulo 1:
1. Carlos Alexander Arias Cortez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67" customFormat="false" ht="180" hidden="false" customHeight="true" outlineLevel="0" collapsed="false">
      <c r="A267" s="10" t="n">
        <v>263</v>
      </c>
      <c r="B267" s="6" t="s">
        <v>1452</v>
      </c>
      <c r="C267" s="7" t="s">
        <v>37</v>
      </c>
      <c r="D267" s="7" t="s">
        <v>1454</v>
      </c>
      <c r="E267" s="11" t="n">
        <f aca="false">COUNTIF(DATA!A:A,B267)</f>
        <v>6</v>
      </c>
      <c r="F267" s="11" t="n">
        <f aca="false">COUNTIFS(DATA!A:A,B267,DATA!G:G,"CONFIRMADO")</f>
        <v>0</v>
      </c>
      <c r="G267" s="5" t="str">
        <f aca="false">IF(E267=0,"SIN DATA",IF(F267=E267,"✅ COMPLETO",IF(F267&gt;0,"🔄 PARCIAL",IF(COUNTIFS(DATA!A:A,B267,DATA!G:G,"PENDIENTE")=E267,"⏳ PENDIENTE","⚠ MIXTO"))))</f>
        <v>⏳ PENDIENTE</v>
      </c>
      <c r="H267" s="12" t="str">
        <f aca="false">"Hola "&amp;IFERROR(LEFT(TRIM(MID(B267,FIND(" ",B267,FIND(" ",B267)+1)+1,100)),IFERROR(FIND(" ",TRIM(MID(B267,FIND(" ",B267,FIND(" ",B267)+1)+1,100)))-1,100)),TRIM(MID(B267,FIND(" ",B267&amp;" ")+1,100)))&amp;", buen día."&amp;CHAR(10)&amp;CHAR(10)&amp;"Te escribo porque "&amp;E267&amp;" personas de tu equipo aún no se han sentado en el Capítulo 1:"&amp;CHAR(10)&amp;CHAR(10)&amp;"1. Angelica Flores Mejía
2. María Doralisa Herrera Zurita
3. Alilia Madeline Castillo Prada
4. Tula Consuelo Mendoza Fernandez
5. Marko Antonio Lengua Fernandez
6. Yackeline Mendoza Aker"&amp;CHAR(10)&amp;CHAR(10)&amp;"El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Luis, buen día.
Te escribo porque 6 personas de tu equipo aún no se han sentado en el Capítulo 1:
1. Angelica Flores Mejía
2. María Doralisa Herrera Zurita
3. Alilia Madeline Castillo Prada
4. Tula Consuelo Mendoza Fernandez
5. Marko Antonio Lengua Fernandez
6. Yackeline Mendoza Aker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8" customFormat="false" ht="135" hidden="false" customHeight="true" outlineLevel="0" collapsed="false">
      <c r="A268" s="13" t="n">
        <v>264</v>
      </c>
      <c r="B268" s="3" t="s">
        <v>1461</v>
      </c>
      <c r="C268" s="4" t="s">
        <v>37</v>
      </c>
      <c r="D268" s="4" t="s">
        <v>1462</v>
      </c>
      <c r="E268" s="14" t="n">
        <f aca="false">COUNTIF(DATA!A:A,B268)</f>
        <v>3</v>
      </c>
      <c r="F268" s="14" t="n">
        <f aca="false">COUNTIFS(DATA!A:A,B268,DATA!G:G,"CONFIRMADO")</f>
        <v>0</v>
      </c>
      <c r="G268" s="5" t="str">
        <f aca="false">IF(E268=0,"SIN DATA",IF(F268=E268,"✅ COMPLETO",IF(F268&gt;0,"🔄 PARCIAL",IF(COUNTIFS(DATA!A:A,B268,DATA!G:G,"PENDIENTE")=E268,"⏳ PENDIENTE","⚠ MIXTO"))))</f>
        <v>⏳ PENDIENTE</v>
      </c>
      <c r="H268" s="12" t="str">
        <f aca="false">"Hola "&amp;IFERROR(LEFT(TRIM(MID(B268,FIND(" ",B268,FIND(" ",B268)+1)+1,100)),IFERROR(FIND(" ",TRIM(MID(B268,FIND(" ",B268,FIND(" ",B268)+1)+1,100)))-1,100)),TRIM(MID(B268,FIND(" ",B268&amp;" ")+1,100)))&amp;", buen día."&amp;CHAR(10)&amp;CHAR(10)&amp;"Te escribo porque "&amp;E268&amp;" personas de tu equipo aún no se han sentado en el Capítulo 1:"&amp;CHAR(10)&amp;CHAR(10)&amp;"1. Doris Gaby Araujo Contreras
2. Gabriela Estefania Ramos Araujo
3. Lorena Jackeline Calderon Salazar"&amp;CHAR(10)&amp;CHAR(10)&amp;"El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Ana, buen día.
Te escribo porque 3 personas de tu equipo aún no se han sentado en el Capítulo 1:
1. Doris Gaby Araujo Contreras
2. Gabriela Estefania Ramos Araujo
3. Lorena Jackeline Calderon Salazar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69" customFormat="false" ht="105" hidden="false" customHeight="true" outlineLevel="0" collapsed="false">
      <c r="A269" s="10" t="n">
        <v>265</v>
      </c>
      <c r="B269" s="6" t="s">
        <v>1466</v>
      </c>
      <c r="C269" s="7" t="s">
        <v>37</v>
      </c>
      <c r="D269" s="7" t="s">
        <v>1467</v>
      </c>
      <c r="E269" s="11" t="n">
        <f aca="false">COUNTIF(DATA!A:A,B269)</f>
        <v>1</v>
      </c>
      <c r="F269" s="11" t="n">
        <f aca="false">COUNTIFS(DATA!A:A,B269,DATA!G:G,"CONFIRMADO")</f>
        <v>0</v>
      </c>
      <c r="G269" s="5" t="str">
        <f aca="false">IF(E269=0,"SIN DATA",IF(F269=E269,"✅ COMPLETO",IF(F269&gt;0,"🔄 PARCIAL",IF(COUNTIFS(DATA!A:A,B269,DATA!G:G,"PENDIENTE")=E269,"⏳ PENDIENTE","⚠ MIXTO"))))</f>
        <v>⏳ PENDIENTE</v>
      </c>
      <c r="H269" s="12" t="str">
        <f aca="false">"Hola "&amp;IFERROR(LEFT(TRIM(MID(B269,FIND(" ",B269,FIND(" ",B269)+1)+1,100)),IFERROR(FIND(" ",TRIM(MID(B269,FIND(" ",B269,FIND(" ",B269)+1)+1,100)))-1,100)),TRIM(MID(B269,FIND(" ",B269&amp;" ")+1,100)))&amp;", buen día."&amp;CHAR(10)&amp;CHAR(10)&amp;"Te escribo porque una persona de tu equipo aún no se ha sentado en el Capítulo 1:"&amp;CHAR(10)&amp;CHAR(10)&amp;"1. Joel David Janampa Palomino"&amp;CHAR(10)&amp;CHAR(10)&amp;"El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Ronald, buen día.
Te escribo porque una persona de tu equipo aún no se ha sentado en el Capítulo 1:
1. Joel David Janampa Palomino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0" customFormat="false" ht="105" hidden="false" customHeight="true" outlineLevel="0" collapsed="false">
      <c r="A270" s="13" t="n">
        <v>266</v>
      </c>
      <c r="B270" s="3" t="s">
        <v>1469</v>
      </c>
      <c r="C270" s="4" t="s">
        <v>37</v>
      </c>
      <c r="D270" s="4" t="s">
        <v>1470</v>
      </c>
      <c r="E270" s="14" t="n">
        <f aca="false">COUNTIF(DATA!A:A,B270)</f>
        <v>1</v>
      </c>
      <c r="F270" s="14" t="n">
        <f aca="false">COUNTIFS(DATA!A:A,B270,DATA!G:G,"CONFIRMADO")</f>
        <v>0</v>
      </c>
      <c r="G270" s="5" t="str">
        <f aca="false">IF(E270=0,"SIN DATA",IF(F270=E270,"✅ COMPLETO",IF(F270&gt;0,"🔄 PARCIAL",IF(COUNTIFS(DATA!A:A,B270,DATA!G:G,"PENDIENTE")=E270,"⏳ PENDIENTE","⚠ MIXTO"))))</f>
        <v>⏳ PENDIENTE</v>
      </c>
      <c r="H270" s="12" t="str">
        <f aca="false">"Hola "&amp;IFERROR(LEFT(TRIM(MID(B270,FIND(" ",B270,FIND(" ",B270)+1)+1,100)),IFERROR(FIND(" ",TRIM(MID(B270,FIND(" ",B270,FIND(" ",B270)+1)+1,100)))-1,100)),TRIM(MID(B270,FIND(" ",B270&amp;" ")+1,100)))&amp;", buen día."&amp;CHAR(10)&amp;CHAR(10)&amp;"Te escribo porque una persona de tu equipo aún no se ha sentado en el Capítulo 1:"&amp;CHAR(10)&amp;CHAR(10)&amp;"1. Thais Astoquilca Navarro"&amp;CHAR(10)&amp;CHAR(10)&amp;"El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Francisco, buen día.
Te escribo porque una persona de tu equipo aún no se ha sentado en el Capítulo 1:
1. Thais Astoquilca Navarro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1" customFormat="false" ht="120" hidden="false" customHeight="true" outlineLevel="0" collapsed="false">
      <c r="A271" s="10" t="n">
        <v>267</v>
      </c>
      <c r="B271" s="6" t="s">
        <v>1472</v>
      </c>
      <c r="C271" s="7" t="s">
        <v>37</v>
      </c>
      <c r="D271" s="7" t="s">
        <v>1474</v>
      </c>
      <c r="E271" s="11" t="n">
        <f aca="false">COUNTIF(DATA!A:A,B271)</f>
        <v>2</v>
      </c>
      <c r="F271" s="11" t="n">
        <f aca="false">COUNTIFS(DATA!A:A,B271,DATA!G:G,"CONFIRMADO")</f>
        <v>0</v>
      </c>
      <c r="G271" s="5" t="str">
        <f aca="false">IF(E271=0,"SIN DATA",IF(F271=E271,"✅ COMPLETO",IF(F271&gt;0,"🔄 PARCIAL",IF(COUNTIFS(DATA!A:A,B271,DATA!G:G,"PENDIENTE")=E271,"⏳ PENDIENTE","⚠ MIXTO"))))</f>
        <v>⏳ PENDIENTE</v>
      </c>
      <c r="H271" s="12" t="str">
        <f aca="false">"Hola "&amp;IFERROR(LEFT(TRIM(MID(B271,FIND(" ",B271,FIND(" ",B271)+1)+1,100)),IFERROR(FIND(" ",TRIM(MID(B271,FIND(" ",B271,FIND(" ",B271)+1)+1,100)))-1,100)),TRIM(MID(B271,FIND(" ",B271&amp;" ")+1,100)))&amp;", buen día."&amp;CHAR(10)&amp;CHAR(10)&amp;"Te escribo porque "&amp;E271&amp;" personas de tu equipo aún no se han sentado en el Capítulo 1:"&amp;CHAR(10)&amp;CHAR(10)&amp;"1. Sandra Mercy Lopez Reategui
2. Gino Cardenas Pezo"&amp;CHAR(10)&amp;CHAR(10)&amp;"El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Gina, buen día.
Te escribo porque 2 personas de tu equipo aún no se han sentado en el Capítulo 1:
1. Sandra Mercy Lopez Reategui
2. Gino Cardenas Pezo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72" customFormat="false" ht="120" hidden="false" customHeight="true" outlineLevel="0" collapsed="false">
      <c r="A272" s="13" t="n">
        <v>268</v>
      </c>
      <c r="B272" s="3" t="s">
        <v>1477</v>
      </c>
      <c r="C272" s="4" t="s">
        <v>37</v>
      </c>
      <c r="D272" s="4" t="s">
        <v>1479</v>
      </c>
      <c r="E272" s="14" t="n">
        <f aca="false">COUNTIF(DATA!A:A,B272)</f>
        <v>2</v>
      </c>
      <c r="F272" s="14" t="n">
        <f aca="false">COUNTIFS(DATA!A:A,B272,DATA!G:G,"CONFIRMADO")</f>
        <v>0</v>
      </c>
      <c r="G272" s="5" t="str">
        <f aca="false">IF(E272=0,"SIN DATA",IF(F272=E272,"✅ COMPLETO",IF(F272&gt;0,"🔄 PARCIAL",IF(COUNTIFS(DATA!A:A,B272,DATA!G:G,"PENDIENTE")=E272,"⏳ PENDIENTE","⚠ MIXTO"))))</f>
        <v>⏳ PENDIENTE</v>
      </c>
      <c r="H272" s="12" t="str">
        <f aca="false">"Hola "&amp;IFERROR(LEFT(TRIM(MID(B272,FIND(" ",B272,FIND(" ",B272)+1)+1,100)),IFERROR(FIND(" ",TRIM(MID(B272,FIND(" ",B272,FIND(" ",B272)+1)+1,100)))-1,100)),TRIM(MID(B272,FIND(" ",B272&amp;" ")+1,100)))&amp;", buen día."&amp;CHAR(10)&amp;CHAR(10)&amp;"Te escribo porque "&amp;E272&amp;" personas de tu equipo aún no se han sentado en el Capítulo 1:"&amp;CHAR(10)&amp;CHAR(10)&amp;"1. Silvia Adela Sanchez Cama
2. Milagros Sulca Nieto"&amp;CHAR(10)&amp;CHAR(10)&amp;"El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Marina, buen día.
Te escribo porque 2 personas de tu equipo aún no se han sentado en el Capítulo 1:
1. Silvia Adela Sanchez Cama
2. Milagros Sulca Nieto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73" customFormat="false" ht="165" hidden="false" customHeight="true" outlineLevel="0" collapsed="false">
      <c r="A273" s="10" t="n">
        <v>269</v>
      </c>
      <c r="B273" s="6" t="s">
        <v>1482</v>
      </c>
      <c r="C273" s="7" t="s">
        <v>37</v>
      </c>
      <c r="D273" s="7" t="s">
        <v>1483</v>
      </c>
      <c r="E273" s="11" t="n">
        <f aca="false">COUNTIF(DATA!A:A,B273)</f>
        <v>5</v>
      </c>
      <c r="F273" s="11" t="n">
        <f aca="false">COUNTIFS(DATA!A:A,B273,DATA!G:G,"CONFIRMADO")</f>
        <v>0</v>
      </c>
      <c r="G273" s="5" t="str">
        <f aca="false">IF(E273=0,"SIN DATA",IF(F273=E273,"✅ COMPLETO",IF(F273&gt;0,"🔄 PARCIAL",IF(COUNTIFS(DATA!A:A,B273,DATA!G:G,"PENDIENTE")=E273,"⏳ PENDIENTE","⚠ MIXTO"))))</f>
        <v>⏳ PENDIENTE</v>
      </c>
      <c r="H273" s="12" t="str">
        <f aca="false">"Hola "&amp;IFERROR(LEFT(TRIM(MID(B273,FIND(" ",B273,FIND(" ",B273)+1)+1,100)),IFERROR(FIND(" ",TRIM(MID(B273,FIND(" ",B273,FIND(" ",B273)+1)+1,100)))-1,100)),TRIM(MID(B273,FIND(" ",B273&amp;" ")+1,100)))&amp;", buen día."&amp;CHAR(10)&amp;CHAR(10)&amp;"Te escribo porque "&amp;E273&amp;" personas de tu equipo aún no se han sentado en el Capítulo 1:"&amp;CHAR(10)&amp;CHAR(10)&amp;"1. Lourdes Barral
2. Socorro Del Pilar Terreros Aliaga
3. Zoila Sofia Chavez Terreros
4. Victor Abel Orellana Camargo
5. Fiorela Cristina Tolentino Terreros"&amp;CHAR(10)&amp;CHAR(10)&amp;"El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Ana, buen día.
Te escribo porque 5 personas de tu equipo aún no se han sentado en el Capítulo 1:
1. Lourdes Barral
2. Socorro Del Pilar Terreros Aliaga
3. Zoila Sofia Chavez Terreros
4. Victor Abel Orellana Camargo
5. Fiorela Cristina Tolentino Terreros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74" customFormat="false" ht="105" hidden="false" customHeight="true" outlineLevel="0" collapsed="false">
      <c r="A274" s="13" t="n">
        <v>270</v>
      </c>
      <c r="B274" s="3" t="s">
        <v>1489</v>
      </c>
      <c r="C274" s="4" t="s">
        <v>37</v>
      </c>
      <c r="D274" s="4" t="s">
        <v>1490</v>
      </c>
      <c r="E274" s="14" t="n">
        <f aca="false">COUNTIF(DATA!A:A,B274)</f>
        <v>1</v>
      </c>
      <c r="F274" s="14" t="n">
        <f aca="false">COUNTIFS(DATA!A:A,B274,DATA!G:G,"CONFIRMADO")</f>
        <v>0</v>
      </c>
      <c r="G274" s="5" t="str">
        <f aca="false">IF(E274=0,"SIN DATA",IF(F274=E274,"✅ COMPLETO",IF(F274&gt;0,"🔄 PARCIAL",IF(COUNTIFS(DATA!A:A,B274,DATA!G:G,"PENDIENTE")=E274,"⏳ PENDIENTE","⚠ MIXTO"))))</f>
        <v>⏳ PENDIENTE</v>
      </c>
      <c r="H274" s="12" t="str">
        <f aca="false">"Hola "&amp;IFERROR(LEFT(TRIM(MID(B274,FIND(" ",B274,FIND(" ",B274)+1)+1,100)),IFERROR(FIND(" ",TRIM(MID(B274,FIND(" ",B274,FIND(" ",B274)+1)+1,100)))-1,100)),TRIM(MID(B274,FIND(" ",B274&amp;" ")+1,100)))&amp;", buen día."&amp;CHAR(10)&amp;CHAR(10)&amp;"Te escribo porque una persona de tu equipo aún no se ha sentado en el Capítulo 1:"&amp;CHAR(10)&amp;CHAR(10)&amp;"1. Aaron Edwin Valdivia Salas"&amp;CHAR(10)&amp;CHAR(10)&amp;"El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Aaron, buen día.
Te escribo porque una persona de tu equipo aún no se ha sentado en el Capítulo 1:
1. Aaron Edwin Valdivia Salas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5" customFormat="false" ht="165" hidden="false" customHeight="true" outlineLevel="0" collapsed="false">
      <c r="A275" s="10" t="n">
        <v>271</v>
      </c>
      <c r="B275" s="6" t="s">
        <v>1492</v>
      </c>
      <c r="C275" s="7" t="s">
        <v>37</v>
      </c>
      <c r="D275" s="7" t="s">
        <v>1493</v>
      </c>
      <c r="E275" s="11" t="n">
        <f aca="false">COUNTIF(DATA!A:A,B275)</f>
        <v>5</v>
      </c>
      <c r="F275" s="11" t="n">
        <f aca="false">COUNTIFS(DATA!A:A,B275,DATA!G:G,"CONFIRMADO")</f>
        <v>0</v>
      </c>
      <c r="G275" s="5" t="str">
        <f aca="false">IF(E275=0,"SIN DATA",IF(F275=E275,"✅ COMPLETO",IF(F275&gt;0,"🔄 PARCIAL",IF(COUNTIFS(DATA!A:A,B275,DATA!G:G,"PENDIENTE")=E275,"⏳ PENDIENTE","⚠ MIXTO"))))</f>
        <v>⏳ PENDIENTE</v>
      </c>
      <c r="H275" s="12" t="str">
        <f aca="false">"Hola "&amp;IFERROR(LEFT(TRIM(MID(B275,FIND(" ",B275,FIND(" ",B275)+1)+1,100)),IFERROR(FIND(" ",TRIM(MID(B275,FIND(" ",B275,FIND(" ",B275)+1)+1,100)))-1,100)),TRIM(MID(B275,FIND(" ",B275&amp;" ")+1,100)))&amp;", buen día."&amp;CHAR(10)&amp;CHAR(10)&amp;"Te escribo porque "&amp;E275&amp;" personas de tu equipo aún no se han sentado en el Capítulo 1:"&amp;CHAR(10)&amp;CHAR(10)&amp;"1. Raquel Fiorela Misial Chanta
2. Genaro Huamani Janampa
3. Rocio Janeth Panez Julcarima
4. Judy Betsy Paipay Velazco
5. Mario Palomino Mascco"&amp;CHAR(10)&amp;CHAR(10)&amp;"El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Elizabeth, buen día.
Te escribo porque 5 personas de tu equipo aún no se han sentado en el Capítulo 1:
1. Raquel Fiorela Misial Chanta
2. Genaro Huamani Janampa
3. Rocio Janeth Panez Julcarima
4. Judy Betsy Paipay Velazco
5. Mario Palomino Mascco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76" customFormat="false" ht="180" hidden="false" customHeight="true" outlineLevel="0" collapsed="false">
      <c r="A276" s="13" t="n">
        <v>272</v>
      </c>
      <c r="B276" s="3" t="s">
        <v>1499</v>
      </c>
      <c r="C276" s="4" t="s">
        <v>37</v>
      </c>
      <c r="D276" s="4" t="s">
        <v>1501</v>
      </c>
      <c r="E276" s="14" t="n">
        <f aca="false">COUNTIF(DATA!A:A,B276)</f>
        <v>6</v>
      </c>
      <c r="F276" s="14" t="n">
        <f aca="false">COUNTIFS(DATA!A:A,B276,DATA!G:G,"CONFIRMADO")</f>
        <v>0</v>
      </c>
      <c r="G276" s="5" t="str">
        <f aca="false">IF(E276=0,"SIN DATA",IF(F276=E276,"✅ COMPLETO",IF(F276&gt;0,"🔄 PARCIAL",IF(COUNTIFS(DATA!A:A,B276,DATA!G:G,"PENDIENTE")=E276,"⏳ PENDIENTE","⚠ MIXTO"))))</f>
        <v>⏳ PENDIENTE</v>
      </c>
      <c r="H276" s="12" t="str">
        <f aca="false">"Hola "&amp;IFERROR(LEFT(TRIM(MID(B276,FIND(" ",B276,FIND(" ",B276)+1)+1,100)),IFERROR(FIND(" ",TRIM(MID(B276,FIND(" ",B276,FIND(" ",B276)+1)+1,100)))-1,100)),TRIM(MID(B276,FIND(" ",B276&amp;" ")+1,100)))&amp;", buen día."&amp;CHAR(10)&amp;CHAR(10)&amp;"Te escribo porque "&amp;E276&amp;" personas de tu equipo aún no se han sentado en el Capítulo 1:"&amp;CHAR(10)&amp;CHAR(10)&amp;"1. Melanie Rosa Huaman Villena
2. Abel Jesus Ramos Rios
3. Omar Junior Gutierrez Mamani
4. Jimmy Alberto Poicon Montalvan
5. Elena Julissa Tipismana Huaman
6. Maria Rosa Flores Rodriguez"&amp;CHAR(10)&amp;CHAR(10)&amp;"El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Yenny, buen día.
Te escribo porque 6 personas de tu equipo aún no se han sentado en el Capítulo 1:
1. Melanie Rosa Huaman Villena
2. Abel Jesus Ramos Rios
3. Omar Junior Gutierrez Mamani
4. Jimmy Alberto Poicon Montalvan
5. Elena Julissa Tipismana Huaman
6. Maria Rosa Flores Rodriguez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77" customFormat="false" ht="105" hidden="false" customHeight="true" outlineLevel="0" collapsed="false">
      <c r="A277" s="10" t="n">
        <v>273</v>
      </c>
      <c r="B277" s="6" t="s">
        <v>1508</v>
      </c>
      <c r="C277" s="7" t="s">
        <v>37</v>
      </c>
      <c r="D277" s="7" t="s">
        <v>1510</v>
      </c>
      <c r="E277" s="11" t="n">
        <f aca="false">COUNTIF(DATA!A:A,B277)</f>
        <v>1</v>
      </c>
      <c r="F277" s="11" t="n">
        <f aca="false">COUNTIFS(DATA!A:A,B277,DATA!G:G,"CONFIRMADO")</f>
        <v>0</v>
      </c>
      <c r="G277" s="5" t="str">
        <f aca="false">IF(E277=0,"SIN DATA",IF(F277=E277,"✅ COMPLETO",IF(F277&gt;0,"🔄 PARCIAL",IF(COUNTIFS(DATA!A:A,B277,DATA!G:G,"PENDIENTE")=E277,"⏳ PENDIENTE","⚠ MIXTO"))))</f>
        <v>⏳ PENDIENTE</v>
      </c>
      <c r="H277" s="12" t="str">
        <f aca="false">"Hola "&amp;IFERROR(LEFT(TRIM(MID(B277,FIND(" ",B277,FIND(" ",B277)+1)+1,100)),IFERROR(FIND(" ",TRIM(MID(B277,FIND(" ",B277,FIND(" ",B277)+1)+1,100)))-1,100)),TRIM(MID(B277,FIND(" ",B277&amp;" ")+1,100)))&amp;", buen día."&amp;CHAR(10)&amp;CHAR(10)&amp;"Te escribo porque una persona de tu equipo aún no se ha sentado en el Capítulo 1:"&amp;CHAR(10)&amp;CHAR(10)&amp;"1. Elizabeth Giovana Avila Bueno"&amp;CHAR(10)&amp;CHAR(10)&amp;"El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Isabel, buen día.
Te escribo porque una persona de tu equipo aún no se ha sentado en el Capítulo 1:
1. Elizabeth Giovana Avila Bueno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8" customFormat="false" ht="105" hidden="false" customHeight="true" outlineLevel="0" collapsed="false">
      <c r="A278" s="13" t="n">
        <v>274</v>
      </c>
      <c r="B278" s="3" t="s">
        <v>1512</v>
      </c>
      <c r="C278" s="4" t="s">
        <v>37</v>
      </c>
      <c r="D278" s="4" t="s">
        <v>1514</v>
      </c>
      <c r="E278" s="14" t="n">
        <f aca="false">COUNTIF(DATA!A:A,B278)</f>
        <v>1</v>
      </c>
      <c r="F278" s="14" t="n">
        <f aca="false">COUNTIFS(DATA!A:A,B278,DATA!G:G,"CONFIRMADO")</f>
        <v>0</v>
      </c>
      <c r="G278" s="5" t="str">
        <f aca="false">IF(E278=0,"SIN DATA",IF(F278=E278,"✅ COMPLETO",IF(F278&gt;0,"🔄 PARCIAL",IF(COUNTIFS(DATA!A:A,B278,DATA!G:G,"PENDIENTE")=E278,"⏳ PENDIENTE","⚠ MIXTO"))))</f>
        <v>⏳ PENDIENTE</v>
      </c>
      <c r="H278" s="12" t="str">
        <f aca="false">"Hola "&amp;IFERROR(LEFT(TRIM(MID(B278,FIND(" ",B278,FIND(" ",B278)+1)+1,100)),IFERROR(FIND(" ",TRIM(MID(B278,FIND(" ",B278,FIND(" ",B278)+1)+1,100)))-1,100)),TRIM(MID(B278,FIND(" ",B278&amp;" ")+1,100)))&amp;", buen día."&amp;CHAR(10)&amp;CHAR(10)&amp;"Te escribo porque una persona de tu equipo aún no se ha sentado en el Capítulo 1:"&amp;CHAR(10)&amp;CHAR(10)&amp;"1. Carlos Diego Chinchay Castillo"&amp;CHAR(10)&amp;CHAR(10)&amp;"El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Lucy, buen día.
Te escribo porque una persona de tu equipo aún no se ha sentado en el Capítulo 1:
1. Carlos Diego Chinchay Castillo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79" customFormat="false" ht="105" hidden="false" customHeight="true" outlineLevel="0" collapsed="false">
      <c r="A279" s="10" t="n">
        <v>275</v>
      </c>
      <c r="B279" s="6" t="s">
        <v>1516</v>
      </c>
      <c r="C279" s="7" t="s">
        <v>37</v>
      </c>
      <c r="D279" s="7" t="s">
        <v>1518</v>
      </c>
      <c r="E279" s="11" t="n">
        <f aca="false">COUNTIF(DATA!A:A,B279)</f>
        <v>1</v>
      </c>
      <c r="F279" s="11" t="n">
        <f aca="false">COUNTIFS(DATA!A:A,B279,DATA!G:G,"CONFIRMADO")</f>
        <v>0</v>
      </c>
      <c r="G279" s="5" t="str">
        <f aca="false">IF(E279=0,"SIN DATA",IF(F279=E279,"✅ COMPLETO",IF(F279&gt;0,"🔄 PARCIAL",IF(COUNTIFS(DATA!A:A,B279,DATA!G:G,"PENDIENTE")=E279,"⏳ PENDIENTE","⚠ MIXTO"))))</f>
        <v>⏳ PENDIENTE</v>
      </c>
      <c r="H279" s="12" t="str">
        <f aca="false">"Hola "&amp;IFERROR(LEFT(TRIM(MID(B279,FIND(" ",B279,FIND(" ",B279)+1)+1,100)),IFERROR(FIND(" ",TRIM(MID(B279,FIND(" ",B279,FIND(" ",B279)+1)+1,100)))-1,100)),TRIM(MID(B279,FIND(" ",B279&amp;" ")+1,100)))&amp;", buen día."&amp;CHAR(10)&amp;CHAR(10)&amp;"Te escribo porque una persona de tu equipo aún no se ha sentado en el Capítulo 1:"&amp;CHAR(10)&amp;CHAR(10)&amp;"1. Carlos Enrique Rios Montero"&amp;CHAR(10)&amp;CHAR(10)&amp;"El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Rosario, buen día.
Te escribo porque una persona de tu equipo aún no se ha sentado en el Capítulo 1:
1. Carlos Enrique Rios Montero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80" customFormat="false" ht="120" hidden="false" customHeight="true" outlineLevel="0" collapsed="false">
      <c r="A280" s="13" t="n">
        <v>276</v>
      </c>
      <c r="B280" s="3" t="s">
        <v>1520</v>
      </c>
      <c r="C280" s="4" t="s">
        <v>37</v>
      </c>
      <c r="D280" s="4" t="s">
        <v>1522</v>
      </c>
      <c r="E280" s="14" t="n">
        <f aca="false">COUNTIF(DATA!A:A,B280)</f>
        <v>2</v>
      </c>
      <c r="F280" s="14" t="n">
        <f aca="false">COUNTIFS(DATA!A:A,B280,DATA!G:G,"CONFIRMADO")</f>
        <v>0</v>
      </c>
      <c r="G280" s="5" t="str">
        <f aca="false">IF(E280=0,"SIN DATA",IF(F280=E280,"✅ COMPLETO",IF(F280&gt;0,"🔄 PARCIAL",IF(COUNTIFS(DATA!A:A,B280,DATA!G:G,"PENDIENTE")=E280,"⏳ PENDIENTE","⚠ MIXTO"))))</f>
        <v>⏳ PENDIENTE</v>
      </c>
      <c r="H280" s="12" t="str">
        <f aca="false">"Hola "&amp;IFERROR(LEFT(TRIM(MID(B280,FIND(" ",B280,FIND(" ",B280)+1)+1,100)),IFERROR(FIND(" ",TRIM(MID(B280,FIND(" ",B280,FIND(" ",B280)+1)+1,100)))-1,100)),TRIM(MID(B280,FIND(" ",B280&amp;" ")+1,100)))&amp;", buen día."&amp;CHAR(10)&amp;CHAR(10)&amp;"Te escribo porque "&amp;E280&amp;" personas de tu equipo aún no se han sentado en el Capítulo 1:"&amp;CHAR(10)&amp;CHAR(10)&amp;"1. Juanita Vivar Varas
2. Graciela Valeria Olivares Velazco"&amp;CHAR(10)&amp;CHAR(10)&amp;"El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Alan, buen día.
Te escribo porque 2 personas de tu equipo aún no se han sentado en el Capítulo 1:
1. Juanita Vivar Varas
2. Graciela Valeria Olivares Velazco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81" customFormat="false" ht="120" hidden="false" customHeight="true" outlineLevel="0" collapsed="false">
      <c r="A281" s="10" t="n">
        <v>277</v>
      </c>
      <c r="B281" s="6" t="s">
        <v>1525</v>
      </c>
      <c r="C281" s="7" t="s">
        <v>37</v>
      </c>
      <c r="D281" s="7" t="s">
        <v>1527</v>
      </c>
      <c r="E281" s="11" t="n">
        <f aca="false">COUNTIF(DATA!A:A,B281)</f>
        <v>2</v>
      </c>
      <c r="F281" s="11" t="n">
        <f aca="false">COUNTIFS(DATA!A:A,B281,DATA!G:G,"CONFIRMADO")</f>
        <v>0</v>
      </c>
      <c r="G281" s="5" t="str">
        <f aca="false">IF(E281=0,"SIN DATA",IF(F281=E281,"✅ COMPLETO",IF(F281&gt;0,"🔄 PARCIAL",IF(COUNTIFS(DATA!A:A,B281,DATA!G:G,"PENDIENTE")=E281,"⏳ PENDIENTE","⚠ MIXTO"))))</f>
        <v>⏳ PENDIENTE</v>
      </c>
      <c r="H281" s="12" t="str">
        <f aca="false">"Hola "&amp;IFERROR(LEFT(TRIM(MID(B281,FIND(" ",B281,FIND(" ",B281)+1)+1,100)),IFERROR(FIND(" ",TRIM(MID(B281,FIND(" ",B281,FIND(" ",B281)+1)+1,100)))-1,100)),TRIM(MID(B281,FIND(" ",B281&amp;" ")+1,100)))&amp;", buen día."&amp;CHAR(10)&amp;CHAR(10)&amp;"Te escribo porque "&amp;E281&amp;" personas de tu equipo aún no se han sentado en el Capítulo 1:"&amp;CHAR(10)&amp;CHAR(10)&amp;"1. Rousmery Isseline Rodriguez Bruno
2. Omar Anthony Vivanco Salvatierra"&amp;CHAR(10)&amp;CHAR(10)&amp;"El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Dalin, buen día.
Te escribo porque 2 personas de tu equipo aún no se han sentado en el Capítulo 1:
1. Rousmery Isseline Rodriguez Bruno
2. Omar Anthony Vivanco Salvatierra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82" customFormat="false" ht="105" hidden="false" customHeight="true" outlineLevel="0" collapsed="false">
      <c r="A282" s="13" t="n">
        <v>278</v>
      </c>
      <c r="B282" s="3" t="s">
        <v>1530</v>
      </c>
      <c r="C282" s="4" t="s">
        <v>37</v>
      </c>
      <c r="D282" s="4" t="s">
        <v>1531</v>
      </c>
      <c r="E282" s="14" t="n">
        <f aca="false">COUNTIF(DATA!A:A,B282)</f>
        <v>1</v>
      </c>
      <c r="F282" s="14" t="n">
        <f aca="false">COUNTIFS(DATA!A:A,B282,DATA!G:G,"CONFIRMADO")</f>
        <v>0</v>
      </c>
      <c r="G282" s="5" t="str">
        <f aca="false">IF(E282=0,"SIN DATA",IF(F282=E282,"✅ COMPLETO",IF(F282&gt;0,"🔄 PARCIAL",IF(COUNTIFS(DATA!A:A,B282,DATA!G:G,"PENDIENTE")=E282,"⏳ PENDIENTE","⚠ MIXTO"))))</f>
        <v>⏳ PENDIENTE</v>
      </c>
      <c r="H282" s="12" t="str">
        <f aca="false">"Hola "&amp;IFERROR(LEFT(TRIM(MID(B282,FIND(" ",B282,FIND(" ",B282)+1)+1,100)),IFERROR(FIND(" ",TRIM(MID(B282,FIND(" ",B282,FIND(" ",B282)+1)+1,100)))-1,100)),TRIM(MID(B282,FIND(" ",B282&amp;" ")+1,100)))&amp;", buen día."&amp;CHAR(10)&amp;CHAR(10)&amp;"Te escribo porque una persona de tu equipo aún no se ha sentado en el Capítulo 1:"&amp;CHAR(10)&amp;CHAR(10)&amp;"1. Doris Simon"&amp;CHAR(10)&amp;CHAR(10)&amp;"El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Jose, buen día.
Te escribo porque una persona de tu equipo aún no se ha sentado en el Capítulo 1:
1. Doris Simon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83" customFormat="false" ht="180" hidden="false" customHeight="true" outlineLevel="0" collapsed="false">
      <c r="A283" s="10" t="n">
        <v>279</v>
      </c>
      <c r="B283" s="6" t="s">
        <v>1533</v>
      </c>
      <c r="C283" s="7" t="s">
        <v>568</v>
      </c>
      <c r="D283" s="7" t="s">
        <v>1535</v>
      </c>
      <c r="E283" s="11" t="n">
        <f aca="false">COUNTIF(DATA!A:A,B283)</f>
        <v>6</v>
      </c>
      <c r="F283" s="11" t="n">
        <f aca="false">COUNTIFS(DATA!A:A,B283,DATA!G:G,"CONFIRMADO")</f>
        <v>0</v>
      </c>
      <c r="G283" s="5" t="str">
        <f aca="false">IF(E283=0,"SIN DATA",IF(F283=E283,"✅ COMPLETO",IF(F283&gt;0,"🔄 PARCIAL",IF(COUNTIFS(DATA!A:A,B283,DATA!G:G,"PENDIENTE")=E283,"⏳ PENDIENTE","⚠ MIXTO"))))</f>
        <v>⏳ PENDIENTE</v>
      </c>
      <c r="H283" s="12" t="str">
        <f aca="false">"Hola "&amp;IFERROR(LEFT(TRIM(MID(B283,FIND(" ",B283,FIND(" ",B283)+1)+1,100)),IFERROR(FIND(" ",TRIM(MID(B283,FIND(" ",B283,FIND(" ",B283)+1)+1,100)))-1,100)),TRIM(MID(B283,FIND(" ",B283&amp;" ")+1,100)))&amp;", buen día."&amp;CHAR(10)&amp;CHAR(10)&amp;"Te escribo porque "&amp;E283&amp;" personas de tu equipo aún no se han sentado en el Capítulo 1:"&amp;CHAR(10)&amp;CHAR(10)&amp;"1. Kevin Alexis Espinoza Calderon
2. Eugenio Barahona Campos
3. Manuel  Benigno Martin García
4. Violeta Calle Valdiviezo
5. Jaime Fabrizzio Guillen Rosas
6. Jose Antonio Machacca Burgos"&amp;CHAR(10)&amp;CHAR(10)&amp;"El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Marco, buen día.
Te escribo porque 6 personas de tu equipo aún no se han sentado en el Capítulo 1:
1. Kevin Alexis Espinoza Calderon
2. Eugenio Barahona Campos
3. Manuel  Benigno Martin García
4. Violeta Calle Valdiviezo
5. Jaime Fabrizzio Guillen Rosas
6. Jose Antonio Machacca Burgos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84" customFormat="false" ht="120" hidden="false" customHeight="true" outlineLevel="0" collapsed="false">
      <c r="A284" s="13" t="n">
        <v>280</v>
      </c>
      <c r="B284" s="3" t="s">
        <v>1542</v>
      </c>
      <c r="C284" s="4" t="s">
        <v>568</v>
      </c>
      <c r="D284" s="4" t="s">
        <v>1544</v>
      </c>
      <c r="E284" s="14" t="n">
        <f aca="false">COUNTIF(DATA!A:A,B284)</f>
        <v>2</v>
      </c>
      <c r="F284" s="14" t="n">
        <f aca="false">COUNTIFS(DATA!A:A,B284,DATA!G:G,"CONFIRMADO")</f>
        <v>0</v>
      </c>
      <c r="G284" s="5" t="str">
        <f aca="false">IF(E284=0,"SIN DATA",IF(F284=E284,"✅ COMPLETO",IF(F284&gt;0,"🔄 PARCIAL",IF(COUNTIFS(DATA!A:A,B284,DATA!G:G,"PENDIENTE")=E284,"⏳ PENDIENTE","⚠ MIXTO"))))</f>
        <v>⏳ PENDIENTE</v>
      </c>
      <c r="H284" s="12" t="str">
        <f aca="false">"Hola "&amp;IFERROR(LEFT(TRIM(MID(B284,FIND(" ",B284,FIND(" ",B284)+1)+1,100)),IFERROR(FIND(" ",TRIM(MID(B284,FIND(" ",B284,FIND(" ",B284)+1)+1,100)))-1,100)),TRIM(MID(B284,FIND(" ",B284&amp;" ")+1,100)))&amp;", buen día."&amp;CHAR(10)&amp;CHAR(10)&amp;"Te escribo porque "&amp;E284&amp;" personas de tu equipo aún no se han sentado en el Capítulo 1:"&amp;CHAR(10)&amp;CHAR(10)&amp;"1. Frank Reyder Licla Espinoza
2. Pavel Favio Rivera Pumaylle"&amp;CHAR(10)&amp;CHAR(10)&amp;"El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Jhen, buen día.
Te escribo porque 2 personas de tu equipo aún no se han sentado en el Capítulo 1:
1. Frank Reyder Licla Espinoza
2. Pavel Favio Rivera Pumaylle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row r="285" customFormat="false" ht="105" hidden="false" customHeight="true" outlineLevel="0" collapsed="false">
      <c r="A285" s="10" t="n">
        <v>281</v>
      </c>
      <c r="B285" s="6" t="s">
        <v>1547</v>
      </c>
      <c r="C285" s="7" t="s">
        <v>568</v>
      </c>
      <c r="D285" s="7" t="s">
        <v>1549</v>
      </c>
      <c r="E285" s="11" t="n">
        <f aca="false">COUNTIF(DATA!A:A,B285)</f>
        <v>1</v>
      </c>
      <c r="F285" s="11" t="n">
        <f aca="false">COUNTIFS(DATA!A:A,B285,DATA!G:G,"CONFIRMADO")</f>
        <v>0</v>
      </c>
      <c r="G285" s="5" t="str">
        <f aca="false">IF(E285=0,"SIN DATA",IF(F285=E285,"✅ COMPLETO",IF(F285&gt;0,"🔄 PARCIAL",IF(COUNTIFS(DATA!A:A,B285,DATA!G:G,"PENDIENTE")=E285,"⏳ PENDIENTE","⚠ MIXTO"))))</f>
        <v>⏳ PENDIENTE</v>
      </c>
      <c r="H285" s="12" t="str">
        <f aca="false">"Hola "&amp;IFERROR(LEFT(TRIM(MID(B285,FIND(" ",B285,FIND(" ",B285)+1)+1,100)),IFERROR(FIND(" ",TRIM(MID(B285,FIND(" ",B285,FIND(" ",B285)+1)+1,100)))-1,100)),TRIM(MID(B285,FIND(" ",B285&amp;" ")+1,100)))&amp;", buen día."&amp;CHAR(10)&amp;CHAR(10)&amp;"Te escribo porque una persona de tu equipo aún no se ha sentado en el Capítulo 1:"&amp;CHAR(10)&amp;CHAR(10)&amp;"1. Suled Adriana Rodriguez"&amp;CHAR(10)&amp;CHAR(10)&amp;"El próximo C1 es el 1, 2 y 3 de mayo. Necesito saber el estatus real de esta persona: si tiene la intención de sentarse, qué está pasando con su proceso y si cuenta con tu acompañamiento para llegar."&amp;CHAR(10)&amp;CHAR(10)&amp;"Por favor respóndenos a este mismo número con el estatus de esta persona antes del viernes."&amp;CHAR(10)&amp;CHAR(10)&amp;"Comunicaciones Crear Poder Sin Límites Perú"</f>
        <v>Hola Riva, buen día.
Te escribo porque una persona de tu equipo aún no se ha sentado en el Capítulo 1:
1. Suled Adriana Rodriguez
El próximo C1 es el 1, 2 y 3 de mayo. Necesito saber el estatus real de esta persona: si tiene la intención de sentarse, qué está pasando con su proceso y si cuenta con tu acompañamiento para llegar.
Por favor respóndenos a este mismo número con el estatus de esta persona antes del viernes.
Comunicaciones Crear Poder Sin Límites Perú</v>
      </c>
    </row>
    <row r="286" customFormat="false" ht="150" hidden="false" customHeight="true" outlineLevel="0" collapsed="false">
      <c r="A286" s="13" t="n">
        <v>282</v>
      </c>
      <c r="B286" s="3" t="s">
        <v>1551</v>
      </c>
      <c r="C286" s="4" t="s">
        <v>568</v>
      </c>
      <c r="D286" s="4" t="s">
        <v>1553</v>
      </c>
      <c r="E286" s="14" t="n">
        <f aca="false">COUNTIF(DATA!A:A,B286)</f>
        <v>4</v>
      </c>
      <c r="F286" s="14" t="n">
        <f aca="false">COUNTIFS(DATA!A:A,B286,DATA!G:G,"CONFIRMADO")</f>
        <v>0</v>
      </c>
      <c r="G286" s="5" t="str">
        <f aca="false">IF(E286=0,"SIN DATA",IF(F286=E286,"✅ COMPLETO",IF(F286&gt;0,"🔄 PARCIAL",IF(COUNTIFS(DATA!A:A,B286,DATA!G:G,"PENDIENTE")=E286,"⏳ PENDIENTE","⚠ MIXTO"))))</f>
        <v>⏳ PENDIENTE</v>
      </c>
      <c r="H286" s="12" t="str">
        <f aca="false">"Hola "&amp;IFERROR(LEFT(TRIM(MID(B286,FIND(" ",B286,FIND(" ",B286)+1)+1,100)),IFERROR(FIND(" ",TRIM(MID(B286,FIND(" ",B286,FIND(" ",B286)+1)+1,100)))-1,100)),TRIM(MID(B286,FIND(" ",B286&amp;" ")+1,100)))&amp;", buen día."&amp;CHAR(10)&amp;CHAR(10)&amp;"Te escribo porque "&amp;E286&amp;" personas de tu equipo aún no se han sentado en el Capítulo 1:"&amp;CHAR(10)&amp;CHAR(10)&amp;"1. Verónica Cecilia Silva Sotelo
2. Oscar Vidal Laimito Simich
3. Exalta Berrios Obregon
4. Pedro Eder Espinoza Alva"&amp;CHAR(10)&amp;CHAR(10)&amp;"El próximo C1 es el 1, 2 y 3 de mayo. Necesito saber el estatus real de cada uno: si tienen la intención de sentarse, qué está pasando con su proceso y si cuentan con tu acompañamiento para llegar."&amp;CHAR(10)&amp;CHAR(10)&amp;"Por favor respóndenos a este mismo número con el estatus de cada uno antes del viernes."&amp;CHAR(10)&amp;CHAR(10)&amp;"Comunicaciones Crear Poder Sin Límites Perú"</f>
        <v>Hola Manuel, buen día.
Te escribo porque 4 personas de tu equipo aún no se han sentado en el Capítulo 1:
1. Verónica Cecilia Silva Sotelo
2. Oscar Vidal Laimito Simich
3. Exalta Berrios Obregon
4. Pedro Eder Espinoza Alva
El próximo C1 es el 1, 2 y 3 de mayo. Necesito saber el estatus real de cada uno: si tienen la intención de sentarse, qué está pasando con su proceso y si cuentan con tu acompañamiento para llegar.
Por favor respóndenos a este mismo número con el estatus de cada uno antes del viernes.
Comunicaciones Crear Poder Sin Límites Perú</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10"/>
    <col collapsed="false" customWidth="true" hidden="false" outlineLevel="0" max="4" min="4" style="1" width="14"/>
    <col collapsed="false" customWidth="true" hidden="false" outlineLevel="0" max="6" min="5" style="1" width="12"/>
    <col collapsed="false" customWidth="true" hidden="false" outlineLevel="0" max="7" min="7" style="1" width="10"/>
  </cols>
  <sheetData>
    <row r="1" customFormat="false" ht="21.75" hidden="false" customHeight="true" outlineLevel="0" collapsed="false">
      <c r="A1" s="8" t="s">
        <v>1566</v>
      </c>
      <c r="B1" s="8"/>
      <c r="C1" s="8"/>
      <c r="D1" s="8"/>
      <c r="E1" s="8"/>
      <c r="F1" s="8"/>
      <c r="G1" s="8"/>
    </row>
    <row r="2" customFormat="false" ht="24" hidden="false" customHeight="true" outlineLevel="0" collapsed="false">
      <c r="A2" s="2" t="s">
        <v>1561</v>
      </c>
      <c r="B2" s="2" t="s">
        <v>1567</v>
      </c>
      <c r="C2" s="2" t="s">
        <v>1563</v>
      </c>
      <c r="D2" s="2" t="s">
        <v>1564</v>
      </c>
      <c r="E2" s="2" t="s">
        <v>1568</v>
      </c>
      <c r="F2" s="2" t="s">
        <v>1569</v>
      </c>
      <c r="G2" s="2" t="s">
        <v>1570</v>
      </c>
    </row>
    <row r="3" customFormat="false" ht="13.5" hidden="false" customHeight="true" outlineLevel="0" collapsed="false">
      <c r="A3" s="15" t="s">
        <v>11</v>
      </c>
      <c r="B3" s="16" t="n">
        <f aca="false">COUNTIF(DATA!C:C,"EQUIPO 104")</f>
        <v>1</v>
      </c>
      <c r="C3" s="16" t="n">
        <f aca="false">COUNTIF(DATA!C:C,"EQUIPO 104")</f>
        <v>1</v>
      </c>
      <c r="D3" s="17" t="n">
        <f aca="false">COUNTIFS(DATA!C:C,"EQUIPO 104",DATA!G:G,"CONFIRMADO")</f>
        <v>0</v>
      </c>
      <c r="E3" s="16" t="n">
        <f aca="false">COUNTIFS(DATA!C:C,"EQUIPO 104",DATA!G:G,"EN PROCESO")</f>
        <v>0</v>
      </c>
      <c r="F3" s="18" t="n">
        <f aca="false">COUNTIFS(DATA!C:C,"EQUIPO 104",DATA!G:G,"PENDIENTE")</f>
        <v>1</v>
      </c>
      <c r="G3" s="19" t="n">
        <f aca="false">IFERROR(D3/C3,0)</f>
        <v>0</v>
      </c>
    </row>
    <row r="4" customFormat="false" ht="13.5" hidden="false" customHeight="true" outlineLevel="0" collapsed="false">
      <c r="A4" s="15" t="s">
        <v>18</v>
      </c>
      <c r="B4" s="16" t="n">
        <f aca="false">COUNTIF(DATA!C:C,"EQUIPO 105")</f>
        <v>1</v>
      </c>
      <c r="C4" s="16" t="n">
        <f aca="false">COUNTIF(DATA!C:C,"EQUIPO 105")</f>
        <v>1</v>
      </c>
      <c r="D4" s="17" t="n">
        <f aca="false">COUNTIFS(DATA!C:C,"EQUIPO 105",DATA!G:G,"CONFIRMADO")</f>
        <v>0</v>
      </c>
      <c r="E4" s="16" t="n">
        <f aca="false">COUNTIFS(DATA!C:C,"EQUIPO 105",DATA!G:G,"EN PROCESO")</f>
        <v>0</v>
      </c>
      <c r="F4" s="18" t="n">
        <f aca="false">COUNTIFS(DATA!C:C,"EQUIPO 105",DATA!G:G,"PENDIENTE")</f>
        <v>1</v>
      </c>
      <c r="G4" s="19" t="n">
        <f aca="false">IFERROR(D4/C4,0)</f>
        <v>0</v>
      </c>
    </row>
    <row r="5" customFormat="false" ht="13.5" hidden="false" customHeight="true" outlineLevel="0" collapsed="false">
      <c r="A5" s="15" t="s">
        <v>24</v>
      </c>
      <c r="B5" s="16" t="n">
        <f aca="false">COUNTIF(DATA!C:C,"EQUIPO 108")</f>
        <v>1</v>
      </c>
      <c r="C5" s="16" t="n">
        <f aca="false">COUNTIF(DATA!C:C,"EQUIPO 108")</f>
        <v>1</v>
      </c>
      <c r="D5" s="17" t="n">
        <f aca="false">COUNTIFS(DATA!C:C,"EQUIPO 108",DATA!G:G,"CONFIRMADO")</f>
        <v>0</v>
      </c>
      <c r="E5" s="16" t="n">
        <f aca="false">COUNTIFS(DATA!C:C,"EQUIPO 108",DATA!G:G,"EN PROCESO")</f>
        <v>0</v>
      </c>
      <c r="F5" s="18" t="n">
        <f aca="false">COUNTIFS(DATA!C:C,"EQUIPO 108",DATA!G:G,"PENDIENTE")</f>
        <v>1</v>
      </c>
      <c r="G5" s="19" t="n">
        <f aca="false">IFERROR(D5/C5,0)</f>
        <v>0</v>
      </c>
    </row>
    <row r="6" customFormat="false" ht="13.5" hidden="false" customHeight="true" outlineLevel="0" collapsed="false">
      <c r="A6" s="15" t="s">
        <v>30</v>
      </c>
      <c r="B6" s="16" t="n">
        <f aca="false">COUNTIF(DATA!C:C,"EQUIPO 109")</f>
        <v>2</v>
      </c>
      <c r="C6" s="16" t="n">
        <f aca="false">COUNTIF(DATA!C:C,"EQUIPO 109")</f>
        <v>2</v>
      </c>
      <c r="D6" s="17" t="n">
        <f aca="false">COUNTIFS(DATA!C:C,"EQUIPO 109",DATA!G:G,"CONFIRMADO")</f>
        <v>0</v>
      </c>
      <c r="E6" s="16" t="n">
        <f aca="false">COUNTIFS(DATA!C:C,"EQUIPO 109",DATA!G:G,"EN PROCESO")</f>
        <v>0</v>
      </c>
      <c r="F6" s="18" t="n">
        <f aca="false">COUNTIFS(DATA!C:C,"EQUIPO 109",DATA!G:G,"PENDIENTE")</f>
        <v>2</v>
      </c>
      <c r="G6" s="19" t="n">
        <f aca="false">IFERROR(D6/C6,0)</f>
        <v>0</v>
      </c>
    </row>
    <row r="7" customFormat="false" ht="13.5" hidden="false" customHeight="true" outlineLevel="0" collapsed="false">
      <c r="A7" s="15" t="s">
        <v>40</v>
      </c>
      <c r="B7" s="16" t="n">
        <f aca="false">COUNTIF(DATA!C:C,"EQUIPO 14")</f>
        <v>19</v>
      </c>
      <c r="C7" s="16" t="n">
        <f aca="false">COUNTIF(DATA!C:C,"EQUIPO 14")</f>
        <v>19</v>
      </c>
      <c r="D7" s="17" t="n">
        <f aca="false">COUNTIFS(DATA!C:C,"EQUIPO 14",DATA!G:G,"CONFIRMADO")</f>
        <v>0</v>
      </c>
      <c r="E7" s="16" t="n">
        <f aca="false">COUNTIFS(DATA!C:C,"EQUIPO 14",DATA!G:G,"EN PROCESO")</f>
        <v>0</v>
      </c>
      <c r="F7" s="18" t="n">
        <f aca="false">COUNTIFS(DATA!C:C,"EQUIPO 14",DATA!G:G,"PENDIENTE")</f>
        <v>19</v>
      </c>
      <c r="G7" s="19" t="n">
        <f aca="false">IFERROR(D7/C7,0)</f>
        <v>0</v>
      </c>
    </row>
    <row r="8" customFormat="false" ht="13.5" hidden="false" customHeight="true" outlineLevel="0" collapsed="false">
      <c r="A8" s="15" t="s">
        <v>97</v>
      </c>
      <c r="B8" s="16" t="n">
        <f aca="false">COUNTIF(DATA!C:C,"EQUIPO 15")</f>
        <v>33</v>
      </c>
      <c r="C8" s="16" t="n">
        <f aca="false">COUNTIF(DATA!C:C,"EQUIPO 15")</f>
        <v>33</v>
      </c>
      <c r="D8" s="17" t="n">
        <f aca="false">COUNTIFS(DATA!C:C,"EQUIPO 15",DATA!G:G,"CONFIRMADO")</f>
        <v>0</v>
      </c>
      <c r="E8" s="16" t="n">
        <f aca="false">COUNTIFS(DATA!C:C,"EQUIPO 15",DATA!G:G,"EN PROCESO")</f>
        <v>0</v>
      </c>
      <c r="F8" s="18" t="n">
        <f aca="false">COUNTIFS(DATA!C:C,"EQUIPO 15",DATA!G:G,"PENDIENTE")</f>
        <v>33</v>
      </c>
      <c r="G8" s="19" t="n">
        <f aca="false">IFERROR(D8/C8,0)</f>
        <v>0</v>
      </c>
    </row>
    <row r="9" customFormat="false" ht="13.5" hidden="false" customHeight="true" outlineLevel="0" collapsed="false">
      <c r="A9" s="15" t="s">
        <v>200</v>
      </c>
      <c r="B9" s="16" t="n">
        <f aca="false">COUNTIF(DATA!C:C,"EQUIPO 16")</f>
        <v>24</v>
      </c>
      <c r="C9" s="16" t="n">
        <f aca="false">COUNTIF(DATA!C:C,"EQUIPO 16")</f>
        <v>24</v>
      </c>
      <c r="D9" s="17" t="n">
        <f aca="false">COUNTIFS(DATA!C:C,"EQUIPO 16",DATA!G:G,"CONFIRMADO")</f>
        <v>0</v>
      </c>
      <c r="E9" s="16" t="n">
        <f aca="false">COUNTIFS(DATA!C:C,"EQUIPO 16",DATA!G:G,"EN PROCESO")</f>
        <v>0</v>
      </c>
      <c r="F9" s="18" t="n">
        <f aca="false">COUNTIFS(DATA!C:C,"EQUIPO 16",DATA!G:G,"PENDIENTE")</f>
        <v>24</v>
      </c>
      <c r="G9" s="19" t="n">
        <f aca="false">IFERROR(D9/C9,0)</f>
        <v>0</v>
      </c>
    </row>
    <row r="10" customFormat="false" ht="13.5" hidden="false" customHeight="true" outlineLevel="0" collapsed="false">
      <c r="A10" s="15" t="s">
        <v>43</v>
      </c>
      <c r="B10" s="16" t="n">
        <f aca="false">COUNTIF(DATA!C:C,"EQUIPO 17")</f>
        <v>68</v>
      </c>
      <c r="C10" s="16" t="n">
        <f aca="false">COUNTIF(DATA!C:C,"EQUIPO 17")</f>
        <v>68</v>
      </c>
      <c r="D10" s="17" t="n">
        <f aca="false">COUNTIFS(DATA!C:C,"EQUIPO 17",DATA!G:G,"CONFIRMADO")</f>
        <v>0</v>
      </c>
      <c r="E10" s="16" t="n">
        <f aca="false">COUNTIFS(DATA!C:C,"EQUIPO 17",DATA!G:G,"EN PROCESO")</f>
        <v>0</v>
      </c>
      <c r="F10" s="18" t="n">
        <f aca="false">COUNTIFS(DATA!C:C,"EQUIPO 17",DATA!G:G,"PENDIENTE")</f>
        <v>68</v>
      </c>
      <c r="G10" s="19" t="n">
        <f aca="false">IFERROR(D10/C10,0)</f>
        <v>0</v>
      </c>
    </row>
    <row r="11" customFormat="false" ht="13.5" hidden="false" customHeight="true" outlineLevel="0" collapsed="false">
      <c r="A11" s="15" t="s">
        <v>100</v>
      </c>
      <c r="B11" s="16" t="n">
        <f aca="false">COUNTIF(DATA!C:C,"EQUIPO 18")</f>
        <v>32</v>
      </c>
      <c r="C11" s="16" t="n">
        <f aca="false">COUNTIF(DATA!C:C,"EQUIPO 18")</f>
        <v>32</v>
      </c>
      <c r="D11" s="17" t="n">
        <f aca="false">COUNTIFS(DATA!C:C,"EQUIPO 18",DATA!G:G,"CONFIRMADO")</f>
        <v>0</v>
      </c>
      <c r="E11" s="16" t="n">
        <f aca="false">COUNTIFS(DATA!C:C,"EQUIPO 18",DATA!G:G,"EN PROCESO")</f>
        <v>0</v>
      </c>
      <c r="F11" s="18" t="n">
        <f aca="false">COUNTIFS(DATA!C:C,"EQUIPO 18",DATA!G:G,"PENDIENTE")</f>
        <v>32</v>
      </c>
      <c r="G11" s="19" t="n">
        <f aca="false">IFERROR(D11/C11,0)</f>
        <v>0</v>
      </c>
    </row>
    <row r="12" customFormat="false" ht="13.5" hidden="false" customHeight="true" outlineLevel="0" collapsed="false">
      <c r="A12" s="15" t="s">
        <v>215</v>
      </c>
      <c r="B12" s="16" t="n">
        <f aca="false">COUNTIF(DATA!C:C,"EQUIPO 19")</f>
        <v>69</v>
      </c>
      <c r="C12" s="16" t="n">
        <f aca="false">COUNTIF(DATA!C:C,"EQUIPO 19")</f>
        <v>69</v>
      </c>
      <c r="D12" s="17" t="n">
        <f aca="false">COUNTIFS(DATA!C:C,"EQUIPO 19",DATA!G:G,"CONFIRMADO")</f>
        <v>0</v>
      </c>
      <c r="E12" s="16" t="n">
        <f aca="false">COUNTIFS(DATA!C:C,"EQUIPO 19",DATA!G:G,"EN PROCESO")</f>
        <v>0</v>
      </c>
      <c r="F12" s="18" t="n">
        <f aca="false">COUNTIFS(DATA!C:C,"EQUIPO 19",DATA!G:G,"PENDIENTE")</f>
        <v>69</v>
      </c>
      <c r="G12" s="19" t="n">
        <f aca="false">IFERROR(D12/C12,0)</f>
        <v>0</v>
      </c>
    </row>
    <row r="13" customFormat="false" ht="13.5" hidden="false" customHeight="true" outlineLevel="0" collapsed="false">
      <c r="A13" s="15" t="s">
        <v>270</v>
      </c>
      <c r="B13" s="16" t="n">
        <f aca="false">COUNTIF(DATA!C:C,"EQUIPO 20")</f>
        <v>88</v>
      </c>
      <c r="C13" s="16" t="n">
        <f aca="false">COUNTIF(DATA!C:C,"EQUIPO 20")</f>
        <v>88</v>
      </c>
      <c r="D13" s="17" t="n">
        <f aca="false">COUNTIFS(DATA!C:C,"EQUIPO 20",DATA!G:G,"CONFIRMADO")</f>
        <v>0</v>
      </c>
      <c r="E13" s="16" t="n">
        <f aca="false">COUNTIFS(DATA!C:C,"EQUIPO 20",DATA!G:G,"EN PROCESO")</f>
        <v>0</v>
      </c>
      <c r="F13" s="18" t="n">
        <f aca="false">COUNTIFS(DATA!C:C,"EQUIPO 20",DATA!G:G,"PENDIENTE")</f>
        <v>88</v>
      </c>
      <c r="G13" s="19" t="n">
        <f aca="false">IFERROR(D13/C13,0)</f>
        <v>0</v>
      </c>
    </row>
    <row r="14" customFormat="false" ht="13.5" hidden="false" customHeight="true" outlineLevel="0" collapsed="false">
      <c r="A14" s="15" t="s">
        <v>14</v>
      </c>
      <c r="B14" s="16" t="n">
        <f aca="false">COUNTIF(DATA!C:C,"EQUIPO 21")</f>
        <v>96</v>
      </c>
      <c r="C14" s="16" t="n">
        <f aca="false">COUNTIF(DATA!C:C,"EQUIPO 21")</f>
        <v>96</v>
      </c>
      <c r="D14" s="17" t="n">
        <f aca="false">COUNTIFS(DATA!C:C,"EQUIPO 21",DATA!G:G,"CONFIRMADO")</f>
        <v>0</v>
      </c>
      <c r="E14" s="16" t="n">
        <f aca="false">COUNTIFS(DATA!C:C,"EQUIPO 21",DATA!G:G,"EN PROCESO")</f>
        <v>0</v>
      </c>
      <c r="F14" s="18" t="n">
        <f aca="false">COUNTIFS(DATA!C:C,"EQUIPO 21",DATA!G:G,"PENDIENTE")</f>
        <v>96</v>
      </c>
      <c r="G14" s="19" t="n">
        <f aca="false">IFERROR(D14/C14,0)</f>
        <v>0</v>
      </c>
    </row>
    <row r="15" customFormat="false" ht="13.5" hidden="false" customHeight="true" outlineLevel="0" collapsed="false">
      <c r="A15" s="15" t="s">
        <v>21</v>
      </c>
      <c r="B15" s="16" t="n">
        <f aca="false">COUNTIF(DATA!C:C,"EQUIPO 22")</f>
        <v>86</v>
      </c>
      <c r="C15" s="16" t="n">
        <f aca="false">COUNTIF(DATA!C:C,"EQUIPO 22")</f>
        <v>86</v>
      </c>
      <c r="D15" s="17" t="n">
        <f aca="false">COUNTIFS(DATA!C:C,"EQUIPO 22",DATA!G:G,"CONFIRMADO")</f>
        <v>0</v>
      </c>
      <c r="E15" s="16" t="n">
        <f aca="false">COUNTIFS(DATA!C:C,"EQUIPO 22",DATA!G:G,"EN PROCESO")</f>
        <v>0</v>
      </c>
      <c r="F15" s="18" t="n">
        <f aca="false">COUNTIFS(DATA!C:C,"EQUIPO 22",DATA!G:G,"PENDIENTE")</f>
        <v>86</v>
      </c>
      <c r="G15" s="19" t="n">
        <f aca="false">IFERROR(D15/C15,0)</f>
        <v>0</v>
      </c>
    </row>
    <row r="16" customFormat="false" ht="13.5" hidden="false" customHeight="true" outlineLevel="0" collapsed="false">
      <c r="A16" s="15" t="s">
        <v>27</v>
      </c>
      <c r="B16" s="16" t="n">
        <f aca="false">COUNTIF(DATA!C:C,"EQUIPO 23")</f>
        <v>111</v>
      </c>
      <c r="C16" s="16" t="n">
        <f aca="false">COUNTIF(DATA!C:C,"EQUIPO 23")</f>
        <v>111</v>
      </c>
      <c r="D16" s="17" t="n">
        <f aca="false">COUNTIFS(DATA!C:C,"EQUIPO 23",DATA!G:G,"CONFIRMADO")</f>
        <v>0</v>
      </c>
      <c r="E16" s="16" t="n">
        <f aca="false">COUNTIFS(DATA!C:C,"EQUIPO 23",DATA!G:G,"EN PROCESO")</f>
        <v>0</v>
      </c>
      <c r="F16" s="18" t="n">
        <f aca="false">COUNTIFS(DATA!C:C,"EQUIPO 23",DATA!G:G,"PENDIENTE")</f>
        <v>111</v>
      </c>
      <c r="G16" s="19" t="n">
        <f aca="false">IFERROR(D16/C16,0)</f>
        <v>0</v>
      </c>
    </row>
    <row r="17" customFormat="false" ht="13.5" hidden="false" customHeight="true" outlineLevel="0" collapsed="false">
      <c r="A17" s="15" t="s">
        <v>37</v>
      </c>
      <c r="B17" s="16" t="n">
        <f aca="false">COUNTIF(DATA!C:C,"EQUIPO 24")</f>
        <v>102</v>
      </c>
      <c r="C17" s="16" t="n">
        <f aca="false">COUNTIF(DATA!C:C,"EQUIPO 24")</f>
        <v>102</v>
      </c>
      <c r="D17" s="17" t="n">
        <f aca="false">COUNTIFS(DATA!C:C,"EQUIPO 24",DATA!G:G,"CONFIRMADO")</f>
        <v>0</v>
      </c>
      <c r="E17" s="16" t="n">
        <f aca="false">COUNTIFS(DATA!C:C,"EQUIPO 24",DATA!G:G,"EN PROCESO")</f>
        <v>0</v>
      </c>
      <c r="F17" s="18" t="n">
        <f aca="false">COUNTIFS(DATA!C:C,"EQUIPO 24",DATA!G:G,"PENDIENTE")</f>
        <v>102</v>
      </c>
      <c r="G17" s="19" t="n">
        <f aca="false">IFERROR(D17/C17,0)</f>
        <v>0</v>
      </c>
    </row>
    <row r="18" customFormat="false" ht="13.5" hidden="false" customHeight="true" outlineLevel="0" collapsed="false">
      <c r="A18" s="15" t="s">
        <v>568</v>
      </c>
      <c r="B18" s="16" t="n">
        <f aca="false">COUNTIF(DATA!C:C,"EQUIPO 25")</f>
        <v>13</v>
      </c>
      <c r="C18" s="16" t="n">
        <f aca="false">COUNTIF(DATA!C:C,"EQUIPO 25")</f>
        <v>13</v>
      </c>
      <c r="D18" s="17" t="n">
        <f aca="false">COUNTIFS(DATA!C:C,"EQUIPO 25",DATA!G:G,"CONFIRMADO")</f>
        <v>0</v>
      </c>
      <c r="E18" s="16" t="n">
        <f aca="false">COUNTIFS(DATA!C:C,"EQUIPO 25",DATA!G:G,"EN PROCESO")</f>
        <v>0</v>
      </c>
      <c r="F18" s="18" t="n">
        <f aca="false">COUNTIFS(DATA!C:C,"EQUIPO 25",DATA!G:G,"PENDIENTE")</f>
        <v>13</v>
      </c>
      <c r="G18" s="19" t="n">
        <f aca="false">IFERROR(D18/C18,0)</f>
        <v>0</v>
      </c>
    </row>
    <row r="19" customFormat="false" ht="15" hidden="false" customHeight="true" outlineLevel="0" collapsed="false">
      <c r="A19" s="20" t="s">
        <v>1571</v>
      </c>
      <c r="B19" s="20" t="n">
        <f aca="false">COUNTA(MENSAJES_IMO!B5:B9999)</f>
        <v>282</v>
      </c>
      <c r="C19" s="20" t="n">
        <f aca="false">COUNTA(DATA!E2:E9999)</f>
        <v>746</v>
      </c>
      <c r="D19" s="20" t="n">
        <f aca="false">COUNTIF(DATA!G:G,"CONFIRMADO")</f>
        <v>0</v>
      </c>
      <c r="E19" s="20" t="n">
        <f aca="false">COUNTIF(DATA!G:G,"EN PROCESO")</f>
        <v>0</v>
      </c>
      <c r="F19" s="20" t="n">
        <f aca="false">COUNTIF(DATA!G:G,"PENDIENTE")</f>
        <v>746</v>
      </c>
      <c r="G19" s="21" t="n">
        <f aca="false">IFERROR(COUNTIF(DATA!G:G,"CONFIRMADO")/COUNTA(DATA!E2:E9999),0)</f>
        <v>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2026-04-01T15:19:38Z</dcterms:created>
  <dc:creator>openpyxl</dc:creator>
  <dc:description/>
  <dc:language>en-US</dc:language>
  <cp:lastModifiedBy/>
  <dcterms:modified xsi:type="dcterms:W3CDTF">2026-04-01T15:20:53Z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