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tables/table2.xml" ContentType="application/vnd.openxmlformats-officedocument.spreadsheetml.table+xml"/>
  <Override PartName="/xl/namedSheetViews/namedSheetView2.xml" ContentType="application/vnd.ms-excel.namedsheetview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rearpslecu-my.sharepoint.com/personal/jose_sanchez_crearpsl_com/Documents/CREAR LIMA/"/>
    </mc:Choice>
  </mc:AlternateContent>
  <xr:revisionPtr revIDLastSave="23182" documentId="8_{F349C200-B83A-4507-BB2A-96D95A653780}" xr6:coauthVersionLast="47" xr6:coauthVersionMax="47" xr10:uidLastSave="{7FD67DDA-FA4C-40DD-8D96-C21428ACF466}"/>
  <bookViews>
    <workbookView xWindow="-108" yWindow="-108" windowWidth="23256" windowHeight="12456" tabRatio="754" firstSheet="1" activeTab="1" xr2:uid="{B9F7B7E0-89D7-414E-86F2-8E2BA0CBD8A7}"/>
  </bookViews>
  <sheets>
    <sheet name="ALIADOS C1 E25" sheetId="33" state="hidden" r:id="rId1"/>
    <sheet name="GRADUADOS " sheetId="1" r:id="rId2"/>
    <sheet name="ALIADOS C1E27" sheetId="39" r:id="rId3"/>
    <sheet name="ALIADOS C2E26" sheetId="38" state="hidden" r:id="rId4"/>
    <sheet name="ALIADOS C2 E25" sheetId="32" state="hidden" r:id="rId5"/>
    <sheet name="ALIADOS C1 E21" sheetId="17" state="hidden" r:id="rId6"/>
    <sheet name="ALIADOS C1 E24" sheetId="24" state="hidden" r:id="rId7"/>
    <sheet name="ALIADOS C1 E23" sheetId="22" state="hidden" r:id="rId8"/>
    <sheet name="ALIADOS C1 E20" sheetId="15" state="hidden" r:id="rId9"/>
    <sheet name="ALIADOS C1 E19" sheetId="13" state="hidden" r:id="rId10"/>
    <sheet name="APOYOS C2 E17" sheetId="2" state="hidden" r:id="rId11"/>
    <sheet name="ALIADOS C1 E18" sheetId="7" state="hidden" r:id="rId12"/>
    <sheet name="ALIADOS C1 E22" sheetId="20" state="hidden" r:id="rId13"/>
    <sheet name="ALIADOS C1 E26" sheetId="27" state="hidden" r:id="rId14"/>
    <sheet name="SOMBRAS C1E26CREADOR CUANTICO " sheetId="36" state="hidden" r:id="rId15"/>
    <sheet name="APOYOS CAP 1 E25 (2)" sheetId="37" state="hidden" r:id="rId16"/>
    <sheet name="APOYOS CAP 1 E27" sheetId="41" r:id="rId17"/>
    <sheet name="APOYOS CAP 1 E26" sheetId="29" state="hidden" r:id="rId18"/>
    <sheet name="APOYOS CAP 1 E24" sheetId="12" state="hidden" r:id="rId19"/>
    <sheet name="APOYOs CAP 2 E26" sheetId="40" state="hidden" r:id="rId20"/>
    <sheet name="APOYOs CAP 2 E25" sheetId="30" state="hidden" r:id="rId21"/>
    <sheet name="APOYOs CAP 2 E24" sheetId="25" state="hidden" r:id="rId22"/>
    <sheet name="APOYO CAP 2 EQUIPO 22" sheetId="18" state="hidden" r:id="rId23"/>
    <sheet name="APOYOS MJ E 14 - 15- 16" sheetId="4" state="hidden" r:id="rId24"/>
    <sheet name="MANAGERS E17" sheetId="9" state="hidden" r:id="rId25"/>
    <sheet name="ALIADOS C1 E17" sheetId="3" state="hidden" r:id="rId26"/>
    <sheet name="SOMBRAS Y QT E18 C1" sheetId="11" state="hidden" r:id="rId27"/>
    <sheet name="APOYOS C1 E17" sheetId="6" state="hidden" r:id="rId28"/>
    <sheet name="APOYO CAMINATA " sheetId="16" state="hidden" r:id="rId29"/>
    <sheet name="APOYOS C2 E16" sheetId="8" state="hidden" r:id="rId30"/>
    <sheet name="APOYO MJ E26-25-24" sheetId="35" r:id="rId31"/>
    <sheet name="APOYO MJ E24-23-22" sheetId="28" state="hidden" r:id="rId32"/>
    <sheet name="APOYO MJ E 21-22-23" sheetId="26" state="hidden" r:id="rId33"/>
    <sheet name="APOYO MJ E 22-21-20" sheetId="19" state="hidden" r:id="rId34"/>
    <sheet name="APOYO CAMINATA SOBRE FUEGO" sheetId="23" state="hidden" r:id="rId35"/>
    <sheet name="APOYO CAMINATA FUEGO  MARZO" sheetId="34" state="hidden" r:id="rId36"/>
    <sheet name="NOCHE DE CONFIANZA" sheetId="5" r:id="rId37"/>
    <sheet name="Hoja1" sheetId="21" state="hidden" r:id="rId38"/>
  </sheets>
  <definedNames>
    <definedName name="_xlnm._FilterDatabase" localSheetId="25" hidden="1">'ALIADOS C1 E17'!$A$2:$G$67</definedName>
    <definedName name="_xlnm._FilterDatabase" localSheetId="11" hidden="1">'ALIADOS C1 E18'!$A$2:$G$68</definedName>
    <definedName name="_xlnm._FilterDatabase" localSheetId="9" hidden="1">'ALIADOS C1 E19'!$A$2:$G$72</definedName>
    <definedName name="_xlnm._FilterDatabase" localSheetId="8" hidden="1">'ALIADOS C1 E20'!$A$2:$G$91</definedName>
    <definedName name="_xlnm._FilterDatabase" localSheetId="5" hidden="1">'ALIADOS C1 E21'!$A$2:$G$108</definedName>
    <definedName name="_xlnm._FilterDatabase" localSheetId="12" hidden="1">'ALIADOS C1 E22'!$A$2:$G$118</definedName>
    <definedName name="_xlnm._FilterDatabase" localSheetId="7" hidden="1">'ALIADOS C1 E23'!$A$2:$G$111</definedName>
    <definedName name="_xlnm._FilterDatabase" localSheetId="6" hidden="1">'ALIADOS C1 E24'!$A$2:$H$123</definedName>
    <definedName name="_xlnm._FilterDatabase" localSheetId="0" hidden="1">'ALIADOS C1 E25'!$A$2:$H$139</definedName>
    <definedName name="_xlnm._FilterDatabase" localSheetId="13" hidden="1">'ALIADOS C1 E26'!$A$2:$K$144</definedName>
    <definedName name="_xlnm._FilterDatabase" localSheetId="2" hidden="1">'ALIADOS C1E27'!$A$2:$J$148</definedName>
    <definedName name="_xlnm._FilterDatabase" localSheetId="4" hidden="1">'ALIADOS C2 E25'!$A$2:$H$40</definedName>
    <definedName name="_xlnm._FilterDatabase" localSheetId="3" hidden="1">'ALIADOS C2E26'!$A$2:$H$18</definedName>
    <definedName name="_xlnm._FilterDatabase" localSheetId="35" hidden="1">'APOYO CAMINATA FUEGO  MARZO'!$A$3:$E$3</definedName>
    <definedName name="_xlnm._FilterDatabase" localSheetId="34" hidden="1">'APOYO CAMINATA SOBRE FUEGO'!$A$3:$H$58</definedName>
    <definedName name="_xlnm._FilterDatabase" localSheetId="22" hidden="1">'APOYO CAP 2 EQUIPO 22'!$A$3:$J$122</definedName>
    <definedName name="_xlnm._FilterDatabase" localSheetId="32" hidden="1">'APOYO MJ E 21-22-23'!$A$3:$L$84</definedName>
    <definedName name="_xlnm._FilterDatabase" localSheetId="33" hidden="1">'APOYO MJ E 22-21-20'!$A$3:$L$69</definedName>
    <definedName name="_xlnm._FilterDatabase" localSheetId="31" hidden="1">'APOYO MJ E24-23-22'!$A$3:$L$109</definedName>
    <definedName name="_xlnm._FilterDatabase" localSheetId="30" hidden="1">'APOYO MJ E26-25-24'!$A$3:$N$3</definedName>
    <definedName name="_xlnm._FilterDatabase" localSheetId="27" hidden="1">'APOYOS C1 E17'!$A$1:$E$34</definedName>
    <definedName name="_xlnm._FilterDatabase" localSheetId="29" hidden="1">'APOYOS C2 E16'!$A$1:$E$48</definedName>
    <definedName name="_xlnm._FilterDatabase" localSheetId="10" hidden="1">'APOYOS C2 E17'!$A$1:$E$47</definedName>
    <definedName name="_xlnm._FilterDatabase" localSheetId="18" hidden="1">'APOYOS CAP 1 E24'!$B$2:$I$140</definedName>
    <definedName name="_xlnm._FilterDatabase" localSheetId="15" hidden="1">'APOYOS CAP 1 E25 (2)'!$A$2:$I$136</definedName>
    <definedName name="_xlnm._FilterDatabase" localSheetId="17" hidden="1">'APOYOS CAP 1 E26'!$A$2:$Q$165</definedName>
    <definedName name="_xlnm._FilterDatabase" localSheetId="16" hidden="1">'APOYOS CAP 1 E27'!$A$2:$Q$165</definedName>
    <definedName name="_xlnm._FilterDatabase" localSheetId="21" hidden="1">'APOYOs CAP 2 E24'!$A$3:$J$111</definedName>
    <definedName name="_xlnm._FilterDatabase" localSheetId="20" hidden="1">'APOYOs CAP 2 E25'!$A$3:$J$120</definedName>
    <definedName name="_xlnm._FilterDatabase" localSheetId="19" hidden="1">'APOYOs CAP 2 E26'!$A$3:$N$3</definedName>
    <definedName name="_xlnm._FilterDatabase" localSheetId="23" hidden="1">'APOYOS MJ E 14 - 15- 16'!$B$2:$I$64</definedName>
    <definedName name="_xlnm._FilterDatabase" localSheetId="1" hidden="1">'GRADUADOS '!$A$1:$Z$295</definedName>
    <definedName name="_xlnm._FilterDatabase" localSheetId="24" hidden="1">'MANAGERS E17'!$A$2:$G$18</definedName>
    <definedName name="_xlnm._FilterDatabase" localSheetId="36" hidden="1">'NOCHE DE CONFIANZA'!$B$2:$E$2</definedName>
    <definedName name="_xlnm._FilterDatabase" localSheetId="14" hidden="1">'SOMBRAS C1E26CREADOR CUANTICO '!$A$1:$B$1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70" i="41" l="1"/>
  <c r="H170" i="41"/>
  <c r="G170" i="41"/>
  <c r="F170" i="41"/>
  <c r="E170" i="41"/>
  <c r="I165" i="41"/>
  <c r="H165" i="41"/>
  <c r="G165" i="41"/>
  <c r="F165" i="41"/>
  <c r="E165" i="41"/>
  <c r="D159" i="41"/>
  <c r="D146" i="41"/>
  <c r="D145" i="41"/>
  <c r="D140" i="41"/>
  <c r="D124" i="41"/>
  <c r="D123" i="41"/>
  <c r="D118" i="41"/>
  <c r="D110" i="41"/>
  <c r="J101" i="41"/>
  <c r="D85" i="41"/>
  <c r="D84" i="41"/>
  <c r="D79" i="41"/>
  <c r="D75" i="41"/>
  <c r="D64" i="41"/>
  <c r="D48" i="41"/>
  <c r="D45" i="41"/>
  <c r="D42" i="41"/>
  <c r="D21" i="41"/>
  <c r="D13" i="41"/>
  <c r="D149" i="39"/>
  <c r="G152" i="35"/>
  <c r="E152" i="35"/>
  <c r="F152" i="35"/>
  <c r="H152" i="35"/>
  <c r="D152" i="35"/>
  <c r="F127" i="40"/>
  <c r="N31" i="35"/>
  <c r="E127" i="40"/>
  <c r="D127" i="40"/>
  <c r="N5" i="40"/>
  <c r="C28" i="38"/>
  <c r="J101" i="29"/>
  <c r="I165" i="29"/>
  <c r="H165" i="29"/>
  <c r="E165" i="29"/>
  <c r="E170" i="29"/>
  <c r="F170" i="29"/>
  <c r="G170" i="29"/>
  <c r="H170" i="29"/>
  <c r="I170" i="29"/>
  <c r="I141" i="37"/>
  <c r="H141" i="37"/>
  <c r="G141" i="37"/>
  <c r="F141" i="37"/>
  <c r="E141" i="37"/>
  <c r="I136" i="37"/>
  <c r="H136" i="37"/>
  <c r="G136" i="37"/>
  <c r="F136" i="37"/>
  <c r="E136" i="37"/>
  <c r="D33" i="37"/>
  <c r="D31" i="37"/>
  <c r="D30" i="37"/>
  <c r="D29" i="37"/>
  <c r="D25" i="37"/>
  <c r="D24" i="37"/>
  <c r="D22" i="37"/>
  <c r="D21" i="37"/>
  <c r="D20" i="37"/>
  <c r="D19" i="37"/>
  <c r="D18" i="37"/>
  <c r="D17" i="37"/>
  <c r="D16" i="37"/>
  <c r="D15" i="37"/>
  <c r="D14" i="37"/>
  <c r="D12" i="37"/>
  <c r="D10" i="37"/>
  <c r="D9" i="37"/>
  <c r="D5" i="37"/>
  <c r="G9" i="36"/>
  <c r="E155" i="27"/>
  <c r="K15" i="27"/>
  <c r="I152" i="35"/>
  <c r="I153" i="35"/>
  <c r="M95" i="35"/>
  <c r="D126" i="34"/>
  <c r="G124" i="30"/>
  <c r="E150" i="33"/>
  <c r="E149" i="33"/>
  <c r="D149" i="33"/>
  <c r="C149" i="33"/>
  <c r="D145" i="33"/>
  <c r="J143" i="33"/>
  <c r="D141" i="33"/>
  <c r="I86" i="33"/>
  <c r="J26" i="33"/>
  <c r="E126" i="30"/>
  <c r="F126" i="30"/>
  <c r="D126" i="30"/>
  <c r="E51" i="32"/>
  <c r="E50" i="32"/>
  <c r="D50" i="32"/>
  <c r="C50" i="32"/>
  <c r="D46" i="32"/>
  <c r="J44" i="32"/>
  <c r="D42" i="32"/>
  <c r="I16" i="32"/>
  <c r="F138" i="30"/>
  <c r="F133" i="30"/>
  <c r="E133" i="30"/>
  <c r="D133" i="30"/>
  <c r="N5" i="30"/>
  <c r="F165" i="29"/>
  <c r="G165" i="29"/>
  <c r="D159" i="29"/>
  <c r="D42" i="29"/>
  <c r="D85" i="29"/>
  <c r="D21" i="29"/>
  <c r="D110" i="29"/>
  <c r="D75" i="29"/>
  <c r="D140" i="29"/>
  <c r="D79" i="29"/>
  <c r="D118" i="29"/>
  <c r="D145" i="29"/>
  <c r="D64" i="29"/>
  <c r="D13" i="29"/>
  <c r="D123" i="29"/>
  <c r="D124" i="29"/>
  <c r="D84" i="29"/>
  <c r="D45" i="29"/>
  <c r="D146" i="29"/>
  <c r="D48" i="29"/>
  <c r="M96" i="28"/>
  <c r="I113" i="28"/>
  <c r="H112" i="28"/>
  <c r="H119" i="28"/>
  <c r="G112" i="28"/>
  <c r="G119" i="28"/>
  <c r="F112" i="28"/>
  <c r="F119" i="28"/>
  <c r="E112" i="28"/>
  <c r="E119" i="28"/>
  <c r="D112" i="28"/>
  <c r="D119" i="28"/>
  <c r="N6" i="25"/>
  <c r="F126" i="25"/>
  <c r="F140" i="12"/>
  <c r="I145" i="12"/>
  <c r="H145" i="12"/>
  <c r="G145" i="12"/>
  <c r="F145" i="12"/>
  <c r="E145" i="12"/>
  <c r="G140" i="12"/>
  <c r="H140" i="12"/>
  <c r="I140" i="12"/>
  <c r="E140" i="12"/>
  <c r="D89" i="26"/>
  <c r="E89" i="26"/>
  <c r="F89" i="26"/>
  <c r="F96" i="26"/>
  <c r="G89" i="26"/>
  <c r="G96" i="26"/>
  <c r="H89" i="26"/>
  <c r="H96" i="26"/>
  <c r="E96" i="26"/>
  <c r="D96" i="26"/>
  <c r="D114" i="25"/>
  <c r="F114" i="25"/>
  <c r="F121" i="25"/>
  <c r="E114" i="25"/>
  <c r="E121" i="25"/>
  <c r="D121" i="25"/>
  <c r="D132" i="24"/>
  <c r="D8" i="12"/>
  <c r="D37" i="12"/>
  <c r="D39" i="12"/>
  <c r="D22" i="12"/>
  <c r="D30" i="12"/>
  <c r="D34" i="12"/>
  <c r="D27" i="12"/>
  <c r="D51" i="12"/>
  <c r="D42" i="12"/>
  <c r="D52" i="12"/>
  <c r="D24" i="12"/>
  <c r="D40" i="12"/>
  <c r="D19" i="12"/>
  <c r="D15" i="12"/>
  <c r="D31" i="12"/>
  <c r="D35" i="12"/>
  <c r="D28" i="12"/>
  <c r="D32" i="12"/>
  <c r="D11" i="12"/>
  <c r="D43" i="12"/>
  <c r="D13" i="12"/>
  <c r="D36" i="12"/>
  <c r="D14" i="12"/>
  <c r="D26" i="12"/>
  <c r="D49" i="12"/>
  <c r="D23" i="12"/>
  <c r="D17" i="12"/>
  <c r="D29" i="12"/>
  <c r="D20" i="12"/>
  <c r="D16" i="12"/>
  <c r="D12" i="12"/>
  <c r="D47" i="12"/>
  <c r="D18" i="12"/>
  <c r="D41" i="12"/>
  <c r="D33" i="12"/>
  <c r="D44" i="12"/>
  <c r="D48" i="12"/>
  <c r="D25" i="12"/>
  <c r="D21" i="12"/>
  <c r="D50" i="12"/>
  <c r="D9" i="12"/>
  <c r="D6" i="12"/>
  <c r="D46" i="12"/>
  <c r="D3" i="12"/>
  <c r="D62" i="12"/>
  <c r="D55" i="12"/>
  <c r="D59" i="12"/>
  <c r="D63" i="12"/>
  <c r="D56" i="12"/>
  <c r="D60" i="12"/>
  <c r="D57" i="12"/>
  <c r="D61" i="12"/>
  <c r="D65" i="12"/>
  <c r="D58" i="12"/>
  <c r="D45" i="12"/>
  <c r="D116" i="22"/>
  <c r="D77" i="19"/>
  <c r="D60" i="23"/>
  <c r="E77" i="19"/>
  <c r="F77" i="19"/>
  <c r="G77" i="19"/>
  <c r="H77" i="19"/>
  <c r="E125" i="18"/>
  <c r="D125" i="18"/>
  <c r="F125" i="18"/>
  <c r="D121" i="20"/>
  <c r="E84" i="19"/>
  <c r="H84" i="19"/>
  <c r="D84" i="19"/>
  <c r="D132" i="18"/>
  <c r="E132" i="18"/>
  <c r="F132" i="18"/>
  <c r="D115" i="17"/>
  <c r="D98" i="15"/>
  <c r="D104" i="15"/>
  <c r="D77" i="13"/>
  <c r="H19" i="7"/>
  <c r="G13" i="7"/>
  <c r="G6" i="7"/>
  <c r="G4" i="7"/>
  <c r="G9" i="7"/>
  <c r="G14" i="7"/>
  <c r="G7" i="7"/>
  <c r="G10" i="7"/>
  <c r="G11" i="7"/>
  <c r="G16" i="7"/>
  <c r="G15" i="7"/>
  <c r="G3" i="7"/>
  <c r="G12" i="7"/>
  <c r="G5" i="7"/>
  <c r="G17" i="7"/>
  <c r="G8" i="7"/>
  <c r="H21" i="7"/>
  <c r="D70" i="7"/>
  <c r="C19" i="9"/>
  <c r="D20" i="9"/>
  <c r="E25" i="9"/>
  <c r="D54" i="2"/>
  <c r="C54" i="2"/>
  <c r="D50" i="8"/>
  <c r="C50" i="8"/>
  <c r="H15" i="7"/>
  <c r="H5" i="7"/>
  <c r="H13" i="7"/>
  <c r="H11" i="7"/>
  <c r="H9" i="7"/>
  <c r="H7" i="7"/>
  <c r="H3" i="7"/>
  <c r="D34" i="6"/>
  <c r="D69" i="3"/>
  <c r="E74" i="3"/>
  <c r="F64" i="4"/>
  <c r="G64" i="4"/>
  <c r="H64" i="4"/>
  <c r="I64" i="4"/>
  <c r="E64" i="4"/>
  <c r="I11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tc={3194B676-39DE-4D04-8FDD-59E26AC4B069}</author>
  </authors>
  <commentList>
    <comment ref="H37" authorId="0" shapeId="0" xr:uid="{3194B676-39DE-4D04-8FDD-59E26AC4B069}">
      <text>
        <t>[Comentario encadenado]
Tu versión de Excel te permite leer este comentario encadenado; sin embargo, las ediciones que se apliquen se quitarán si el archivo se abre en una versión más reciente de Excel. Más información: https://go.microsoft.com/fwlink/?linkid=870924
Comentario:
    @Crearpsl - Kriscia Rodas @Crearpsl - Pamela Carrillo @Crearpsl - Emely Leon  algún graduado que ustedes vean como no opción para ser aliado, yo puse a diego Arévalo y a Teófila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Crearpsl - Diana Moscoso</author>
  </authors>
  <commentList>
    <comment ref="E2" authorId="0" shapeId="0" xr:uid="{5A203D40-B0FF-4660-858C-42EC38C3FFE3}">
      <text>
        <r>
          <rPr>
            <sz val="11"/>
            <color theme="1"/>
            <rFont val="Aptos Narrow"/>
            <family val="2"/>
            <scheme val="minor"/>
          </rPr>
          <t xml:space="preserve">Crearpsl - Diana Moscoso:
-Coordinar con Linid de invitar a los equipos en juego.
-Graduados.
</t>
        </r>
      </text>
    </comment>
    <comment ref="F2" authorId="0" shapeId="0" xr:uid="{65147AF1-623D-4E24-B0A1-06B4235EA108}">
      <text>
        <r>
          <rPr>
            <sz val="11"/>
            <color theme="1"/>
            <rFont val="Aptos Narrow"/>
            <family val="2"/>
            <scheme val="minor"/>
          </rPr>
          <t>Crearpsl - Diana Moscoso:
Invitar sólo a Graduaados para entregar tickets.</t>
        </r>
      </text>
    </comment>
    <comment ref="G2" authorId="0" shapeId="0" xr:uid="{BC836B00-1170-45CC-A03A-15E6AE4D87A3}">
      <text>
        <r>
          <rPr>
            <sz val="11"/>
            <color theme="1"/>
            <rFont val="Aptos Narrow"/>
            <family val="2"/>
            <scheme val="minor"/>
          </rPr>
          <t>Crearpsl - Diana Moscoso:
Invitar sólo a Graduaados</t>
        </r>
      </text>
    </comment>
    <comment ref="H2" authorId="0" shapeId="0" xr:uid="{85430A64-D57D-46C0-BF01-7DAD7AC5A8CE}">
      <text>
        <r>
          <rPr>
            <sz val="11"/>
            <color theme="1"/>
            <rFont val="Aptos Narrow"/>
            <family val="2"/>
            <scheme val="minor"/>
          </rPr>
          <t>Crearpsl - Diana Moscoso:
Invitar sólo a Graduados</t>
        </r>
      </text>
    </comment>
    <comment ref="I2" authorId="0" shapeId="0" xr:uid="{D192D25F-0226-4C16-A797-259898A7886C}">
      <text>
        <r>
          <rPr>
            <sz val="11"/>
            <color theme="1"/>
            <rFont val="Aptos Narrow"/>
            <family val="2"/>
            <scheme val="minor"/>
          </rPr>
          <t>Crearpsl - Diana Moscoso:
Invitar sólo a Graduados</t>
        </r>
      </text>
    </comment>
    <comment ref="E142" authorId="0" shapeId="0" xr:uid="{E4F945FC-7A54-4D70-B271-23F95A74257C}">
      <text>
        <r>
          <rPr>
            <sz val="11"/>
            <color theme="1"/>
            <rFont val="Aptos Narrow"/>
            <family val="2"/>
            <scheme val="minor"/>
          </rPr>
          <t xml:space="preserve">Crearpsl - Diana Moscoso:
-Coordinar con Linid de invitar a los equipos en juego.
-Graduados.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Crearpsl - Diana Moscoso</author>
  </authors>
  <commentList>
    <comment ref="E2" authorId="0" shapeId="0" xr:uid="{D36C8255-DECC-4507-B61A-C9693E3B1898}">
      <text>
        <r>
          <rPr>
            <sz val="11"/>
            <color theme="1"/>
            <rFont val="Aptos Narrow"/>
            <family val="2"/>
            <scheme val="minor"/>
          </rPr>
          <t xml:space="preserve">Crearpsl - Diana Moscoso:
-Coordinar con Linid de invitar a los equipos en juego.
-Graduados.
</t>
        </r>
      </text>
    </comment>
    <comment ref="F2" authorId="0" shapeId="0" xr:uid="{90C04646-C981-469F-BC6C-22A2A80CC887}">
      <text>
        <r>
          <rPr>
            <sz val="11"/>
            <color theme="1"/>
            <rFont val="Aptos Narrow"/>
            <family val="2"/>
            <scheme val="minor"/>
          </rPr>
          <t>Crearpsl - Diana Moscoso:
Invitar sólo a Graduaados para entregar tickets.</t>
        </r>
      </text>
    </comment>
    <comment ref="G2" authorId="0" shapeId="0" xr:uid="{F828D95D-79A0-4008-8BAD-89D066E4D506}">
      <text>
        <r>
          <rPr>
            <sz val="11"/>
            <color theme="1"/>
            <rFont val="Aptos Narrow"/>
            <family val="2"/>
            <scheme val="minor"/>
          </rPr>
          <t>Crearpsl - Diana Moscoso:
Invitar sólo a Graduaados</t>
        </r>
      </text>
    </comment>
    <comment ref="H2" authorId="0" shapeId="0" xr:uid="{13D01A00-C1B1-4EE7-9D28-81CA329527AA}">
      <text>
        <r>
          <rPr>
            <sz val="11"/>
            <color theme="1"/>
            <rFont val="Aptos Narrow"/>
            <family val="2"/>
            <scheme val="minor"/>
          </rPr>
          <t>Crearpsl - Diana Moscoso:
Invitar sólo a Graduados</t>
        </r>
      </text>
    </comment>
    <comment ref="I2" authorId="0" shapeId="0" xr:uid="{EF9A30AE-C596-4AF2-AFF5-9E9F8D9DD8B2}">
      <text>
        <r>
          <rPr>
            <sz val="11"/>
            <color theme="1"/>
            <rFont val="Aptos Narrow"/>
            <family val="2"/>
            <scheme val="minor"/>
          </rPr>
          <t>Crearpsl - Diana Moscoso:
Invitar sólo a Graduados</t>
        </r>
      </text>
    </comment>
    <comment ref="E171" authorId="0" shapeId="0" xr:uid="{F70E68CB-3F9B-4068-9964-5EE72BEFFD29}">
      <text>
        <r>
          <rPr>
            <sz val="11"/>
            <color theme="1"/>
            <rFont val="Aptos Narrow"/>
            <family val="2"/>
            <scheme val="minor"/>
          </rPr>
          <t xml:space="preserve">Crearpsl - Diana Moscoso:
-Coordinar con Linid de invitar a los equipos en juego.
-Graduados.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Crearpsl - Diana Moscoso</author>
  </authors>
  <commentList>
    <comment ref="E2" authorId="0" shapeId="0" xr:uid="{657B6E5C-0B2B-4773-9483-6BBA8A2254F5}">
      <text>
        <r>
          <rPr>
            <sz val="11"/>
            <color theme="1"/>
            <rFont val="Aptos Narrow"/>
            <family val="2"/>
            <scheme val="minor"/>
          </rPr>
          <t xml:space="preserve">Crearpsl - Diana Moscoso:
-Coordinar con Linid de invitar a los equipos en juego.
-Graduados.
</t>
        </r>
      </text>
    </comment>
    <comment ref="F2" authorId="0" shapeId="0" xr:uid="{0E0800AA-139F-45E6-B0E6-193292FDA09D}">
      <text>
        <r>
          <rPr>
            <sz val="11"/>
            <color theme="1"/>
            <rFont val="Aptos Narrow"/>
            <family val="2"/>
            <scheme val="minor"/>
          </rPr>
          <t>Crearpsl - Diana Moscoso:
Invitar sólo a Graduaados para entregar tickets.</t>
        </r>
      </text>
    </comment>
    <comment ref="G2" authorId="0" shapeId="0" xr:uid="{BCF983D1-BE07-4944-A857-B2A06BF4D6A5}">
      <text>
        <r>
          <rPr>
            <sz val="11"/>
            <color theme="1"/>
            <rFont val="Aptos Narrow"/>
            <family val="2"/>
            <scheme val="minor"/>
          </rPr>
          <t>Crearpsl - Diana Moscoso:
Invitar sólo a Graduaados</t>
        </r>
      </text>
    </comment>
    <comment ref="H2" authorId="0" shapeId="0" xr:uid="{85C72787-4173-40C9-8A00-28E9E9134386}">
      <text>
        <r>
          <rPr>
            <sz val="11"/>
            <color theme="1"/>
            <rFont val="Aptos Narrow"/>
            <family val="2"/>
            <scheme val="minor"/>
          </rPr>
          <t>Crearpsl - Diana Moscoso:
Invitar sólo a Graduados</t>
        </r>
      </text>
    </comment>
    <comment ref="I2" authorId="0" shapeId="0" xr:uid="{BDAD25DC-37EC-4CB8-A5B6-C9DABE9469C1}">
      <text>
        <r>
          <rPr>
            <sz val="11"/>
            <color theme="1"/>
            <rFont val="Aptos Narrow"/>
            <family val="2"/>
            <scheme val="minor"/>
          </rPr>
          <t>Crearpsl - Diana Moscoso:
Invitar sólo a Graduados</t>
        </r>
      </text>
    </comment>
    <comment ref="E171" authorId="0" shapeId="0" xr:uid="{C9250D68-6B41-4035-974F-4BDEA9F36CB1}">
      <text>
        <r>
          <rPr>
            <sz val="11"/>
            <color theme="1"/>
            <rFont val="Aptos Narrow"/>
            <family val="2"/>
            <scheme val="minor"/>
          </rPr>
          <t xml:space="preserve">Crearpsl - Diana Moscoso:
-Coordinar con Linid de invitar a los equipos en juego.
-Graduados.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Crearpsl - Diana Moscoso</author>
  </authors>
  <commentList>
    <comment ref="E2" authorId="0" shapeId="0" xr:uid="{DB65CFDC-77E7-4BCE-AA44-9712D76B66FF}">
      <text>
        <r>
          <rPr>
            <sz val="11"/>
            <color theme="1"/>
            <rFont val="Aptos Narrow"/>
            <family val="2"/>
            <scheme val="minor"/>
          </rPr>
          <t xml:space="preserve">Crearpsl - Diana Moscoso:
-Coordinar con Linid de invitar a los equipos en juego.
-Graduados.
</t>
        </r>
      </text>
    </comment>
    <comment ref="F2" authorId="0" shapeId="0" xr:uid="{F0A9EBD7-15EC-413A-8471-7D0C8C315D0C}">
      <text>
        <r>
          <rPr>
            <sz val="11"/>
            <color theme="1"/>
            <rFont val="Aptos Narrow"/>
            <family val="2"/>
            <scheme val="minor"/>
          </rPr>
          <t>Crearpsl - Diana Moscoso:
Invitar sólo a Graduaados para entregar tickets.</t>
        </r>
      </text>
    </comment>
    <comment ref="G2" authorId="0" shapeId="0" xr:uid="{CF0A7DA8-B410-4127-AEFD-1C7FD66F13C2}">
      <text>
        <r>
          <rPr>
            <sz val="11"/>
            <color theme="1"/>
            <rFont val="Aptos Narrow"/>
            <family val="2"/>
            <scheme val="minor"/>
          </rPr>
          <t>Crearpsl - Diana Moscoso:
Invitar sólo a Graduaados</t>
        </r>
      </text>
    </comment>
    <comment ref="H2" authorId="0" shapeId="0" xr:uid="{2D80C4EC-6B27-4AEC-B2FB-34427E19205E}">
      <text>
        <r>
          <rPr>
            <sz val="11"/>
            <color theme="1"/>
            <rFont val="Aptos Narrow"/>
            <family val="2"/>
            <scheme val="minor"/>
          </rPr>
          <t>Crearpsl - Diana Moscoso:
Invitar sólo a Graduados</t>
        </r>
      </text>
    </comment>
    <comment ref="I2" authorId="0" shapeId="0" xr:uid="{C3E1E2CD-0741-4E37-A675-0D1D1914F14C}">
      <text>
        <r>
          <rPr>
            <sz val="11"/>
            <color theme="1"/>
            <rFont val="Aptos Narrow"/>
            <family val="2"/>
            <scheme val="minor"/>
          </rPr>
          <t>Crearpsl - Diana Moscoso:
Invitar sólo a Graduados</t>
        </r>
      </text>
    </comment>
    <comment ref="E146" authorId="0" shapeId="0" xr:uid="{D83D99E7-64D2-40D2-87B0-4EB3DD967A33}">
      <text>
        <r>
          <rPr>
            <sz val="11"/>
            <color theme="1"/>
            <rFont val="Aptos Narrow"/>
            <family val="2"/>
            <scheme val="minor"/>
          </rPr>
          <t xml:space="preserve">Crearpsl - Diana Moscoso:
-Coordinar con Linid de invitar a los equipos en juego.
-Graduados.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tc={C927E8EF-6141-4166-9B20-56238ABA0D06}</author>
    <author>tc={5896A7AE-0714-4186-B905-8BA1045A8E1F}</author>
    <author>tc={77612539-2B8D-47C2-BB64-84F2DC839B25}</author>
  </authors>
  <commentList>
    <comment ref="C3" authorId="0" shapeId="0" xr:uid="{C927E8EF-6141-4166-9B20-56238ABA0D06}">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@Crearpsl - Pamela Carrillo </t>
      </text>
    </comment>
    <comment ref="C6" authorId="1" shapeId="0" xr:uid="{5896A7AE-0714-4186-B905-8BA1045A8E1F}">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@Crearpsl - Linid Valencia </t>
      </text>
    </comment>
    <comment ref="D64" authorId="2" shapeId="0" xr:uid="{77612539-2B8D-47C2-BB64-84F2DC839B25}">
      <text>
        <t>[Comentario encadenado]
Tu versión de Excel te permite leer este comentario encadenado; sin embargo, las ediciones que se apliquen se quitarán si el archivo se abre en una versión más reciente de Excel. Más información: https://go.microsoft.com/fwlink/?linkid=870924
[Tasks]
Hay una tarea anclada a este comentario que no se puede ver en el cliente.
Comentario:
    @Crearpsl - Pamela Carrillo que dijo</t>
      </text>
    </comment>
  </commentList>
</comments>
</file>

<file path=xl/sharedStrings.xml><?xml version="1.0" encoding="utf-8"?>
<sst xmlns="http://schemas.openxmlformats.org/spreadsheetml/2006/main" count="17625" uniqueCount="1242">
  <si>
    <t>CAPITAN</t>
  </si>
  <si>
    <t>MANUEL YAKIMA RIVERA</t>
  </si>
  <si>
    <t>CREADOR CUANTICO</t>
  </si>
  <si>
    <t xml:space="preserve">EQUIPO </t>
  </si>
  <si>
    <t>RESPONSABLE</t>
  </si>
  <si>
    <t>ESTADO</t>
  </si>
  <si>
    <t xml:space="preserve">OBSERVACIONES </t>
  </si>
  <si>
    <t>QT</t>
  </si>
  <si>
    <t>reto1</t>
  </si>
  <si>
    <t>Grounding</t>
  </si>
  <si>
    <t>video</t>
  </si>
  <si>
    <t>forms</t>
  </si>
  <si>
    <t>CRISTIAN ARONE</t>
  </si>
  <si>
    <t>JOYCE</t>
  </si>
  <si>
    <t>NO</t>
  </si>
  <si>
    <t>CONFIRMA YAKIMA</t>
  </si>
  <si>
    <t>OK</t>
  </si>
  <si>
    <t>AVRIL ESTEPHANIA GARCIA MEDINA</t>
  </si>
  <si>
    <t>SER LIDER EN SU CARRERA</t>
  </si>
  <si>
    <t>CARMEN PÉREZ PÉREZ</t>
  </si>
  <si>
    <t>KRISCIA</t>
  </si>
  <si>
    <t>SER LIDER EN ALTO RENDIMIENTO</t>
  </si>
  <si>
    <t xml:space="preserve">TONNY GUTIERREZ </t>
  </si>
  <si>
    <t>GARETH</t>
  </si>
  <si>
    <t>NC</t>
  </si>
  <si>
    <t>ELVIS CUELLAR</t>
  </si>
  <si>
    <t>JHEN PONCE</t>
  </si>
  <si>
    <t>JUANA MARIA FALCON ROJAS</t>
  </si>
  <si>
    <t>NP</t>
  </si>
  <si>
    <t>GERALDINE VANESSA SOTOMAYOR BAZAN</t>
  </si>
  <si>
    <t>YUSMELY DESIREE GARCIA LLOVERA</t>
  </si>
  <si>
    <t>JEANNET LEON LEDESMA</t>
  </si>
  <si>
    <t>JOSÉ BLADIMER RAMOS SIQUEROS</t>
  </si>
  <si>
    <t>TRABAJO</t>
  </si>
  <si>
    <t>MARIA CELLI HUAYANCA DIAZ</t>
  </si>
  <si>
    <t>XC</t>
  </si>
  <si>
    <t>MARCO ANTONIO VILLARREAL VALDIVIEZO</t>
  </si>
  <si>
    <t>REENTRENARME A SER LIDER</t>
  </si>
  <si>
    <t>ALEXANDRA TAPULLIMA CORDOVA</t>
  </si>
  <si>
    <t>HERMÓGENES UNTIVEROA CISNEROS</t>
  </si>
  <si>
    <t>LLAMAR 17H00</t>
  </si>
  <si>
    <t>ANAMELVA QUIÑONES BELTRÁN</t>
  </si>
  <si>
    <t>JANET DURAND YARASQUI</t>
  </si>
  <si>
    <t>ROBERTO CONDEZO</t>
  </si>
  <si>
    <t>SER COMPROMISO INQUEBRANTABLE</t>
  </si>
  <si>
    <t>FUEL DURAND HUAYNATE</t>
  </si>
  <si>
    <t>SHIRLEY RIVERA HUAMAN</t>
  </si>
  <si>
    <t>SIG</t>
  </si>
  <si>
    <t>E26</t>
  </si>
  <si>
    <t>JOHNNY EDUARDO HUÁNUCO ARELLANO</t>
  </si>
  <si>
    <t>LLAMAR 20H30</t>
  </si>
  <si>
    <t>LUISA PÉREZ CHINCHAY</t>
  </si>
  <si>
    <t>PAMELA MELISA MORALES VEGA</t>
  </si>
  <si>
    <t>DIEGO HECTOR BARBIERI GALECIO</t>
  </si>
  <si>
    <t>SER LIDER EN ALTO RENDIMIENTO, CONECTAR</t>
  </si>
  <si>
    <t>JEAN CARLOS RIOS</t>
  </si>
  <si>
    <t>YANINA ESTEFANIA MEJIA ROMERO</t>
  </si>
  <si>
    <t>MARÍA JESÚS CARRASCO LLATAS</t>
  </si>
  <si>
    <t>PILAR DE LA CRUZ</t>
  </si>
  <si>
    <t>Confirma Lunes - Llama Joyce</t>
  </si>
  <si>
    <t>ANGELLA BOLLET</t>
  </si>
  <si>
    <t>SERVICIO</t>
  </si>
  <si>
    <t>RAQUEL RIVEROS RAMOS</t>
  </si>
  <si>
    <t>RAÚL CHÁVEZ INCHE</t>
  </si>
  <si>
    <t>COMPROMISO INQUEBRANTABLE</t>
  </si>
  <si>
    <t>MARIA ELENA ROMERO</t>
  </si>
  <si>
    <t>FUERA DE LIMA</t>
  </si>
  <si>
    <t>PATRICIA RIOS</t>
  </si>
  <si>
    <t>LIZ CAROL TRUJILLO MALLQUI</t>
  </si>
  <si>
    <t>ENTRENARSE EN RELACION</t>
  </si>
  <si>
    <t>FLOR DE CANTUTA TELLO SARMIENTO</t>
  </si>
  <si>
    <t>JESSICA CONGA HUARCAYA</t>
  </si>
  <si>
    <t>ALLYZON LEON SUAREZ</t>
  </si>
  <si>
    <t>SER RELACION, MAS ESCUCHA. - Confirma Joyce</t>
  </si>
  <si>
    <t>SONIA POLANCO CABEZA</t>
  </si>
  <si>
    <t>ALIADO E26</t>
  </si>
  <si>
    <t>BRITNEY SAFIRO OLENKA DELGADO QUIÑONES</t>
  </si>
  <si>
    <t xml:space="preserve">CONFIRMA JOYCE - SER Líder y disciplinada en profesión </t>
  </si>
  <si>
    <t>HELAR MUGURUZA</t>
  </si>
  <si>
    <t>LINID</t>
  </si>
  <si>
    <t>LIMBER ELOY QUISPE</t>
  </si>
  <si>
    <t xml:space="preserve">SER LIDER </t>
  </si>
  <si>
    <t>LUZ MABEL CHIPANA VEGA</t>
  </si>
  <si>
    <t>HABITAR EN SU CONTRATO: LIDER PODEROSA AUTENTICA Y CREADORA</t>
  </si>
  <si>
    <t>RONY LANDEO</t>
  </si>
  <si>
    <t>NORA ANAYA ESPINOZA</t>
  </si>
  <si>
    <t>Confirmo con Kriscia -llamar</t>
  </si>
  <si>
    <t>TR</t>
  </si>
  <si>
    <t>HECTOR ENRIQUE CANQUI VALLADARES</t>
  </si>
  <si>
    <t>SER SU PALABRA</t>
  </si>
  <si>
    <t>MARIBEL ROBERTA ESPAÑA ZAMBRANO</t>
  </si>
  <si>
    <t>LLAMAR A LAS 17H00</t>
  </si>
  <si>
    <t>VIVIANA ELIZABETH ALCANTARA MAURTUA</t>
  </si>
  <si>
    <t>YA</t>
  </si>
  <si>
    <t>ELIZABETH MORALES</t>
  </si>
  <si>
    <t>JOEL JULIO ANTAURCO PEREZ</t>
  </si>
  <si>
    <t>GIULIANA CRISTINA BECERRA CANTELLA</t>
  </si>
  <si>
    <t xml:space="preserve">ZELMY ALCANTARA </t>
  </si>
  <si>
    <t>LUCAS ALBERTO SANCHEZ SILVA</t>
  </si>
  <si>
    <t>SER LIDER</t>
  </si>
  <si>
    <t>ERIKA LIZETH NORENA DURAND</t>
  </si>
  <si>
    <t>SOFIA ALLCCA LLACCHUAS</t>
  </si>
  <si>
    <t>NADIA ZEGARRA TOLENTINO</t>
  </si>
  <si>
    <t xml:space="preserve">SER ARRIESGADA </t>
  </si>
  <si>
    <t>JENNY BETZABET ESPINAL</t>
  </si>
  <si>
    <t>JIMENA MARIBEL PLASENCIA AGUILAR</t>
  </si>
  <si>
    <t>JOSE ALONSO GALVEZ LOPEZ</t>
  </si>
  <si>
    <t>BLANCA LUZ CHACHAYMA MARCOS</t>
  </si>
  <si>
    <t>SER RELACION, MAS ESCUCHA</t>
  </si>
  <si>
    <t>GIOVANA ELIZABETH PALOMINO MARCOS</t>
  </si>
  <si>
    <t>NA</t>
  </si>
  <si>
    <t>MANAGER EQUIPO 23</t>
  </si>
  <si>
    <t>JORGE EDUARDO CHALCO CCASA</t>
  </si>
  <si>
    <t>SARAI MESIAS TOLENTINO</t>
  </si>
  <si>
    <t>JAMPIER PIERO POLICARPO VERA</t>
  </si>
  <si>
    <t>ROGGER ALCANTARA GUERRERO</t>
  </si>
  <si>
    <t>NI</t>
  </si>
  <si>
    <t>ANGELLO GERONIMO PANTA MORALES</t>
  </si>
  <si>
    <t>CLAUDIA GALVEZ</t>
  </si>
  <si>
    <t xml:space="preserve">viaje fuera de Peru </t>
  </si>
  <si>
    <t>GIOVANNI GIUSSEPPE MIRANDA MALPARTIDA</t>
  </si>
  <si>
    <t>ROSSANA STEPHANY TRUJILLO MONTOYA</t>
  </si>
  <si>
    <t>SAUL FLAVIO CRUZADO MAMANI</t>
  </si>
  <si>
    <t>ANITA FLORES TIPISMANA</t>
  </si>
  <si>
    <t>SER FUENTE Y RELACIONS</t>
  </si>
  <si>
    <t>GUSTAVO ADOLFO FERNANDEZ ESPINOZA</t>
  </si>
  <si>
    <t>JOSE GUILLERMO CURI SALVADOR</t>
  </si>
  <si>
    <t>DIANA CAROLINA CCOSCCO GUTIéRREZ</t>
  </si>
  <si>
    <t>DARNER ISZAT DIAZ ZAPANA</t>
  </si>
  <si>
    <t>RELACION - Confirma Joyce</t>
  </si>
  <si>
    <t>FERNANDO ABEL LOPEZ LOPEZ</t>
  </si>
  <si>
    <t>Manager</t>
  </si>
  <si>
    <t>CAMILA VERASTEGUI</t>
  </si>
  <si>
    <t>CONFIRMA YAKIMA / Abrir su consultoria</t>
  </si>
  <si>
    <t>JESSICA GUISELLE MORALES VEGA</t>
  </si>
  <si>
    <t>RONALD HENRY CARITA CANSAYA</t>
  </si>
  <si>
    <t>E27 ALIADO</t>
  </si>
  <si>
    <t>GABRIELA KATERINNE JARA NARCISO</t>
  </si>
  <si>
    <t>ROXANA ELIZABETH AYVAR VEGA</t>
  </si>
  <si>
    <t>MARIELA MORI DETT</t>
  </si>
  <si>
    <t>FIORELA GUTIERREZ SAAVEDRA</t>
  </si>
  <si>
    <t>ANTHONY WILLIAMS VARGAS ZAMBRANO</t>
  </si>
  <si>
    <t>YEMBER CONDE QUISPE</t>
  </si>
  <si>
    <t>FABIO ALESSANDRO CANQUY LLOYD</t>
  </si>
  <si>
    <t>VIOLETA LIS BELLO GASPAR</t>
  </si>
  <si>
    <t>CAROLINA VICTORIA MANRIQUE HUARANCA</t>
  </si>
  <si>
    <t>CONSUELO LAURA BALTAZAR ROSALES</t>
  </si>
  <si>
    <t>FELIPE ALEJANDRO MALLQUI TRUJILLO</t>
  </si>
  <si>
    <t>SER LIDER - MANAGER</t>
  </si>
  <si>
    <t>MAICHOL EDSON FUENTES CALLAUA</t>
  </si>
  <si>
    <t>FABRICIO JAIR, CARDENAS ALTA MIRANO</t>
  </si>
  <si>
    <t>NOELIA VIRGINIA COTRINA LABRIANO</t>
  </si>
  <si>
    <t>MONICA FABIOLA FERNANDEZ ESPINOZA</t>
  </si>
  <si>
    <t>HIPOLITA SaNCHEZ MEDINA</t>
  </si>
  <si>
    <t>LILIANA JACKELINE CHU COELLO</t>
  </si>
  <si>
    <t>ROXANA FLORENTINA BORJAS ORMEÑO</t>
  </si>
  <si>
    <t>CRISTIAN SANCHEZ TRINIDAD</t>
  </si>
  <si>
    <t>YAHAIRA MARINA ALVARO ROJAS</t>
  </si>
  <si>
    <t>MILAGROS YULIANA SOTO RIVERA</t>
  </si>
  <si>
    <t>JAVIER LEVANO MAGALLANES</t>
  </si>
  <si>
    <t>LIDERAZGO</t>
  </si>
  <si>
    <t>LEONARDO QUISPE TRUJILLO</t>
  </si>
  <si>
    <t>RICHARD PILCO CALIZAYA</t>
  </si>
  <si>
    <t>ENTRENARME EN LIDERAZGO</t>
  </si>
  <si>
    <t>ALEJANDRINA PATRICIA TIPISMANA PASACHE</t>
  </si>
  <si>
    <t>JOSE</t>
  </si>
  <si>
    <t>MARIO VICENTE PAUL MONTEJOS FIDEL</t>
  </si>
  <si>
    <t>YESENIA ZULLY PAUCAR MENDOZA</t>
  </si>
  <si>
    <t>CONFIRMA JOYCE - SER ESCUCHA y RELACION</t>
  </si>
  <si>
    <t>NICOLE BERTHA MUnOZ URQUIAGA</t>
  </si>
  <si>
    <t>DAVID JESUS RODRIGUEZ LA RIVA</t>
  </si>
  <si>
    <t>EDUARDO DIL CANDIA PALOMINO</t>
  </si>
  <si>
    <t>EVER DAVID CARDENAS TELLO</t>
  </si>
  <si>
    <t>NANCY YSABEL HERNANDEZ GOMEZ</t>
  </si>
  <si>
    <t>SEBASTIaN OSCAR SUaREZ HERRERA</t>
  </si>
  <si>
    <t>DIANA REYNA RAMOS OROSCO</t>
  </si>
  <si>
    <t>GUILLERMO MOSCOSO RIOS</t>
  </si>
  <si>
    <t>NO CONFIRMO</t>
  </si>
  <si>
    <t>MARIA DEL CARMEN MENDOZA PILCO</t>
  </si>
  <si>
    <t xml:space="preserve">AUN NO LO TIENE CLARO </t>
  </si>
  <si>
    <t>JUAN ALVARO RAMIREZ HUALPA</t>
  </si>
  <si>
    <t xml:space="preserve">CONFIRMA YAKIMA - </t>
  </si>
  <si>
    <t>SOLANGE MARTINEZ TERREROS</t>
  </si>
  <si>
    <t>MARiA ELENA ALVINO LoPEZ</t>
  </si>
  <si>
    <t>JENNY GARCIA SANTA CRUZ</t>
  </si>
  <si>
    <t>MARIO WILFREDO RAMIREZ HUALPA</t>
  </si>
  <si>
    <t>RUMI MONTANO RAMOS</t>
  </si>
  <si>
    <t>SER EXCELENCIA</t>
  </si>
  <si>
    <t>PAULINA PALOMINO RAMOS</t>
  </si>
  <si>
    <t>BRIGITTE FERNANDA LóPEZ LóPEZ</t>
  </si>
  <si>
    <t>VIAJE</t>
  </si>
  <si>
    <t>HENRY LOPEZ QUISPE</t>
  </si>
  <si>
    <t>PERCY ANTONIO MURO GAYOSO</t>
  </si>
  <si>
    <t>VIAJAR A AREQUIPA CON SUN LINDA ESPOSA</t>
  </si>
  <si>
    <t>REINALDA CORIMAYA ACEITUNO DE SURCO</t>
  </si>
  <si>
    <t>ROXANA MURILLO BONETT</t>
  </si>
  <si>
    <t>TANIA AURORA SaNCHEZ CASTRO</t>
  </si>
  <si>
    <t>LOURDES LOPEZ ZAPANA</t>
  </si>
  <si>
    <t>JOSE ELIAS BALTAZAR ROSALES</t>
  </si>
  <si>
    <t>SERGIO NOLASCO ESTELA</t>
  </si>
  <si>
    <t>ABIGAIL LLACTAS FLORES</t>
  </si>
  <si>
    <t>YISSEL HUAMaN ALVAREZ</t>
  </si>
  <si>
    <t>LUISA UGARTE</t>
  </si>
  <si>
    <t>LQ</t>
  </si>
  <si>
    <t xml:space="preserve">CÉSAR AUGUSTO NIEBUHR PRADO </t>
  </si>
  <si>
    <t>INGENIA</t>
  </si>
  <si>
    <t xml:space="preserve">ELEGIRSE A EL </t>
  </si>
  <si>
    <t>PAUL GAMARRA</t>
  </si>
  <si>
    <t>SIGUIENTE E26</t>
  </si>
  <si>
    <t>Jean Carlo Núñez Portocarrero</t>
  </si>
  <si>
    <t>NOELIA GUTIERREZ</t>
  </si>
  <si>
    <t>Confirmados</t>
  </si>
  <si>
    <t>CREAR CUANTICO</t>
  </si>
  <si>
    <t xml:space="preserve">EQUIPO ORIGINAL </t>
  </si>
  <si>
    <t>E5</t>
  </si>
  <si>
    <t>E6</t>
  </si>
  <si>
    <t>E7</t>
  </si>
  <si>
    <t>E8</t>
  </si>
  <si>
    <t>E9</t>
  </si>
  <si>
    <t>E10</t>
  </si>
  <si>
    <t>E11</t>
  </si>
  <si>
    <t>E12</t>
  </si>
  <si>
    <t>E13</t>
  </si>
  <si>
    <t>E14</t>
  </si>
  <si>
    <t>E15</t>
  </si>
  <si>
    <t>E16</t>
  </si>
  <si>
    <t>E17</t>
  </si>
  <si>
    <t>E18</t>
  </si>
  <si>
    <t>E19</t>
  </si>
  <si>
    <t>E20</t>
  </si>
  <si>
    <t>E21</t>
  </si>
  <si>
    <t>E22</t>
  </si>
  <si>
    <t>E23</t>
  </si>
  <si>
    <t>E24</t>
  </si>
  <si>
    <t>E25</t>
  </si>
  <si>
    <t>E27</t>
  </si>
  <si>
    <t>E28</t>
  </si>
  <si>
    <t xml:space="preserve">CARLOS RAMIREZ </t>
  </si>
  <si>
    <t>-</t>
  </si>
  <si>
    <t>M</t>
  </si>
  <si>
    <t>LUCY OSTOA</t>
  </si>
  <si>
    <t>A</t>
  </si>
  <si>
    <t>LUSY DIAZ</t>
  </si>
  <si>
    <t>MANUEL VIVANCO</t>
  </si>
  <si>
    <t>C</t>
  </si>
  <si>
    <t>Q</t>
  </si>
  <si>
    <t>NANCY HUALLIPE</t>
  </si>
  <si>
    <t xml:space="preserve">ROCIO DE LA CRUZ </t>
  </si>
  <si>
    <t>SARITA RAMOS</t>
  </si>
  <si>
    <t>CARMEN GRICELDA PEREZ CHINCHAY</t>
  </si>
  <si>
    <t>HILDA UCHASARA</t>
  </si>
  <si>
    <t>JOSE COELLO</t>
  </si>
  <si>
    <t>NATHALY CHUCO</t>
  </si>
  <si>
    <t>ANEL ORIHUELA</t>
  </si>
  <si>
    <t>LEYLA KELLY PASQUEL ALFARO</t>
  </si>
  <si>
    <t>GARETH SAID RAMOS PEREZ</t>
  </si>
  <si>
    <t>GREGORIA ALHUAY ROJAS</t>
  </si>
  <si>
    <t>HUMBERTO CARRASCO LLATAS</t>
  </si>
  <si>
    <t>JHEN JEZMIN PONCE ESPINOZA</t>
  </si>
  <si>
    <t>JHONATAN DANIEL ALCÁNTARA MAURTUA</t>
  </si>
  <si>
    <t>LUZ BLANCA VASQUEZ SALES</t>
  </si>
  <si>
    <t>MANUEL YAKIMA RIVERA TOYAMA</t>
  </si>
  <si>
    <t>ALEXANDER TORIBIO CURI AGUADO</t>
  </si>
  <si>
    <t>ARIANA MERCEDES GUEVARA MELENDEZ</t>
  </si>
  <si>
    <t>JULIO MOSCOSO</t>
  </si>
  <si>
    <t>KATHERINE CHUCO VASQUEZ</t>
  </si>
  <si>
    <t>KRISCIA LISZET RODAS QUISPE</t>
  </si>
  <si>
    <t>MARLLORY ULLOA USQUIANO</t>
  </si>
  <si>
    <t>GABY DEL PILAR DE LA PAZ MONTIVEROD</t>
  </si>
  <si>
    <t>JOEL ROBERTO CONDEZO RAMIREZ</t>
  </si>
  <si>
    <t>NURY LUISA DEL CARMEN MARCA</t>
  </si>
  <si>
    <t>ROSEMARY DE PAZ</t>
  </si>
  <si>
    <t>SANDRA MARLENE LOPEZ CHAHUA</t>
  </si>
  <si>
    <t>DAYSI REQUEJO LINARES</t>
  </si>
  <si>
    <t>DIEGO AREVALO SILVA</t>
  </si>
  <si>
    <t>ELISA NANCY PALOMINO HUARCAYA</t>
  </si>
  <si>
    <t>JHARRINZON HUAMAN CHIPA</t>
  </si>
  <si>
    <t>JUANA MARÍA FALCÓN ROJAS</t>
  </si>
  <si>
    <t>MILAGROS CASTAÑEDA ORBE</t>
  </si>
  <si>
    <t>REYNA JARAMILLO PINEDO</t>
  </si>
  <si>
    <t>ROSMERY OCHOA FERRER</t>
  </si>
  <si>
    <t>YUSMELY DESIREÉ GARCÍA LLOVERA</t>
  </si>
  <si>
    <t>CAROLINA MATILDE MERCEDES ALBORNOZ</t>
  </si>
  <si>
    <t>CRISTINA CUBA RIOS</t>
  </si>
  <si>
    <t>ELIZABETH MORALES CARCELEN</t>
  </si>
  <si>
    <t>HERMELINDA YARASQUI CALLUPE</t>
  </si>
  <si>
    <t>LETICIA SILVIA HORNA RODRÍGUEZ</t>
  </si>
  <si>
    <t>LUIS ALBERTO HERNÁNDEZ MENDOZA</t>
  </si>
  <si>
    <t>SEFORA NOEMI OÑATE GUZMAN</t>
  </si>
  <si>
    <t>TEOFILA CÁCERES ALLPACCA</t>
  </si>
  <si>
    <t>VANESSA SAAVEDRA ORBE</t>
  </si>
  <si>
    <t>CARMEN JOSELINA VALENCIA GUZMAN</t>
  </si>
  <si>
    <t>DIANA YESENIA MOSCOSO ROBLES</t>
  </si>
  <si>
    <t>D'YANIRA ALLYZON LEON SUAREZ</t>
  </si>
  <si>
    <t>ELÍ AMERICO CALZADA ESPINOZA</t>
  </si>
  <si>
    <t>EUFEMIA ISABEL CORREA OLAYA</t>
  </si>
  <si>
    <t>GISELA MORALES VALLADARES</t>
  </si>
  <si>
    <t>JUANA ZARELA RODRIGUEZ GUERRERO</t>
  </si>
  <si>
    <t>LIDIA TRUJILLO GUTIÉRREZ</t>
  </si>
  <si>
    <t>NORMA CÁCERES MASÍAS</t>
  </si>
  <si>
    <t>PAMELA MORALES VEGA</t>
  </si>
  <si>
    <t>RICARDO MAURICIO TRUJILLO MONTOYA</t>
  </si>
  <si>
    <t>XIOMARA NICOLE QUIJANDRIA MEZA</t>
  </si>
  <si>
    <t>YRMA CECILIA ALCA BARRA</t>
  </si>
  <si>
    <t>ZARA CASTILLO</t>
  </si>
  <si>
    <t>ANGELLA MARIA BOLLET GOMEZ</t>
  </si>
  <si>
    <t>BETTY YANETH QUIÑONES BELTRAN</t>
  </si>
  <si>
    <t>HELVER ROLANDO LLANOS VÁSQUEZ</t>
  </si>
  <si>
    <t>JEAN CARLOS RIOS ZEA</t>
  </si>
  <si>
    <t>JORGE LUIS LEON DE LOS RIOS</t>
  </si>
  <si>
    <t>JOSE ALONSO KUFFO MOSCOSO</t>
  </si>
  <si>
    <t>JOSE VALENCIA FERNANDEZ</t>
  </si>
  <si>
    <t>JUAN MANUEL GRANDA</t>
  </si>
  <si>
    <t>JUDY DIANA ARQUISE ESPINOZA</t>
  </si>
  <si>
    <t>LEYDY PEÑA CHAVARRIA</t>
  </si>
  <si>
    <t>LIANA ELSA CASTRO PRIETO GONZALES</t>
  </si>
  <si>
    <t>LIBBY FIORELA HUAYTALLA SANCHEZ</t>
  </si>
  <si>
    <t>MARÍA ELENA ROMERO RAMIREZ</t>
  </si>
  <si>
    <t>MARIA VERONICA JIMENEZ VASQUEZ</t>
  </si>
  <si>
    <t>PATRICIA LILIANA RÍOS ROSSELL</t>
  </si>
  <si>
    <t>ROSA MARIA ÁLVAREZ SALAS</t>
  </si>
  <si>
    <t>SADITH KRY LÓPEZ HERRERA</t>
  </si>
  <si>
    <t>BRYAN RODNEY LÓPEZ</t>
  </si>
  <si>
    <t>CAMILA LEÓN MOORE</t>
  </si>
  <si>
    <t>CARLOS GIOVANI MIRANDA RIEGA</t>
  </si>
  <si>
    <t>DORA LUISA BALTODANO SANDOVAL</t>
  </si>
  <si>
    <t>GIAN CARLO MINCHOLA VALDIVIA</t>
  </si>
  <si>
    <t>JESUS JULIO ANTAURCO PEREZ</t>
  </si>
  <si>
    <t>PIERO ALESSANDRO PORTAL PASQUEL</t>
  </si>
  <si>
    <t>PILAR CUADRAO CARRUITERO</t>
  </si>
  <si>
    <t>RHANIA SHADEN UNTIVEROS REQUEJO</t>
  </si>
  <si>
    <t>ROCIO AYVAR VEGA</t>
  </si>
  <si>
    <t>ANTONY LEO ALTAMIRANO LLACCHUAS</t>
  </si>
  <si>
    <t>CARLOS ALBERTO CASTILLO TIPISMANA</t>
  </si>
  <si>
    <t>CRISTIAN JONATHAN ARONE CHACHAYMA</t>
  </si>
  <si>
    <t>FANNY SUSAN ROJAS GALINDO</t>
  </si>
  <si>
    <t>GERALDINE STEPHANIE OTRERA CACÑAHUARAY</t>
  </si>
  <si>
    <t>GREZIA MARÍA JOLLY VERA</t>
  </si>
  <si>
    <t>JUTSU EUGENIO JARAMILLO PINEDO</t>
  </si>
  <si>
    <t>KRESLY STEFANNY MATÍAS URIOL</t>
  </si>
  <si>
    <t>LEISI MEDINA IDROGO</t>
  </si>
  <si>
    <t>LUZ ANGELICA MEDRANO DE MEZA</t>
  </si>
  <si>
    <t>MARINA PATRICIA CRUZADO MAMANI</t>
  </si>
  <si>
    <t>NANCY MALPARTIDA FLORES</t>
  </si>
  <si>
    <t>NATHALY SUSY LANDA OCHOA</t>
  </si>
  <si>
    <t>NORIS RIAÑO ZUBIETA</t>
  </si>
  <si>
    <t>ROBERTO CARRANZA TOLENTINO ANGULO</t>
  </si>
  <si>
    <t>SEBASTIÁN JOSÉ ALVARADO CABRERA</t>
  </si>
  <si>
    <t>SHEILA DE LA CRUZ HUAYTALLA</t>
  </si>
  <si>
    <t>ZELMY ALCANTARA GUERRERO</t>
  </si>
  <si>
    <t>CARLOS HUMBERTO MENDOZA PICOAGA</t>
  </si>
  <si>
    <t>DAINA AYELEN MARTINEZ FLORES</t>
  </si>
  <si>
    <t>FIDEL TANGOA ORACO</t>
  </si>
  <si>
    <t>GLADYS CONDE QUISPE</t>
  </si>
  <si>
    <t>JENNY BETSABET ESPINAL BALTAZAR</t>
  </si>
  <si>
    <t>JESSICA PILAR LOPEZ LOPEZ</t>
  </si>
  <si>
    <t>JOHAN JENRRY LOZANO PONCE</t>
  </si>
  <si>
    <t>JOSE ISRAEL MAQUERA MONTOYA</t>
  </si>
  <si>
    <t>KATHERINE LILIBET QUISPE ARENAS</t>
  </si>
  <si>
    <t>KATIA MELVA DE PAZ FIGUEROA</t>
  </si>
  <si>
    <t>LELY MELUSA ALTAMIRANO LLANTOY</t>
  </si>
  <si>
    <t>MARIA ISABEL REYNOSO ARENAS</t>
  </si>
  <si>
    <t>MIRIAM GISELLA MENDOZA PILCO</t>
  </si>
  <si>
    <t>ODALIS RIVERA OSORES</t>
  </si>
  <si>
    <t>ANGEL EDUARDO VELIZ YSLA</t>
  </si>
  <si>
    <t>ARISKELA MONTANO MIRANDA</t>
  </si>
  <si>
    <t>CHARO YANETH APONTE PEREZ</t>
  </si>
  <si>
    <t>CLAUDIA OLENKA GALVEZ LOPEZ</t>
  </si>
  <si>
    <t>ELMER ANGEL CHIPANA QUISPE</t>
  </si>
  <si>
    <t>FERNANDO HERNAN VENTURA ESPINOZA</t>
  </si>
  <si>
    <t>GABRIELA NAUPARI VASQUEZ</t>
  </si>
  <si>
    <t>IRENA LARICO LIMACHI</t>
  </si>
  <si>
    <t>JUAN FERNANDO LOPEZ MELO</t>
  </si>
  <si>
    <t>LIZETH PATRICIA ACUÑA MATOS</t>
  </si>
  <si>
    <t>MARINA ROJAS FRANCISCO</t>
  </si>
  <si>
    <t>PILAR MIRIAM TORRES MARCOS</t>
  </si>
  <si>
    <t>URSULA LAY GUILLEN</t>
  </si>
  <si>
    <t>YENNY PAOLA FLORES TIPISMANA</t>
  </si>
  <si>
    <t>ZULIA MARINA CRESPO ESPINOZA</t>
  </si>
  <si>
    <t>ANA CARINA CáRDENAS TERREROS</t>
  </si>
  <si>
    <t>CRISTINA MARTÍNEZ PUENTE</t>
  </si>
  <si>
    <t>JOYCE MARIN</t>
  </si>
  <si>
    <t>OTTY ZULEY URTEGA SILVA</t>
  </si>
  <si>
    <t>ANA TIPISMANA VIUDA DE FLORES</t>
  </si>
  <si>
    <t>ANITA ESPERANZA FLORES TIPISMANA</t>
  </si>
  <si>
    <t>CAMILA ALEGRIA VERASTEGUI DURAN</t>
  </si>
  <si>
    <t>CLAUDIA CATHERINE LÓPEZ JARAMILLO</t>
  </si>
  <si>
    <t>DAVID EMERSON CONTRERAS LUCHINE</t>
  </si>
  <si>
    <t xml:space="preserve">GIANCARLO PLASENCIA AGUILAR </t>
  </si>
  <si>
    <t>GISSELLA HUAMAN CELESTINO</t>
  </si>
  <si>
    <t>GLADYS EUSEBIA MORENO CORNEJO</t>
  </si>
  <si>
    <t>JOSÉ ELIAS BALTAZAR ROSALES</t>
  </si>
  <si>
    <t>ROSA VANEZA RAMIREZ HUALLPA</t>
  </si>
  <si>
    <t>AARON MIGUEL SURCO CORIMAYA</t>
  </si>
  <si>
    <t>ANGEL ENRIQUE YONG LAU</t>
  </si>
  <si>
    <t>ELIZABETH HUAMANI PALOMINO</t>
  </si>
  <si>
    <t>GINA CaRDENAS LOPEZ</t>
  </si>
  <si>
    <t>GUIDO RUSVEL FALCON ROJAS</t>
  </si>
  <si>
    <t>JAVIER MARTiN LEVANO MAGALLANES</t>
  </si>
  <si>
    <t>JUSTO GONZALO RAMIREZ HUALPA</t>
  </si>
  <si>
    <t>LUZ ELVIRA RAMiREZ</t>
  </si>
  <si>
    <t>ANTHONY LEONARDO ALGARATE JIMENEZ</t>
  </si>
  <si>
    <t>ARIANA XIMENA SOSAYA JIMeNEZ</t>
  </si>
  <si>
    <t>BERTHA LUZ ARAUJO TANGOA</t>
  </si>
  <si>
    <t>BRIAN STEVE SANGAY SALVATIERRA</t>
  </si>
  <si>
    <t>CARMEN ROSA MORAN CRUZ</t>
  </si>
  <si>
    <t>DORIS MIRANDA CALSIN</t>
  </si>
  <si>
    <t>ESTEFANY LIZET MAGALLANES TASAYCO</t>
  </si>
  <si>
    <t>GIULIANA EDITH BUENDIA MUÑOZ</t>
  </si>
  <si>
    <t>JENNIFER ALYSSON CASTANEDA PONCE DE LEON</t>
  </si>
  <si>
    <t>JOLBER VARGAS ENRIQUEZ</t>
  </si>
  <si>
    <t>JOSE MANUEL SURCO CORIMAYA</t>
  </si>
  <si>
    <t>KARIN PORTOCARRERO PEREA</t>
  </si>
  <si>
    <t>LIDA HILARIA ROJAS RIMAC</t>
  </si>
  <si>
    <t>MARIA OLARTE BARRIENTOS</t>
  </si>
  <si>
    <t>NILDA NICOLE NOLASCO CHIPANA</t>
  </si>
  <si>
    <t>PAMELA CYNTHIA CASTILLO RIOS</t>
  </si>
  <si>
    <t>RUFINO FLORES TIPISMANA</t>
  </si>
  <si>
    <t>VICTORIA DEL MILAGRO VALDIVIA VILLEGAS</t>
  </si>
  <si>
    <t>YENI BAÑEZ LAURANTE</t>
  </si>
  <si>
    <t>YIENY SANTA CRUZ BUENDiA</t>
  </si>
  <si>
    <t>YOLANDA VALENCIA CCOSCCO</t>
  </si>
  <si>
    <t>YULI INeS MACHADO QUInONES</t>
  </si>
  <si>
    <t>CESAR ADINO MANRIQUE ESCOBAR</t>
  </si>
  <si>
    <t>CLAUDIA ALEJANDRA BERNAL VILLAR</t>
  </si>
  <si>
    <t>CORNELIO NOLASCO ESTELA</t>
  </si>
  <si>
    <t>CRISTIAN MIJAIL CASTILLO GONZALES</t>
  </si>
  <si>
    <t>EDITH SILVIA ESPINOZA SURICHAQUI</t>
  </si>
  <si>
    <t>FAUSTINO ALARCON QUICANO</t>
  </si>
  <si>
    <t>FRANCISCO JAVIER CHENGUAYEN ROSPIGLIOSI</t>
  </si>
  <si>
    <t>GERALDINE ANDREINA QUISPE ARENAS</t>
  </si>
  <si>
    <t>JANE ROSALIND PONCE DE LEON PINO</t>
  </si>
  <si>
    <t>JESUS ELIZABETH BALTAZAR ANGELES</t>
  </si>
  <si>
    <t>JOSe LUIS JHONATAN MAMANI LOPEZ</t>
  </si>
  <si>
    <t>KEMPIS NOLASCO ESTELA</t>
  </si>
  <si>
    <t>KETTY DORIS BAUTISTA OCHOA</t>
  </si>
  <si>
    <t>LIMBER SANTIAGO QUISPE TRUJILLO</t>
  </si>
  <si>
    <t>LUIS FELIBERTO PALOMINO HUAHUACHAMPI</t>
  </si>
  <si>
    <t>MARCOS ORLANDO TORRES ALARCoN</t>
  </si>
  <si>
    <t>MARTIN VICENTE ESPINOZA CHaVEZ</t>
  </si>
  <si>
    <t>NAYELLY YOVANA NAIRA TAIRO</t>
  </si>
  <si>
    <t>ROSMERY LISBETH VELaSQUEZ CONDORI</t>
  </si>
  <si>
    <t>RUTH YESLY PILCO LAURA</t>
  </si>
  <si>
    <t>SANDRA ISABEL MENDOZA SORIA</t>
  </si>
  <si>
    <t>VANNIA STEF MITAC ESCALANTE</t>
  </si>
  <si>
    <t>VERoNICA REGINA CONTRERAS FLORES</t>
  </si>
  <si>
    <t>YARISMAR ANDREiNA NAVARRO PALMA</t>
  </si>
  <si>
    <t>DIANA</t>
  </si>
  <si>
    <t>OTTY</t>
  </si>
  <si>
    <t>POR AHORA NO, QUIZÁ MÁS ADELANTE</t>
  </si>
  <si>
    <t>MAS ADELANTE</t>
  </si>
  <si>
    <t>SER DISFRUTE Y EN TENERLO TODO</t>
  </si>
  <si>
    <t>EQUIPO 28 - ENTRENARSE EN MOSTRARSE PARA COMUNICARSE ASERTIVAMENTE</t>
  </si>
  <si>
    <t>INDICA ALREDEDOR DE JUNIO GESTIONAR TIEMPOS</t>
  </si>
  <si>
    <t>POSIBILIDAD E27</t>
  </si>
  <si>
    <t>ENTRENARSE EN MANERAS</t>
  </si>
  <si>
    <t>LLAMARLOS</t>
  </si>
  <si>
    <t>tema médico</t>
  </si>
  <si>
    <t>CAP E-28</t>
  </si>
  <si>
    <t>LLAMAR EN 30 MINUTOS</t>
  </si>
  <si>
    <t>NO QUIERE PARTICIPAR HASTA UN AÑO - YA NO LLAMAR</t>
  </si>
  <si>
    <t xml:space="preserve">ESTUDIAR MECATRONICA INDUSTRIAL </t>
  </si>
  <si>
    <t>E28 ALIADO C1 - NO TIENE CLARO SU PARA QUE</t>
  </si>
  <si>
    <t>Recuperarse en la salud</t>
  </si>
  <si>
    <t>ENTRENARSE EN TENERLO TODO.</t>
  </si>
  <si>
    <t>MANAGER E28</t>
  </si>
  <si>
    <t>LLAMRLOS</t>
  </si>
  <si>
    <t>LEYLA</t>
  </si>
  <si>
    <t>MANAGER</t>
  </si>
  <si>
    <t>SER LIDER, Liderar su vida y su trabajo para relacionarse con equipos E30</t>
  </si>
  <si>
    <t>SER ENTRENADOR-LLAMAR MARTES</t>
  </si>
  <si>
    <t>CUANDO ELLA LO ELIJA</t>
  </si>
  <si>
    <t>DE ACÁ A DOS MESES ESTARÁ LIBRE</t>
  </si>
  <si>
    <t>POR CONFIMAR Y COMPROMETERLA</t>
  </si>
  <si>
    <t>Entrenarse  en ser arriesgada en crear nuevos negocios en temas ambientales.</t>
  </si>
  <si>
    <t>ENTRENARSE EN AMOR PROPIO - SOSTENERLA</t>
  </si>
  <si>
    <t>SER COMPROMISO</t>
  </si>
  <si>
    <t xml:space="preserve">Confirma Joyce - Entrenarse en ser compromiso </t>
  </si>
  <si>
    <t xml:space="preserve">E28 - ENTRENARME EN INDEPENDENCIA FINANCIERA - RIESGO - </t>
  </si>
  <si>
    <t>HACER CRECER SU MARCA DE BIENESTAR CON PROPÓSITO.</t>
  </si>
  <si>
    <t>Ser inspiración para su familia y ser ese líder.</t>
  </si>
  <si>
    <t>E-28 SER CONFRONTACIÓN</t>
  </si>
  <si>
    <t>ENROLARLO COMO MANAGER</t>
  </si>
  <si>
    <t>E28 - ENTRENARME EN SER CONFORNTACIO</t>
  </si>
  <si>
    <t>ENTRENARSE EN LIDERAR SU VIDA</t>
  </si>
  <si>
    <t>LLAMAR LUNES 10AM</t>
  </si>
  <si>
    <t>llamar jueves 16 a la 1:00 pm</t>
  </si>
  <si>
    <t>E30 - ENTRENARSE EN ESTABILIDAD ECONOMICA CON SU EMPRESA</t>
  </si>
  <si>
    <t>HOY 8:00PM</t>
  </si>
  <si>
    <t>ENTRENAR SER LIDER</t>
  </si>
  <si>
    <t>ENTRENRSE EN CONFRONTAR</t>
  </si>
  <si>
    <t>ENTRENARTE EN PONERSE DE PRIMERO</t>
  </si>
  <si>
    <t xml:space="preserve">ENTRENARSE EN ABUNDANCIA EN TIEMPO Y DINERO - </t>
  </si>
  <si>
    <t xml:space="preserve">CONFIRMA CAPI </t>
  </si>
  <si>
    <t>SER LIDER - CONFIRMA JOYCE</t>
  </si>
  <si>
    <t xml:space="preserve">NO LO TIENE CLARO - </t>
  </si>
  <si>
    <t>RELACION - Confirma Joyce LLAMARLOS</t>
  </si>
  <si>
    <t>SER PARTICIPACION TOTAL</t>
  </si>
  <si>
    <t xml:space="preserve">ENTRENARSE EN SER ESCUCHA - FILTROS </t>
  </si>
  <si>
    <t>SER ENTRENADOR</t>
  </si>
  <si>
    <t>CONFIRMO CAPITAN - POR CONFIRMAR</t>
  </si>
  <si>
    <t>SER LIDER Y COMPROMETIDA CON LA SER INSPIRACIÓN</t>
  </si>
  <si>
    <t>DESERTOR</t>
  </si>
  <si>
    <t xml:space="preserve">CAMILA LEON </t>
  </si>
  <si>
    <t xml:space="preserve">STATUS </t>
  </si>
  <si>
    <t>ROCIO DE LA CRUZ HUAYTALLA</t>
  </si>
  <si>
    <t>(corta llamada)</t>
  </si>
  <si>
    <t xml:space="preserve">DIANA </t>
  </si>
  <si>
    <t>ENTRENARSE COMPROMISO - MANAGER</t>
  </si>
  <si>
    <t>BRITNEY SAFIRO OLENKA DELGADO QUINONES</t>
  </si>
  <si>
    <t>CAPITANA DE SERVICIO GRADUACION E18</t>
  </si>
  <si>
    <t>PAMELA</t>
  </si>
  <si>
    <t>ESTA TRABAJANDO EN LA SELVA NO TIENE SALIDA</t>
  </si>
  <si>
    <t>Temas laborales</t>
  </si>
  <si>
    <t>ANAMELVA QUINONES BELTRAN</t>
  </si>
  <si>
    <t xml:space="preserve">PAMELA </t>
  </si>
  <si>
    <t>CLASES</t>
  </si>
  <si>
    <t>POR AHORA NO PODRA PARTICIPAR</t>
  </si>
  <si>
    <t xml:space="preserve">INICIO CLASES DE BIOQUIMIVA Y FARMACIA </t>
  </si>
  <si>
    <t>POR AHORA NO VENDRA A LIMA</t>
  </si>
  <si>
    <t>rep</t>
  </si>
  <si>
    <t>ENTRENARSE PARA TENER RESULTADO - MANAGER</t>
  </si>
  <si>
    <t>CONFIRMÓ CAMILA - Entrenarse en ser autentica</t>
  </si>
  <si>
    <t>LIANA  ELSA CASTRO PIETRO GONZALES</t>
  </si>
  <si>
    <t>PATRICIA RIOS ROSSELL</t>
  </si>
  <si>
    <t>POR SALUD</t>
  </si>
  <si>
    <t xml:space="preserve">COMPROMISO FAMILIAR </t>
  </si>
  <si>
    <t>ENTRENARSE EN COMPROMISO</t>
  </si>
  <si>
    <t xml:space="preserve">QUE SE TOMARA UN TIEMPO FUERA DEL ENTRENAMIENTO </t>
  </si>
  <si>
    <t>SER SU PALABRA - AMOROSA (RELACION HERMANOS)</t>
  </si>
  <si>
    <t xml:space="preserve">REYNA JARAMILLO </t>
  </si>
  <si>
    <t xml:space="preserve">LIMBER ELOY QUISPE </t>
  </si>
  <si>
    <t>VIAJA A CONVENCION POR SU EMPRENDIMIENTO</t>
  </si>
  <si>
    <t>TRABAJO Y ESTUDIO</t>
  </si>
  <si>
    <t xml:space="preserve">HELAR MUGURUZA </t>
  </si>
  <si>
    <t>ESTA FUERA DE LIMA PARA ESAS FECHAS</t>
  </si>
  <si>
    <t>VIAJA A BRASIL</t>
  </si>
  <si>
    <t xml:space="preserve">BRYAN RODNEY LÓPEZ </t>
  </si>
  <si>
    <t>TRABAJO SIN SEÑAL</t>
  </si>
  <si>
    <t>SER CREADORA Y PODER</t>
  </si>
  <si>
    <t xml:space="preserve">VIAJE ICA </t>
  </si>
  <si>
    <t>ENTRENARSE EN SER FUENTE - MANAGER</t>
  </si>
  <si>
    <t>NO LIJE ENTRENARSE POR AHORA MUY RECIENTE LA MUERTE DE SU MAMA</t>
  </si>
  <si>
    <t>VIAJE DE TRABAJO</t>
  </si>
  <si>
    <t>CONFIRMÓ CAMILA</t>
  </si>
  <si>
    <t>CUSCO - TRABAJO (FINES DE AÑO - DICIEMBRE)</t>
  </si>
  <si>
    <t>VIAJE FI - E22</t>
  </si>
  <si>
    <t xml:space="preserve">JHEN PONCE </t>
  </si>
  <si>
    <t>ENTRENARSE EN SER AUTENTICA - MANAGER (CONFIRMADO POR CAMILA)</t>
  </si>
  <si>
    <t>ESTA RA EN UNA FERIA EN CUZCO PARA ESAS FECHAS</t>
  </si>
  <si>
    <t>SE LE CRUZA CON VIAJES</t>
  </si>
  <si>
    <t>DUALIADAD ENTRE EL ENTRENAMIENTO EN ECU Y EL ENTRENAMIENTO COMO ALIADOS</t>
  </si>
  <si>
    <t>E21 - Vieje de trabajo</t>
  </si>
  <si>
    <t>ESTA GESTIONANDO PERMISO EN EL TRABAJO (CONFIRMÓ)</t>
  </si>
  <si>
    <t>SER PALABRA, CREADOR (CONFIRMÓ CAPITANA)</t>
  </si>
  <si>
    <t xml:space="preserve">VIAJE FAMILIAR </t>
  </si>
  <si>
    <t xml:space="preserve">AUTENTICIDAD </t>
  </si>
  <si>
    <t>ENTRENARTE EN COMPROMISO</t>
  </si>
  <si>
    <t>COMPROMISO</t>
  </si>
  <si>
    <t>KRISTIAN DELGADO</t>
  </si>
  <si>
    <t>POSTURA DE CREADOR</t>
  </si>
  <si>
    <t xml:space="preserve">LUIS HERNANDEZ </t>
  </si>
  <si>
    <t xml:space="preserve">ENTRENARSE EN SER ESCUCHA PODEROSA - ENERGÍA </t>
  </si>
  <si>
    <t>SE ENCUENTRA DE VIAJE HASTA FIN DE MES - ALIADA PARA EL SIGUIENTE CAP22</t>
  </si>
  <si>
    <t xml:space="preserve">POR AHORA ENFOCADA A APERTURAR SU NEGOCIO </t>
  </si>
  <si>
    <t>HORARIOS TRABAJO</t>
  </si>
  <si>
    <t xml:space="preserve">TERAPIAS DE SALUD </t>
  </si>
  <si>
    <t>E21 - OPERADO DE LA VISTA</t>
  </si>
  <si>
    <t>ABUNDANCIA - VALENTIA - ÉXITO Y AMOR</t>
  </si>
  <si>
    <t>RAUL CHAVEZ INCHE</t>
  </si>
  <si>
    <t>ENTRENARSE EN SER ABUNDANTE - MANAGER (CONFIRMADO POR CAMILA)</t>
  </si>
  <si>
    <t>TEMAS SALUD</t>
  </si>
  <si>
    <t>QUIERO ENTRENARSE EN SU VIDA</t>
  </si>
  <si>
    <t>ZELMI ALCANTARA</t>
  </si>
  <si>
    <t>&lt;</t>
  </si>
  <si>
    <t>LUIS HERNANDEZ</t>
  </si>
  <si>
    <t>CONFIRMÓ ISABEL- Entrenar en gratitud con todo</t>
  </si>
  <si>
    <t>ok</t>
  </si>
  <si>
    <t>CONFIRMÓ ISABEL - Confirma el jueves / INTERVENCION QUIRURGICA</t>
  </si>
  <si>
    <t xml:space="preserve">DIANA MOSCOSO </t>
  </si>
  <si>
    <t>SER AUTENTICA -  QUE LAS PERSONAS SE ENAMOREN DE ELLOS MISMOS Y SUS SUEÑOS</t>
  </si>
  <si>
    <t>CONFIRMÓ ISABEL - Se quiere entrenar en divertirse sin mucho analisis</t>
  </si>
  <si>
    <t>CONFIRMÓ ISABEL - PARTICIPAR EN GRATITUD (MUDANZA FAMILIA A LIMA)</t>
  </si>
  <si>
    <t>CONFIRMÓ ISABEL - Alterar mis relaciones a que sean extraordinarias, requiero conectar con las personas. (Llamar a Linid)</t>
  </si>
  <si>
    <t>SALUD</t>
  </si>
  <si>
    <t>VIAJE ENERO HIJA - BRASIL</t>
  </si>
  <si>
    <t>PRUEBA QT</t>
  </si>
  <si>
    <t>CONFIRMÓ ISABEL - Entrenar en tenerlo todo y ser entrenador de potencial humano</t>
  </si>
  <si>
    <t>NR</t>
  </si>
  <si>
    <t xml:space="preserve">CONFIRMÓ ISABEL / </t>
  </si>
  <si>
    <t>NO CONTESTA LLAMADA</t>
  </si>
  <si>
    <t>CONFIRMÓ ISABEL</t>
  </si>
  <si>
    <t>mensaje</t>
  </si>
  <si>
    <t>RHANIA UNTIVEROS</t>
  </si>
  <si>
    <t xml:space="preserve">CONFIRMÓ ISABEL / Ser una mujer abundante </t>
  </si>
  <si>
    <t>E25 - MANAGER</t>
  </si>
  <si>
    <t>SER IMPACTO</t>
  </si>
  <si>
    <t xml:space="preserve">CONFIRMÓ ISABEL -  </t>
  </si>
  <si>
    <t>no</t>
  </si>
  <si>
    <t>MESA DE ENROLLAMIENTO</t>
  </si>
  <si>
    <t>CONFIRMÓ ISABEL - Entrenarse en dejar de procastinar y tener mas liderazgo en mis proyectos</t>
  </si>
  <si>
    <t>VOLVER A LLAMAR</t>
  </si>
  <si>
    <t xml:space="preserve"> E26</t>
  </si>
  <si>
    <t>Ser fuente de inspiración para otros como aliado desde la evidencia que ha creado.</t>
  </si>
  <si>
    <t>MANAGER E23</t>
  </si>
  <si>
    <t>GABRIELA ÑAUPARI</t>
  </si>
  <si>
    <t>CONFIRMÓ ISABEL - PARARSE EN COMPROMISO Y EN CREAR RELACIONES EXTRAORDINARIAS</t>
  </si>
  <si>
    <t xml:space="preserve">CONFIRMÓ ISABEL / MANAGER / generar 3k de ganancia en venta de accesorios </t>
  </si>
  <si>
    <t>CONFIRMO ISABEL - Llevar sus marcas de emprendimiento a otro nivel para ser independiente</t>
  </si>
  <si>
    <t>MARINA ROJAS</t>
  </si>
  <si>
    <t>CONFIRMÓ ISABEL / APASIONADA</t>
  </si>
  <si>
    <t>Ser conferencista</t>
  </si>
  <si>
    <t>PATRICIA CRUZADO</t>
  </si>
  <si>
    <t xml:space="preserve">CONFIRMÓ ISABEL/ manager / que su negocio funcione sin ella dirigirlo </t>
  </si>
  <si>
    <t>EVADE LLAMADAS</t>
  </si>
  <si>
    <t>Aliada E25</t>
  </si>
  <si>
    <t>TRABAJO FUERA DE LIMA - LORETO / E25 (DESCANSA FEBRERO DEL 18 - 25 )</t>
  </si>
  <si>
    <t>KATHY LILIBET QUISPE ARENAS</t>
  </si>
  <si>
    <t>MESA DE ENROLLAMIENTO E24 VIERNES</t>
  </si>
  <si>
    <t>CONFIRMÓ ISABEL / MANAGER</t>
  </si>
  <si>
    <t>ok - sin camara</t>
  </si>
  <si>
    <t>E25 ALIADA</t>
  </si>
  <si>
    <t>VOLVER A LLAMAR A LAS 18H15</t>
  </si>
  <si>
    <t xml:space="preserve">TRABAJO / GESTIONANDO </t>
  </si>
  <si>
    <t xml:space="preserve">MV para ir de servicio </t>
  </si>
  <si>
    <t>FERNANDO LOPEZ MELO</t>
  </si>
  <si>
    <t>COMPROMETIDO PARA ALIADO EN ENERO</t>
  </si>
  <si>
    <t>VIAJE POR 6 MESES</t>
  </si>
  <si>
    <t xml:space="preserve">E25 </t>
  </si>
  <si>
    <t>YENNY FLORES TIPISMANA</t>
  </si>
  <si>
    <t>CONFIRMÓ ISABEL - Entrenarme en esas relaciones con los míos.</t>
  </si>
  <si>
    <t>INICIA CLASES DISEÑO DE MODA</t>
  </si>
  <si>
    <t>Seguir creando y alterando mi contexto de alto rendiemiento para tener resutlados que quiero en mi vida</t>
  </si>
  <si>
    <t>FUERA DE LIMA / SALUD FAMILIAR/ TELEFONO SIN SEÑAL</t>
  </si>
  <si>
    <t>NO PUEDE POR TEMAS DE SALUD BRAZO - SIGUE EN TRATAMIENTO</t>
  </si>
  <si>
    <t xml:space="preserve">CONFIRMÓ ISABEL / AMOROSO </t>
  </si>
  <si>
    <t>E24 ENERO COMPROMISO!</t>
  </si>
  <si>
    <t>SE DEJO MENSAJE</t>
  </si>
  <si>
    <t>VIVIR EN EL PRESENTE - GESTIONAR EL CONTROL (NO RESISTIÓ)</t>
  </si>
  <si>
    <t>SER ABUNDANCIA</t>
  </si>
  <si>
    <t>SE SUMA AL E25 A LO QUE REGRESE DE SU VIAJE</t>
  </si>
  <si>
    <t>Indico devolver llamada y ya no contesta</t>
  </si>
  <si>
    <t>CONFIRMÓ ISABEL - Confirma el viernes</t>
  </si>
  <si>
    <t>CONFIRMÓ ISABEL - Entrenarse en ser energía para sus gente.</t>
  </si>
  <si>
    <t xml:space="preserve">CONFIRMÓ ISABEL - SER INSPIRACIÓN , AMOR, </t>
  </si>
  <si>
    <t>E23 - Apoyo como mesa en CAP1</t>
  </si>
  <si>
    <t xml:space="preserve">CONFIRMÓ ISABEL / ARRIESGADA / MANAGER </t>
  </si>
  <si>
    <t>GINA CARDENAS FLORES</t>
  </si>
  <si>
    <t>CONFIRMÓ ISABEL -  MANAGER - SER ENTRENADORA DE POTENCIAL HUMANO 2026</t>
  </si>
  <si>
    <t>MESA DE ENROLLAMIENTO E24 VIERNES-SABADO-DOMINGO</t>
  </si>
  <si>
    <t>Para el siguiente - quiere ser entrenador E24</t>
  </si>
  <si>
    <t xml:space="preserve">Generar 50K mensual </t>
  </si>
  <si>
    <t>CONFIRMÓ ISABEL - QUIERE ALTERAR SER MAS DISCIPLINADO CON SU HABITOS Y COMPROMISO CONSIGO MISMO</t>
  </si>
  <si>
    <t>CONFIRMÓ ISABEL - PODER , INSPIRAR</t>
  </si>
  <si>
    <t>TIENE UN EVENTO PERSONAL QUE NO PUEDE CAMBIAR FECHA.</t>
  </si>
  <si>
    <t>DICIEMBRE</t>
  </si>
  <si>
    <t xml:space="preserve">TRABAJO </t>
  </si>
  <si>
    <t xml:space="preserve">MANAGER </t>
  </si>
  <si>
    <t>apagado</t>
  </si>
  <si>
    <t>TRABAJO FUERA DE LIMA</t>
  </si>
  <si>
    <t xml:space="preserve">JOYCE </t>
  </si>
  <si>
    <t>APOYARA EN MESA VIERNES Y SABADO CAP1</t>
  </si>
  <si>
    <t>temas de salud</t>
  </si>
  <si>
    <t xml:space="preserve">VIAJE </t>
  </si>
  <si>
    <t>JIMENA PLASENCIA</t>
  </si>
  <si>
    <t>FUERA DE LIMA / SALUD FAMILIAR</t>
  </si>
  <si>
    <t xml:space="preserve">MESA DOMINGO </t>
  </si>
  <si>
    <t>A partir de Enero</t>
  </si>
  <si>
    <t>cuelga</t>
  </si>
  <si>
    <t>VIAJE COLOMBIA FI</t>
  </si>
  <si>
    <t>RAUL CAHVEZ INCHE</t>
  </si>
  <si>
    <t>trabajo, no la escucho queriendo participar</t>
  </si>
  <si>
    <t>Se ha habilitado una nueva oportunidad para ti:</t>
  </si>
  <si>
    <t xml:space="preserve"> E24 </t>
  </si>
  <si>
    <t>🗓 Fechas: 28, 29 y 30 de Noviembre</t>
  </si>
  <si>
    <t>ENERO</t>
  </si>
  <si>
    <t>ALIADA  EQUIPO 23</t>
  </si>
  <si>
    <t>Númeto sin servicio</t>
  </si>
  <si>
    <t>Si estás interesado en participar, solo responde a este mensaje con:</t>
  </si>
  <si>
    <t>Sí asistiré</t>
  </si>
  <si>
    <t>CORTA LLAMADA - gareth</t>
  </si>
  <si>
    <t>¡Será un gusto tenerte con nosotros! 💛</t>
  </si>
  <si>
    <t>se encuentra cudiado a su papá hospitalziado - siguiente E23</t>
  </si>
  <si>
    <t>SIN SERVICIO</t>
  </si>
  <si>
    <t>FUERA DE LIMA / SALUD</t>
  </si>
  <si>
    <t>ALIADA 23</t>
  </si>
  <si>
    <t>Se enviar mensaje porque no responde</t>
  </si>
  <si>
    <t>ALIADO 23</t>
  </si>
  <si>
    <t>CORTA LLAMADA</t>
  </si>
  <si>
    <t xml:space="preserve">Tema de salud - operación </t>
  </si>
  <si>
    <t xml:space="preserve">Para el siguiente - viaja a Chimbote a la mina </t>
  </si>
  <si>
    <t>ALIADO 24</t>
  </si>
  <si>
    <t>NO PUEDE POR TEMAS DE SALUD BRAZO - ENERO</t>
  </si>
  <si>
    <t>CRISTINA MARTINEZ PUENTE</t>
  </si>
  <si>
    <t>CONTESTA HIJA</t>
  </si>
  <si>
    <t>PROMOCION DE SU HIJA</t>
  </si>
  <si>
    <t xml:space="preserve">E23 - SE QUIERE ENTRENAR PARA CONECTAR CON TRANFORMACION RECOMENDADA DE LEYLA Y ANEL </t>
  </si>
  <si>
    <t xml:space="preserve">STEPHANIE OTRERA </t>
  </si>
  <si>
    <t xml:space="preserve"> Joselyn Alexandra Tapullima Cordova</t>
  </si>
  <si>
    <t>CAPITANA</t>
  </si>
  <si>
    <t>CONFIRMÓ A JUANMA</t>
  </si>
  <si>
    <t>Estudio- Cap 18</t>
  </si>
  <si>
    <t>TEMAS LABORALES</t>
  </si>
  <si>
    <t>JEAN  NUÑEZ</t>
  </si>
  <si>
    <t xml:space="preserve">EXTERNO </t>
  </si>
  <si>
    <t>CUSCO</t>
  </si>
  <si>
    <t xml:space="preserve">SER PALABRA, CREADOR </t>
  </si>
  <si>
    <t>PODER</t>
  </si>
  <si>
    <t>PARA QUE …</t>
  </si>
  <si>
    <t>SER ENERGIA</t>
  </si>
  <si>
    <t xml:space="preserve">ROBERTO </t>
  </si>
  <si>
    <t xml:space="preserve">PAUL GAMARRA </t>
  </si>
  <si>
    <t>Clases - Cap 18</t>
  </si>
  <si>
    <t>EMPODERAMIENTO</t>
  </si>
  <si>
    <t xml:space="preserve">para ser comprometida , PARA QUE pendinte </t>
  </si>
  <si>
    <t xml:space="preserve">RETOS LABORALES </t>
  </si>
  <si>
    <t>TERESA</t>
  </si>
  <si>
    <t xml:space="preserve">ROBERTO  CONDEZO </t>
  </si>
  <si>
    <t>VIVIANA ALCANTARA MAURTUA</t>
  </si>
  <si>
    <t xml:space="preserve">Viaje </t>
  </si>
  <si>
    <t>UNIVERSIDAD</t>
  </si>
  <si>
    <t>JUAN MANUEL NAVARRO GRANDA</t>
  </si>
  <si>
    <t xml:space="preserve">CAPITAN </t>
  </si>
  <si>
    <t>LUIS HERNANDEZ MENDOZA</t>
  </si>
  <si>
    <t>PIERO PORTAL</t>
  </si>
  <si>
    <t>ANGELLA BOLLET GOMEZ</t>
  </si>
  <si>
    <t xml:space="preserve">LEYLA </t>
  </si>
  <si>
    <t>CAMILA LEON MORE</t>
  </si>
  <si>
    <t>MARCO</t>
  </si>
  <si>
    <t>DIEGO BARBIERI</t>
  </si>
  <si>
    <t>MARIA CARRASCO LLATAS</t>
  </si>
  <si>
    <t>DICE WUE LE CONFIRMO A JUANMA EN VUELOS</t>
  </si>
  <si>
    <t>SE ENTRENA EN SU LIDERAZGO</t>
  </si>
  <si>
    <t>VACACIONES (ENTRE MAYO - JULIO)</t>
  </si>
  <si>
    <t>CLASES (DESPUES DE AGOSTO)</t>
  </si>
  <si>
    <t>LABORAL</t>
  </si>
  <si>
    <t>TRABAJO FUERA DELIMA</t>
  </si>
  <si>
    <t>VIAJE POR FI (EQUIPO 19)</t>
  </si>
  <si>
    <t>CLASES (PUEDE A PARTIR DE JULIO)</t>
  </si>
  <si>
    <t>APOYOS</t>
  </si>
  <si>
    <t>EQUIPO</t>
  </si>
  <si>
    <t>JUEVES 11 am a 230 pm</t>
  </si>
  <si>
    <t>VIERNES 8:30 am a 2 pm</t>
  </si>
  <si>
    <t>GARETH SAID RAMOS PÉREZ</t>
  </si>
  <si>
    <t>GUSTAVO PAUL GAMARRA</t>
  </si>
  <si>
    <t>DANIEL ADOLFO CÁRDENAS RIOS</t>
  </si>
  <si>
    <t>MIRIAM MENDOZA PILCO</t>
  </si>
  <si>
    <t>FIDEL TANGO</t>
  </si>
  <si>
    <t>DENVER</t>
  </si>
  <si>
    <t>JENNY ESPINEL</t>
  </si>
  <si>
    <t>TONNY GUTIERREZ</t>
  </si>
  <si>
    <t>ROSE</t>
  </si>
  <si>
    <t xml:space="preserve">ELVIS CUELLAR </t>
  </si>
  <si>
    <t>SITUACIÓN PERSONAL</t>
  </si>
  <si>
    <t>JORGE</t>
  </si>
  <si>
    <t>ZARA CASTILLO LEON</t>
  </si>
  <si>
    <t>LIDIA TRUJILLO GUTIERREZ</t>
  </si>
  <si>
    <t>ROBERTO  CONDEZO</t>
  </si>
  <si>
    <t>MANUEL</t>
  </si>
  <si>
    <t>LUISA PEREZ CHINCHAY</t>
  </si>
  <si>
    <t>CRISTINA MARTINEZ</t>
  </si>
  <si>
    <t>2019 CP</t>
  </si>
  <si>
    <t>ECUADOR</t>
  </si>
  <si>
    <t>Mayo</t>
  </si>
  <si>
    <t xml:space="preserve">MANUEL </t>
  </si>
  <si>
    <t xml:space="preserve">POR AHORA ELIJE NO ENTRENARSE </t>
  </si>
  <si>
    <t>ESTARÁ DE VIAJE TODO EL MES. PUEDE APOYAR EN MESA. SE ENTRENA EN LA SIGUIENTE.</t>
  </si>
  <si>
    <t>JULIO</t>
  </si>
  <si>
    <t>A PARTIR DE AGOSTO</t>
  </si>
  <si>
    <t>CLASES TRABAJO</t>
  </si>
  <si>
    <t xml:space="preserve">ÉSTA FUERA DE LIMA </t>
  </si>
  <si>
    <t>EL NUMERO DEL DIRECTORIO NO CONTESTA</t>
  </si>
  <si>
    <t>ALEJANDRO ARBOLEDA</t>
  </si>
  <si>
    <t>70 QUITO</t>
  </si>
  <si>
    <t xml:space="preserve">NO LLAMAR </t>
  </si>
  <si>
    <t>ROS</t>
  </si>
  <si>
    <t>ENFOCADA EN SUS PROYECTOS PERSONALES</t>
  </si>
  <si>
    <t>Para el siguiente - quiere ser entrenador E23</t>
  </si>
  <si>
    <t>Trabajo</t>
  </si>
  <si>
    <t>númeto sin servicio</t>
  </si>
  <si>
    <t>CONFIRMO A ROUS</t>
  </si>
  <si>
    <t>Tema de salud - operación // siguiente</t>
  </si>
  <si>
    <t>C2</t>
  </si>
  <si>
    <t>A partir de diciembre</t>
  </si>
  <si>
    <t>Telefono apagado</t>
  </si>
  <si>
    <t>CONFRIMO A ROUS (Grupo con la capitana - No equipo de creación sola)</t>
  </si>
  <si>
    <t>CONFRIMO A ROUS</t>
  </si>
  <si>
    <t>CONFIRMO A ROUS - MANAGER</t>
  </si>
  <si>
    <t>CONFIRMO A ROUS (Grupo con Anel- no equipo de creación solo)</t>
  </si>
  <si>
    <t>SIG NOVIEMBRE</t>
  </si>
  <si>
    <t>EVELIN FLORES</t>
  </si>
  <si>
    <t>OC</t>
  </si>
  <si>
    <t xml:space="preserve">ROXANA BORJAS </t>
  </si>
  <si>
    <t>(Grupo con Raúl - No equipo de creación sola)</t>
  </si>
  <si>
    <t xml:space="preserve">LUZ CHIPANA </t>
  </si>
  <si>
    <t>cap 1</t>
  </si>
  <si>
    <t>RESP2</t>
  </si>
  <si>
    <t>ZULEY</t>
  </si>
  <si>
    <t>SIGUIENTE</t>
  </si>
  <si>
    <t>LLAMAR  18:40</t>
  </si>
  <si>
    <t>CONFIRMA DIANA - ENTRENARSE EN DISFRUTAR</t>
  </si>
  <si>
    <t>confirmar antes de las 2</t>
  </si>
  <si>
    <t xml:space="preserve">- </t>
  </si>
  <si>
    <t>E27 ALIADO - LLAMARLO CAPI</t>
  </si>
  <si>
    <t>LLAMARLA</t>
  </si>
  <si>
    <t>FUERA DE PERÚ</t>
  </si>
  <si>
    <t>LLAMAR 13:45</t>
  </si>
  <si>
    <t>POR INVITARLA</t>
  </si>
  <si>
    <t>HOY CONFIRMA</t>
  </si>
  <si>
    <t>VIAJE, SIGUIENTE E-27</t>
  </si>
  <si>
    <t>E26 - Se quiere entrenar</t>
  </si>
  <si>
    <t>ENTRENARSE EN RELACIONARSE Y TENERLO TODO.</t>
  </si>
  <si>
    <t>POSTERIORMENTE</t>
  </si>
  <si>
    <t>ABRIR POSIBILIDADES - ENTRENARTE LIDER</t>
  </si>
  <si>
    <t>POR CONFIRMAR CON CAPI</t>
  </si>
  <si>
    <t>PIERO</t>
  </si>
  <si>
    <t xml:space="preserve">CODIGO DE VESTIMENTA PARA LOS APOYOS SIEMPRE NEGRO FORMAL </t>
  </si>
  <si>
    <t>OBS</t>
  </si>
  <si>
    <t>N°</t>
  </si>
  <si>
    <t>RESP</t>
  </si>
  <si>
    <t>VIERNES 8 AM  - 1PM</t>
  </si>
  <si>
    <t>SÁBADO 830 AM - 12PM</t>
  </si>
  <si>
    <t>SÁBADO 5 PM  -  8 PM</t>
  </si>
  <si>
    <t>DOMINGO 8:30 AM - 11 AM</t>
  </si>
  <si>
    <t>DOMINGO 6PM  - 8 PM</t>
  </si>
  <si>
    <t>CARMEN PEREZ CHINCHAY</t>
  </si>
  <si>
    <t>ALIADO</t>
  </si>
  <si>
    <t xml:space="preserve">JIMENA PLASENCIA </t>
  </si>
  <si>
    <t xml:space="preserve">LEISI MEDINA </t>
  </si>
  <si>
    <t xml:space="preserve">JUAN ALVARO RAMIREZ HUALPA </t>
  </si>
  <si>
    <t>ELIMINAR</t>
  </si>
  <si>
    <t>AARON ALBERTO URIARTE CACHAY</t>
  </si>
  <si>
    <t>MURILLO BONETT ROXANA</t>
  </si>
  <si>
    <t>LOPEZ ZAPANA LOURDES</t>
  </si>
  <si>
    <t>MOSCOSO RIOS GUILLERMO</t>
  </si>
  <si>
    <t>RODRIGUEZ LA RIVA DAVID JESUS</t>
  </si>
  <si>
    <t>LóPEZ LóPEZ BRIGITTE FERNANDA</t>
  </si>
  <si>
    <t>RAMIREZ HUALPA MARIO WILFREDO</t>
  </si>
  <si>
    <t>MONTANO MIRANDA ARISKELA</t>
  </si>
  <si>
    <t>NOLASCO ESTELA SERGIO</t>
  </si>
  <si>
    <t>BANEZ LAURANTE YENI</t>
  </si>
  <si>
    <t>CASTILLO RIOS PAMELA CYNTHIA</t>
  </si>
  <si>
    <t>JOLLY VERA GREZIA MARIA</t>
  </si>
  <si>
    <t>MIRANDA CALSIN DORIS</t>
  </si>
  <si>
    <t>ROJAS RIMAC LIDA HILARIA</t>
  </si>
  <si>
    <t>SOSAYA JIMENEZ ARIANA XIMENA</t>
  </si>
  <si>
    <t>VARGAS ENRIQUEZ JOLBER</t>
  </si>
  <si>
    <t>ARAUJO TANGOA BERTHA LUZ</t>
  </si>
  <si>
    <t>CASTANEDA PONCE DE LEON JENNIFER ALYSSON</t>
  </si>
  <si>
    <t>GAMARRA GANOZA GUSTAVO PAUL</t>
  </si>
  <si>
    <t>MENDOZA PAREDES EDGAR AMERICO</t>
  </si>
  <si>
    <t>PORTOCARRERO PEREA KARIN</t>
  </si>
  <si>
    <t>SANTA CRUZ BUENDIA YIENY</t>
  </si>
  <si>
    <t>VALENCIA CCOSCCO YOLANDA</t>
  </si>
  <si>
    <t>APONTE PEREZ CHARO YANETH</t>
  </si>
  <si>
    <t>BUENDIA MUNOZ GIULIANA EDITH</t>
  </si>
  <si>
    <t>FLORES TIPISMANA RUFINO</t>
  </si>
  <si>
    <t>MAGALLANES TASAYCO ESTEFANY LIZET</t>
  </si>
  <si>
    <t>OLARTE BARRIENTOS MARIA</t>
  </si>
  <si>
    <t>SANGAY SALVATIERRA BRIAN STEVE</t>
  </si>
  <si>
    <t>VALDIVIA VILLEGAS VICTORIA DEL MILAGRO</t>
  </si>
  <si>
    <t>SURCO CORIMAYA JOSE MANUEL</t>
  </si>
  <si>
    <t>VANNIA STHEF MITAC ESCALANTE</t>
  </si>
  <si>
    <t xml:space="preserve">MARCOS ORLANDO TORRES ALARCON </t>
  </si>
  <si>
    <t xml:space="preserve">CORNELIO NOLASCO ESTELA </t>
  </si>
  <si>
    <t xml:space="preserve">GERALDINE ANDREINA QUISPE ARENAS </t>
  </si>
  <si>
    <t xml:space="preserve">JESUS ELIZABETH BALTAZAT ANGELES </t>
  </si>
  <si>
    <t xml:space="preserve">FRANCISCO JAVIER CHENGUATEN ROOSPIGLIOSI </t>
  </si>
  <si>
    <t xml:space="preserve">VERONICA REGINA CONTRERAS FLORES </t>
  </si>
  <si>
    <t xml:space="preserve">ARIANA JANICE DE LA CRUZ GARCIA </t>
  </si>
  <si>
    <t xml:space="preserve">CRISTIAN MIJAIL CASTILLO GONZALES </t>
  </si>
  <si>
    <t xml:space="preserve">YARISMAR ANDREINA NAVARRO PALMA </t>
  </si>
  <si>
    <t>MARTIN VICENTE ESPINOZA CHAVEZ</t>
  </si>
  <si>
    <t xml:space="preserve">EDITH SILVIA ESPINOZA SURICHAQUI </t>
  </si>
  <si>
    <t>ROSMERY LISBETH VELASQUEZ CONDORI</t>
  </si>
  <si>
    <t xml:space="preserve">NASHA MERCEDES GUTIERREZ CALERO </t>
  </si>
  <si>
    <t xml:space="preserve">CLAUDIA ALEJANDRA BERNAL VILLAR </t>
  </si>
  <si>
    <t>LUIS FELIBERTO PALOMINO</t>
  </si>
  <si>
    <t xml:space="preserve">NAYELLY YOVANA NAIRA TAIRO </t>
  </si>
  <si>
    <t xml:space="preserve">JOSE LUIS JHONATAN MAMANI LOPEZ </t>
  </si>
  <si>
    <t xml:space="preserve">SANDRA ISABEL MENDOZA SORIA </t>
  </si>
  <si>
    <t xml:space="preserve">FAUSTINO ALARCON QUICAÑO </t>
  </si>
  <si>
    <t xml:space="preserve">RUTH YESLY PILCO LAURA </t>
  </si>
  <si>
    <t>JANE ROSALIND PONCE DE LEÓN PINO</t>
  </si>
  <si>
    <t>CELEDONIO RIOS MARJORIE ZULAY</t>
  </si>
  <si>
    <t>ARRIETA BERMUDO IDA</t>
  </si>
  <si>
    <t>CORREA OLAYA EUFEMIA ISABEL</t>
  </si>
  <si>
    <t>OTRERA CACNAHUARAY GERALDINE STEPHANIE</t>
  </si>
  <si>
    <t>FLORES TIPISMANA YENNY PAOLA</t>
  </si>
  <si>
    <t>RAMOS RAMOS WILFREDO JAIME</t>
  </si>
  <si>
    <t>TANG ALMEIDA ANA ESTHER</t>
  </si>
  <si>
    <t>ALBORNOZ LEON BARMER FERNANDO</t>
  </si>
  <si>
    <t>HERNANDEZ MENDOZA LUIS ALBERTO</t>
  </si>
  <si>
    <t>ALTAMIRANO LLANTOY LELY MELUSA</t>
  </si>
  <si>
    <t>CáRDENAS TERREROS ANA CARINA</t>
  </si>
  <si>
    <t>ANDRADE TANG ANITA BELEN</t>
  </si>
  <si>
    <t>CALLE GUIZADO NAYSHA ESCARLETH</t>
  </si>
  <si>
    <t>URTEAGA SILVA OTTY ZULEY</t>
  </si>
  <si>
    <t>PENAFIEL MANCHEGO ERICK VLADIMIR</t>
  </si>
  <si>
    <t>CHIPANA LLACCHUA ROSA</t>
  </si>
  <si>
    <t>MORALES IBACETA DORIS INES</t>
  </si>
  <si>
    <t>CASTILLO GONZALES HOLLY STEPHANY</t>
  </si>
  <si>
    <t>META</t>
  </si>
  <si>
    <t>TOTAL</t>
  </si>
  <si>
    <t>TOTAL MESAS</t>
  </si>
  <si>
    <t>CANTIDAD</t>
  </si>
  <si>
    <t>SABADO 830 AM - 12PM</t>
  </si>
  <si>
    <t>SABADO 5 PM - 8PM</t>
  </si>
  <si>
    <t>DOMINGO 830 AM - 11 AM</t>
  </si>
  <si>
    <t>DOMINGO 430 PM  - 8 PM</t>
  </si>
  <si>
    <t>HORARIO</t>
  </si>
  <si>
    <t>STEPHA</t>
  </si>
  <si>
    <t>PATTY</t>
  </si>
  <si>
    <t>ISA</t>
  </si>
  <si>
    <t>LELY</t>
  </si>
  <si>
    <t>JOY</t>
  </si>
  <si>
    <t>ABANTO RIOS LUZ ISABEL</t>
  </si>
  <si>
    <t>LEY</t>
  </si>
  <si>
    <t>LUIS</t>
  </si>
  <si>
    <t>AFUERA DE MESA</t>
  </si>
  <si>
    <t>Ana Gabriela Ramos Ramos</t>
  </si>
  <si>
    <t>ZU</t>
  </si>
  <si>
    <t>DM</t>
  </si>
  <si>
    <t>CARRASCO CHAFLOQUE ERIKA</t>
  </si>
  <si>
    <t>CASTILLO PAREDEZ ViCTOR VICENTE</t>
  </si>
  <si>
    <t>CCARHUAS CHIPANA MARIBEL</t>
  </si>
  <si>
    <t>CHIPANA LLACCHUA SIXTO</t>
  </si>
  <si>
    <t>CORAL TULUMBA YSIDORA</t>
  </si>
  <si>
    <t>Diego Wladimith Romero</t>
  </si>
  <si>
    <t>DUQUE MAYO YENITSE DEL VALLE</t>
  </si>
  <si>
    <t>Erika Carrasco Chafloque</t>
  </si>
  <si>
    <t>ESPIRITU MOSQUERA JORGE</t>
  </si>
  <si>
    <t>FLORES MONDALUISA MARiA ANTONIETA</t>
  </si>
  <si>
    <t>Gimi Junyhor Castillo Paredes</t>
  </si>
  <si>
    <t>CAPITAN DE MESA</t>
  </si>
  <si>
    <t>Lizbeth Geraldine Jara Chavarria</t>
  </si>
  <si>
    <t>MANTARI MUCHAYPInA BRENDA LUCIA</t>
  </si>
  <si>
    <t>Manuel Yakima Rivera</t>
  </si>
  <si>
    <t>MARQUEZ MARCOS CARLOS</t>
  </si>
  <si>
    <t>MECHAN TANG SUYMI JOANNET</t>
  </si>
  <si>
    <t>MINA CORDERO CARLA EDITH</t>
  </si>
  <si>
    <t>MORALES LAURENTE ISABEL FELICIANA</t>
  </si>
  <si>
    <t>NAHUI QUISPE KATHERIN VIVIANA</t>
  </si>
  <si>
    <t>Naysha Escarlet Calle Guizado</t>
  </si>
  <si>
    <t>PILCO CALIZAYA ViCTOR PAZ</t>
  </si>
  <si>
    <t>ROMaN NOMURA ITALO ALONSO</t>
  </si>
  <si>
    <t>Rosmery De Paz</t>
  </si>
  <si>
    <t>UNTEN AKIKO</t>
  </si>
  <si>
    <t>VALENTIN MARIANO AURELIO</t>
  </si>
  <si>
    <t>Vanessa Mauricio Laos</t>
  </si>
  <si>
    <t>Yesica Laura Sarmiento</t>
  </si>
  <si>
    <t>Yuger Ruth Villegas Nieto</t>
  </si>
  <si>
    <t>Total</t>
  </si>
  <si>
    <t>TOTAL Metas</t>
  </si>
  <si>
    <t>ALI E26</t>
  </si>
  <si>
    <t>CONFIRMO PARA EL VIERNES 16 - GARETH - SE VA A CAP2</t>
  </si>
  <si>
    <t>MESA DE ENROLLAMIENTO CAP2 SABADO</t>
  </si>
  <si>
    <t>CONFIRMA EL MIERCOLES 7 - JOYCE HIZO LLAMADA</t>
  </si>
  <si>
    <t>FUERA DE PERU</t>
  </si>
  <si>
    <t>ZULLY FUENTES PAUCAR</t>
  </si>
  <si>
    <t>PILCO CALIZAYA RICHARD</t>
  </si>
  <si>
    <t>FELIPE TRUJILLO MALLQUI</t>
  </si>
  <si>
    <t xml:space="preserve"> </t>
  </si>
  <si>
    <t xml:space="preserve">ANTHONY ALFREDO CASTAÑEDA PONCE DE LEON </t>
  </si>
  <si>
    <t>ALFREDO SAMUEL CASTAÑEDA</t>
  </si>
  <si>
    <t>MAGGIE LOURDES ESCOBAR CADILLO</t>
  </si>
  <si>
    <t>ALIADA E25</t>
  </si>
  <si>
    <t xml:space="preserve">JHOMIRA RAYZA SURCO CORIMAYA </t>
  </si>
  <si>
    <t>ARTURO DAVILA MANRIQUE</t>
  </si>
  <si>
    <t xml:space="preserve">ROBETH ALONSO GARCIA CUBAS </t>
  </si>
  <si>
    <t>LEYENDA</t>
  </si>
  <si>
    <t>Mesa de enrolamiento</t>
  </si>
  <si>
    <t>NO APLICA INVITACION</t>
  </si>
  <si>
    <t>JUEVES 11:00 AM - 3:00 PM</t>
  </si>
  <si>
    <t>VIERNES 7:30 - 2:00 pm</t>
  </si>
  <si>
    <t>SABADO 7:30 AM - 11:00 AM</t>
  </si>
  <si>
    <t>CONFIRMA ASISTENCIA</t>
  </si>
  <si>
    <t>LP</t>
  </si>
  <si>
    <t>JM</t>
  </si>
  <si>
    <t xml:space="preserve">PATRICIA LILIANA RÍOS ROSSELL	</t>
  </si>
  <si>
    <t>DE VIAJE</t>
  </si>
  <si>
    <t>LOPEZ LOPEZ FERNANDO ABEL</t>
  </si>
  <si>
    <t>MUNOZ URQUIAGA NICOLE BERTHA</t>
  </si>
  <si>
    <t>MARTINEZ TERREROS SOLANGE</t>
  </si>
  <si>
    <t>SaNCHEZ CASTRO TANIA AURORA</t>
  </si>
  <si>
    <t>MURO GAYOSO PERCY ANTONIO</t>
  </si>
  <si>
    <t>TIPISMANA PASACHE ALEJANDRINA PATRICIA</t>
  </si>
  <si>
    <t>HUAMaN ALVAREZ YISSEL</t>
  </si>
  <si>
    <t>NOLASCO CHIPANA NILDA NICOLE</t>
  </si>
  <si>
    <t>CHENGUAYEN ROSPIGLIOSI FRANCISCO JAVIER</t>
  </si>
  <si>
    <t>CASTILLO GONZALES CRISTIAN MIJAIL</t>
  </si>
  <si>
    <t>MITAC ESCALANTE VANNIA STEF</t>
  </si>
  <si>
    <t>NAVARRO PALMA YARISMAR ANDREiNA</t>
  </si>
  <si>
    <t>NOLASCO ESTELA CORNELIO</t>
  </si>
  <si>
    <t>BAUTISTA OCHOA KETTY DORIS</t>
  </si>
  <si>
    <t>VELaSQUEZ CONDORI ROSMERY LISBETH</t>
  </si>
  <si>
    <t>TORRES ALARCoN MARCOS ORLANDO</t>
  </si>
  <si>
    <t>AKIKO UNTEN</t>
  </si>
  <si>
    <t>HOLLY CASTILLO</t>
  </si>
  <si>
    <t>ANDRADE ANITA BELEN</t>
  </si>
  <si>
    <t>MAURICIO LAOS MARIA KATHERINE VANESSA</t>
  </si>
  <si>
    <t>Anita Belen</t>
  </si>
  <si>
    <t>Ariana Mlegar</t>
  </si>
  <si>
    <t>Axel Blas</t>
  </si>
  <si>
    <t>Betty Huanca</t>
  </si>
  <si>
    <t>Dalin</t>
  </si>
  <si>
    <t>Diego Wladimith</t>
  </si>
  <si>
    <t>Francia Ramirez</t>
  </si>
  <si>
    <t>Barmer</t>
  </si>
  <si>
    <t>Francisco Huaman (Manolo)</t>
  </si>
  <si>
    <t>Isabel Enriquez</t>
  </si>
  <si>
    <t>Jose Paico</t>
  </si>
  <si>
    <t>Juana Sifuentes</t>
  </si>
  <si>
    <t>Milagritos Montoya</t>
  </si>
  <si>
    <t>Ronald Huamani</t>
  </si>
  <si>
    <t>Rosa chipana</t>
  </si>
  <si>
    <t>Yuger Villegas</t>
  </si>
  <si>
    <t>CASTILLO PAREDEZ VICTOR VICENTE</t>
  </si>
  <si>
    <t>FLORES MONDALUISA MARIA ANTONIETA</t>
  </si>
  <si>
    <t>MANTARI MUCHAYPINA BRENDA LUCIA</t>
  </si>
  <si>
    <t>PALOMINO HUAHUACHAMPI UBALDINA</t>
  </si>
  <si>
    <t>PILCO CALIZAYA VICTOR PAZ</t>
  </si>
  <si>
    <t>ROMAN NOMURA ITALO ALONSO</t>
  </si>
  <si>
    <t>TORRES ANGULO PETTER MARCE</t>
  </si>
  <si>
    <t>Rosmery Ochoa Ferrer</t>
  </si>
  <si>
    <t>CONFIRMADOS</t>
  </si>
  <si>
    <t>GARCIA SANTA CRUZ JENNY</t>
  </si>
  <si>
    <t>CORIMAYA ACEITUNO DE SURCO REINALDA</t>
  </si>
  <si>
    <t>RAMIREZ HUALPA JUAN ALVARO</t>
  </si>
  <si>
    <t>SANTA CRUZ BUENDiA YIENY</t>
  </si>
  <si>
    <t>VARGAS ENRiQUEZ JOLBER</t>
  </si>
  <si>
    <t>GARCIA CUBAS ROBERTH ALONSO</t>
  </si>
  <si>
    <t>REFRIGERIOS</t>
  </si>
  <si>
    <t>JUEVES</t>
  </si>
  <si>
    <t>VIERNES</t>
  </si>
  <si>
    <t>SABADO</t>
  </si>
  <si>
    <t xml:space="preserve">SABADO 8:00 AM - 11:00 AM </t>
  </si>
  <si>
    <t>LEYLA PASQUEL</t>
  </si>
  <si>
    <t>ALIADA C25</t>
  </si>
  <si>
    <t>CONFIRMA PARTICIPACIÓN C2</t>
  </si>
  <si>
    <t>RAMIREZ HUALPA JUSTO GONZALO</t>
  </si>
  <si>
    <t>ALVARO ROJAS YAHAIRA MARINA</t>
  </si>
  <si>
    <t>QUISPE TRUJILLO LIMBER SANTIAGO</t>
  </si>
  <si>
    <t>VIERNES 8:30 - 2:00 pm</t>
  </si>
  <si>
    <t xml:space="preserve">SABADO 8:30 AM - 11:00 AM </t>
  </si>
  <si>
    <t>Gareth</t>
  </si>
  <si>
    <t>Kriscia</t>
  </si>
  <si>
    <t>Diana</t>
  </si>
  <si>
    <t>NOELIA COTRINA LABRIANO</t>
  </si>
  <si>
    <t>TUMIALAN ASCARZA NADIA</t>
  </si>
  <si>
    <t>MORALES VEGA JESSICA GUISELLE</t>
  </si>
  <si>
    <t>LILIANA CHU COELLO</t>
  </si>
  <si>
    <t>VANEZA RAMIREZ HUALPA</t>
  </si>
  <si>
    <t>JUSTO RAMIREZ HUALPA</t>
  </si>
  <si>
    <t>BRIGUITH LOPEZ LOPEZ</t>
  </si>
  <si>
    <t xml:space="preserve">DIANA RAMOS OROZCO </t>
  </si>
  <si>
    <t>GINA CARDENAS LOPEZ</t>
  </si>
  <si>
    <t>FABIO CANQUI</t>
  </si>
  <si>
    <t xml:space="preserve">ANTHONY VARGAS </t>
  </si>
  <si>
    <t>GISELLA HUAMAN</t>
  </si>
  <si>
    <t>CAROLINA MANRIQUE</t>
  </si>
  <si>
    <t xml:space="preserve">CODIGO DE VESTIMENTA PARA LOS APOYOS SIMPRE NEGRO FORMAL </t>
  </si>
  <si>
    <t>VIERNES 5PM  - 8 pm</t>
  </si>
  <si>
    <t xml:space="preserve">SABADO 830 AM - 11 AM </t>
  </si>
  <si>
    <t>SABADO 430 PM - 730PM</t>
  </si>
  <si>
    <t>KR</t>
  </si>
  <si>
    <t>PC</t>
  </si>
  <si>
    <t xml:space="preserve">CUMPLEAÑOS DEL HIJO </t>
  </si>
  <si>
    <t>IG</t>
  </si>
  <si>
    <t xml:space="preserve">ESTA REALIZANDO DOCUMENTACIONES DE SU COLEGIO QUE TIENE QUE PRESENTAR </t>
  </si>
  <si>
    <t xml:space="preserve">POR AHORA NO PUEDE </t>
  </si>
  <si>
    <t>TRABAJA Y TIENE UN VIAJE PROGRAMADO PARA ICA</t>
  </si>
  <si>
    <t>NO ESTA EN LIMA ESTA PRESTANDO SERVICIO SOCIAL EN IQUITOS Y LORETO REGRESA EN  3 MESES</t>
  </si>
  <si>
    <t>ESTA POR CONFIRMAR SABADO TARDE</t>
  </si>
  <si>
    <t xml:space="preserve">TRATAMIENTO DE LAS LUMBARES Y ESTA CON TODA SU FAMILIA </t>
  </si>
  <si>
    <t>SOLO PUEDE DOMINGO</t>
  </si>
  <si>
    <t>VA ESTAR EN PUNTA HERMOSA</t>
  </si>
  <si>
    <t>ESTARA DE NIÑERA</t>
  </si>
  <si>
    <t>2,3,4 MAYO</t>
  </si>
  <si>
    <t>DECLARACION</t>
  </si>
  <si>
    <t>Se entrena en su seguridad en su amor propio.</t>
  </si>
  <si>
    <t>ROSEMARY</t>
  </si>
  <si>
    <t>SE ENTRENA PARA CREAR RELACIONES EXTRAORDINARIAS APASIONADO CON ESTE ESTILO DE VIDA</t>
  </si>
  <si>
    <t>JOYCE PAMELA MARIN SUAREZ</t>
  </si>
  <si>
    <t>CREAR GYE</t>
  </si>
  <si>
    <t>MAÑANA CONFIRMA VIERNES</t>
  </si>
  <si>
    <t>Se entrena en ser energía, amor propio.</t>
  </si>
  <si>
    <t>Se entrena en aprender a pararse por ella, en ser la capitana de su propia vida y tener una relacion extraordinaria con sus hijas.</t>
  </si>
  <si>
    <t xml:space="preserve">CONTINUAR ENTRENANDOSE EN ESTE SU ESTILO DE VIDA </t>
  </si>
  <si>
    <t>EXPANDIR SU CONSULTORIO</t>
  </si>
  <si>
    <t xml:space="preserve">OFICINA </t>
  </si>
  <si>
    <t>Confirma fin de mes</t>
  </si>
  <si>
    <t>ENFOCADO EN SU NEGOCIO</t>
  </si>
  <si>
    <t>Se entrena ser su palabra, compromiso (Manager)</t>
  </si>
  <si>
    <t>3 MESES FUERA DE LIMA POR TRABAJO SOCIAL</t>
  </si>
  <si>
    <t>Viaje - Cap 18</t>
  </si>
  <si>
    <t>Aún no me subiré a los entrenamientos</t>
  </si>
  <si>
    <t>Se entrena en su liderazgo, compromiso con sus sueños.</t>
  </si>
  <si>
    <t>Se entrena en ser arriesgada, valiente y ser su palabra.</t>
  </si>
  <si>
    <t>Por el momento no desea ser aliada. (Temas familiares)</t>
  </si>
  <si>
    <t>Se entrena en su empoderamiento y abundancia</t>
  </si>
  <si>
    <t xml:space="preserve">Se entrena en su empoderamiento, en que los tiempos y su negocio no lo maneje a él, si no él liderar su vida. </t>
  </si>
  <si>
    <t>Se entrena en ser amor y en su liderazgo.</t>
  </si>
  <si>
    <t xml:space="preserve">AUN NO LO SABE </t>
  </si>
  <si>
    <t>QUIERE SER ENTRENADORA/ABANDONO EL GRUPITO</t>
  </si>
  <si>
    <t xml:space="preserve">DESERTO DEL C1 E17 SABADO EN LA NOCHE </t>
  </si>
  <si>
    <t>Se entrena en ser lider de su vida en confiar en ella para expandir su abundancia.</t>
  </si>
  <si>
    <t>SOMBRAS ASOMBROSAS</t>
  </si>
  <si>
    <t>CRISTINA MARTINEZ &amp; PIERO ALESSANDRO PORTAL PASQUEL</t>
  </si>
  <si>
    <t>GARETH SAID RAMOS PÉREZ &amp; MARIA VERONICA JIMENEZ VASQUEZ</t>
  </si>
  <si>
    <t xml:space="preserve">JORGE &amp; MANUEL </t>
  </si>
  <si>
    <t>JOYCE MARIN &amp; ZARA CASTILLO LEON</t>
  </si>
  <si>
    <t>LEYLA  &amp; ROSE</t>
  </si>
  <si>
    <t>ROBERTO  CONDEZO &amp; LUISA PEREZ CHINCHAY</t>
  </si>
  <si>
    <t>ROCIO AYVAR VEGA &amp; JOSÉ BLADIMER RAMOS SIQUEROS</t>
  </si>
  <si>
    <t>TONNY GUTIERREZ &amp; LIDIA TRUJILLO GUTIERREZ</t>
  </si>
  <si>
    <t xml:space="preserve">VIVIANA ALCANTARA MAURTUA &amp; RAQUEL RIVEROS RAMOS &amp; ELVIS CUELLAR </t>
  </si>
  <si>
    <t xml:space="preserve">NOMBRE </t>
  </si>
  <si>
    <t>OBSERVACIONES</t>
  </si>
  <si>
    <t>JS</t>
  </si>
  <si>
    <t>DIANA MOSCOSSO</t>
  </si>
  <si>
    <t>JESSICA LÓPEZ LÓPEZ</t>
  </si>
  <si>
    <t>BRENDA LORENA TOLEDO ORELLANA</t>
  </si>
  <si>
    <t>GIOVANA PALOMINO MARCOS</t>
  </si>
  <si>
    <t>CELIA JAMES VEGA</t>
  </si>
  <si>
    <t>JOSELYN ALEXANDRA TAPULLIMA CORDOVA</t>
  </si>
  <si>
    <t>APOYO MESA DE APOYO</t>
  </si>
  <si>
    <t>NOMBRE</t>
  </si>
  <si>
    <t>STATUS</t>
  </si>
  <si>
    <t>JESSICA LOPEZ LOPEZ</t>
  </si>
  <si>
    <t>GIOVANA PALOMINO</t>
  </si>
  <si>
    <t>KATHERINE LILIBET</t>
  </si>
  <si>
    <t>ALLYZON LEON</t>
  </si>
  <si>
    <t>CARLOS HUMBERTO</t>
  </si>
  <si>
    <t>JENNY BETSABET ESPINAL</t>
  </si>
  <si>
    <t xml:space="preserve">KATHY DE PAZ </t>
  </si>
  <si>
    <t xml:space="preserve">Zelmy Alcantara </t>
  </si>
  <si>
    <t xml:space="preserve">Giu Becerra </t>
  </si>
  <si>
    <t xml:space="preserve">⁠Carlos Castillo </t>
  </si>
  <si>
    <t>Luz Chipana</t>
  </si>
  <si>
    <t>⁠Paty Cruzado</t>
  </si>
  <si>
    <t>Shei De la cruz</t>
  </si>
  <si>
    <t>Stephanie Otero</t>
  </si>
  <si>
    <t xml:space="preserve">Diego Valencia </t>
  </si>
  <si>
    <t>Luis Hernández</t>
  </si>
  <si>
    <t>DORA BALTODANO</t>
  </si>
  <si>
    <t>VIERNES 320PM  - 8 pm</t>
  </si>
  <si>
    <t>DOMINGO 400 PM  - 8 PM</t>
  </si>
  <si>
    <t>CONFIRM</t>
  </si>
  <si>
    <t>DESCANSO MEDICO</t>
  </si>
  <si>
    <t>CAPITANA E24</t>
  </si>
  <si>
    <t>CONFIRMÓ EN VUELOS</t>
  </si>
  <si>
    <t xml:space="preserve">VIAJA </t>
  </si>
  <si>
    <t>LEISIS MEDINA IDROGO</t>
  </si>
  <si>
    <t xml:space="preserve">JAVIER MARTIN LEVANO </t>
  </si>
  <si>
    <t>MANRIQUE HUARANCCA CAROLINA VICTORIA</t>
  </si>
  <si>
    <t>SANCHEZ MEDINA HIPOLITA</t>
  </si>
  <si>
    <t>MANAGER EN JUEGO</t>
  </si>
  <si>
    <t>Miercoles / medio dia</t>
  </si>
  <si>
    <t>comprom</t>
  </si>
  <si>
    <t>JOYCE  VOLVER A CONFIRMAR</t>
  </si>
  <si>
    <t>JUAN MANUEL GRANDA NAVARRO</t>
  </si>
  <si>
    <t xml:space="preserve">Joyce </t>
  </si>
  <si>
    <t>gareth</t>
  </si>
  <si>
    <t>APOYO VIP</t>
  </si>
  <si>
    <t>Joyce</t>
  </si>
  <si>
    <t>DIANA MOSCOSO</t>
  </si>
  <si>
    <t>RHANIA UNTIVEROS REQUEJO</t>
  </si>
  <si>
    <t>Ok</t>
  </si>
  <si>
    <t>APOYO MESA COMUNIDAD</t>
  </si>
  <si>
    <t>VIERNES 4:00PM  - 8 pm</t>
  </si>
  <si>
    <t>SABADO 400 PM - 730PM</t>
  </si>
  <si>
    <t>DOMINGO 330 PM  - 8 PM</t>
  </si>
  <si>
    <t>Fuera de Lima</t>
  </si>
  <si>
    <t>JOEL ANTAURCO</t>
  </si>
  <si>
    <t>a</t>
  </si>
  <si>
    <t>VIERNES 4:30PM  - 8 pm</t>
  </si>
  <si>
    <t>CODIGO DE VESTIMENTA PARA LOS APOYOS SIEMPRE NEGRO CASUAL</t>
  </si>
  <si>
    <t>caminata sobre fuego</t>
  </si>
  <si>
    <t>JUEVES 5:30 A 7PM</t>
  </si>
  <si>
    <t>CR</t>
  </si>
  <si>
    <t>METAS</t>
  </si>
  <si>
    <t>JOSE RAMOS</t>
  </si>
  <si>
    <t>CARMEN PEREZ</t>
  </si>
  <si>
    <t>BRYAN LOPEZ</t>
  </si>
  <si>
    <t>MIRIAM PILCO</t>
  </si>
  <si>
    <t>YUSMELY GARCÍA</t>
  </si>
  <si>
    <t>PILAR TORRES</t>
  </si>
  <si>
    <t>ROCIO AYVAR</t>
  </si>
  <si>
    <t>CRISTINA MARTÍNEZ</t>
  </si>
  <si>
    <t>GLADYS EUSEBIA MORENO</t>
  </si>
  <si>
    <t>CAROLINA VICTORIA MANRIQUE</t>
  </si>
  <si>
    <t>JUSTO RAMIREZ</t>
  </si>
  <si>
    <t>JAVIER LEVANO</t>
  </si>
  <si>
    <t>RICHARD PILCO</t>
  </si>
  <si>
    <t>ARISKELA MONTANO</t>
  </si>
  <si>
    <t>EVER DAVID CARDENAS</t>
  </si>
  <si>
    <t>DAVID RODRÍGUEZ</t>
  </si>
  <si>
    <t>ANGEL ENRIQUE YONG</t>
  </si>
  <si>
    <t>ANA CARINA CARDENAS</t>
  </si>
  <si>
    <t>ZULLY PAUCAR</t>
  </si>
  <si>
    <t>FERNANDO JUAN LOPEZ</t>
  </si>
  <si>
    <t>BRIGITTE LOPEZ</t>
  </si>
  <si>
    <t>FLOR TELLO</t>
  </si>
  <si>
    <t>ELIZABETH HUAMAN</t>
  </si>
  <si>
    <t>JUAN ALVARO RAMIREZ</t>
  </si>
  <si>
    <t>JOSE ISRAEL MAQUERA</t>
  </si>
  <si>
    <t>DIANA RAMOS</t>
  </si>
  <si>
    <t>CLAUDIA CATHERINE LOPEZ</t>
  </si>
  <si>
    <t>FIORELLA GUTIÉRREZ</t>
  </si>
  <si>
    <t>JESSICA GUISSELLE MORALES</t>
  </si>
  <si>
    <t>SHIRLEY RIVERA</t>
  </si>
  <si>
    <t>ANTONY ALTAMIRANO</t>
  </si>
  <si>
    <t xml:space="preserve">FANNY SUSAN GALINDO </t>
  </si>
  <si>
    <t>LIZ TRUJILLO</t>
  </si>
  <si>
    <t>JIMENA PLASCENCIA</t>
  </si>
  <si>
    <t>ANAMELVA QUIÑONEZ</t>
  </si>
  <si>
    <t>JOSÉ GUILLERMO CURI</t>
  </si>
  <si>
    <t>JUANA FALCON</t>
  </si>
  <si>
    <t>PAMELA MORALES</t>
  </si>
  <si>
    <t>ELMER CHIPANA</t>
  </si>
  <si>
    <t>ERIKA NOREÑA</t>
  </si>
  <si>
    <t>DIANA CCOSCCO</t>
  </si>
  <si>
    <t>HENRY CARITA</t>
  </si>
  <si>
    <t>JESSICA MORALES</t>
  </si>
  <si>
    <t>LEISI MEDINA</t>
  </si>
  <si>
    <t>ROSMERY OCHOA</t>
  </si>
  <si>
    <t>ANA VDA DE FLORES</t>
  </si>
  <si>
    <t>NOELIA VIRGINIA COTRINA</t>
  </si>
  <si>
    <t>VANEZA RAMÍREZ</t>
  </si>
  <si>
    <t>AARON SURCO CORIMAYA</t>
  </si>
  <si>
    <t>LEONARDO ELOY QUISPE</t>
  </si>
  <si>
    <t>REINA CORIMAYA</t>
  </si>
  <si>
    <t>SERGIO NOLASCO</t>
  </si>
  <si>
    <t>DAVID CONTRETAS</t>
  </si>
  <si>
    <t>GISSELLA HUAMAN</t>
  </si>
  <si>
    <t>FERNANDO LÓPEZ</t>
  </si>
  <si>
    <t>JESSICA LÓPEZ</t>
  </si>
  <si>
    <t>ROSA NAVEZA RAMIREZ</t>
  </si>
  <si>
    <t>GINA CARDENAS</t>
  </si>
  <si>
    <t>SOLANGE MARTINEZ</t>
  </si>
  <si>
    <t>TANI SÁNCHEZ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</si>
</sst>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7" x14ac:knownFonts="1">
    <font>
      <sz val="11"/>
      <color theme="1"/>
      <name val="Aptos Narrow"/>
      <family val="2"/>
      <scheme val="minor"/>
    </font>
    <font>
      <b/>
      <sz val="11"/>
      <color theme="1"/>
      <name val="Aptos Narrow"/>
      <family val="2"/>
      <scheme val="minor"/>
    </font>
    <font>
      <sz val="8"/>
      <name val="Aptos Narrow"/>
      <family val="2"/>
      <scheme val="minor"/>
    </font>
    <font>
      <b/>
      <u/>
      <sz val="11"/>
      <color theme="1"/>
      <name val="Aptos Narrow"/>
      <family val="2"/>
      <scheme val="minor"/>
    </font>
    <font>
      <b/>
      <i/>
      <sz val="12"/>
      <color theme="1"/>
      <name val="Aptos Narrow"/>
      <family val="2"/>
      <scheme val="minor"/>
    </font>
    <font>
      <b/>
      <u/>
      <sz val="16"/>
      <color theme="1"/>
      <name val="Aptos Narrow"/>
      <family val="2"/>
      <scheme val="minor"/>
    </font>
    <font>
      <sz val="14"/>
      <color theme="1"/>
      <name val="Aptos Narrow"/>
      <family val="2"/>
      <scheme val="minor"/>
    </font>
    <font>
      <b/>
      <sz val="14"/>
      <color theme="1"/>
      <name val="Aptos Narrow"/>
      <family val="2"/>
      <scheme val="minor"/>
    </font>
    <font>
      <b/>
      <sz val="12"/>
      <color theme="1"/>
      <name val="Aptos Narrow"/>
      <family val="2"/>
      <scheme val="minor"/>
    </font>
    <font>
      <b/>
      <sz val="11"/>
      <color theme="0"/>
      <name val="Aptos Narrow"/>
      <family val="2"/>
      <scheme val="minor"/>
    </font>
    <font>
      <b/>
      <sz val="14"/>
      <color theme="0"/>
      <name val="Aptos Narrow"/>
      <family val="2"/>
      <scheme val="minor"/>
    </font>
    <font>
      <b/>
      <sz val="14"/>
      <color rgb="FFFF0000"/>
      <name val="Aptos Narrow"/>
      <family val="2"/>
      <scheme val="minor"/>
    </font>
    <font>
      <sz val="12"/>
      <color theme="0"/>
      <name val="Aptos Narrow"/>
      <family val="2"/>
      <scheme val="minor"/>
    </font>
    <font>
      <sz val="11"/>
      <name val="Aptos Narrow"/>
      <family val="2"/>
      <scheme val="minor"/>
    </font>
    <font>
      <b/>
      <sz val="12"/>
      <color theme="0"/>
      <name val="Aptos Narrow"/>
      <family val="2"/>
      <scheme val="minor"/>
    </font>
    <font>
      <sz val="11"/>
      <color rgb="FF242424"/>
      <name val="Aptos Narrow"/>
      <family val="2"/>
    </font>
    <font>
      <sz val="11"/>
      <color rgb="FF242424"/>
      <name val="Aptos Narrow"/>
      <charset val="1"/>
    </font>
    <font>
      <sz val="12"/>
      <color rgb="FF000000"/>
      <name val="Calibri"/>
    </font>
    <font>
      <sz val="12"/>
      <color rgb="FF000000"/>
      <name val="Calibri"/>
      <family val="2"/>
    </font>
    <font>
      <sz val="10"/>
      <color theme="1"/>
      <name val="Arial"/>
      <charset val="1"/>
    </font>
    <font>
      <sz val="10"/>
      <color rgb="FF000000"/>
      <name val="Arial"/>
      <charset val="1"/>
    </font>
    <font>
      <sz val="11"/>
      <color rgb="FF000000"/>
      <name val="Times New Roman"/>
    </font>
    <font>
      <b/>
      <sz val="12"/>
      <color rgb="FF000000"/>
      <name val="Calibri"/>
      <family val="2"/>
    </font>
    <font>
      <b/>
      <sz val="12"/>
      <color rgb="FF000000"/>
      <name val="Calibri"/>
    </font>
    <font>
      <b/>
      <sz val="10"/>
      <color theme="1"/>
      <name val="Arial"/>
      <charset val="1"/>
    </font>
    <font>
      <sz val="11"/>
      <color rgb="FF000000"/>
      <name val="Aptos Narrow"/>
    </font>
    <font>
      <b/>
      <sz val="11"/>
      <color rgb="FF000000"/>
      <name val="Aptos Narrow"/>
    </font>
  </fonts>
  <fills count="23">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theme="7"/>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theme="4" tint="0.79998168889431442"/>
        <bgColor indexed="64"/>
      </patternFill>
    </fill>
    <fill>
      <patternFill patternType="solid">
        <fgColor theme="3" tint="9.9978637043366805E-2"/>
        <bgColor indexed="64"/>
      </patternFill>
    </fill>
    <fill>
      <patternFill patternType="solid">
        <fgColor theme="7" tint="-0.499984740745262"/>
        <bgColor indexed="64"/>
      </patternFill>
    </fill>
    <fill>
      <patternFill patternType="solid">
        <fgColor theme="1"/>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9"/>
        <bgColor indexed="64"/>
      </patternFill>
    </fill>
    <fill>
      <patternFill patternType="solid">
        <fgColor rgb="FF92D050"/>
        <bgColor indexed="64"/>
      </patternFill>
    </fill>
    <fill>
      <patternFill patternType="solid">
        <fgColor rgb="FFFFFFFF"/>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FFFFFF"/>
        <bgColor rgb="FF000000"/>
      </patternFill>
    </fill>
    <fill>
      <patternFill patternType="solid">
        <fgColor theme="3"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right style="thin">
        <color indexed="64"/>
      </right>
      <top/>
      <bottom/>
      <diagonal/>
    </border>
    <border>
      <left/>
      <right style="thin">
        <color rgb="FF000000"/>
      </right>
      <top style="thin">
        <color rgb="FF000000"/>
      </top>
      <bottom/>
      <diagonal/>
    </border>
    <border>
      <left style="thin">
        <color indexed="64"/>
      </left>
      <right style="thin">
        <color indexed="64"/>
      </right>
      <top/>
      <bottom/>
      <diagonal/>
    </border>
    <border>
      <left/>
      <right/>
      <top style="thin">
        <color rgb="FF000000"/>
      </top>
      <bottom/>
      <diagonal/>
    </border>
    <border>
      <left/>
      <right style="thin">
        <color indexed="64"/>
      </right>
      <top style="thin">
        <color indexed="64"/>
      </top>
      <bottom style="thin">
        <color rgb="FF000000"/>
      </bottom>
      <diagonal/>
    </border>
    <border>
      <left/>
      <right style="thin">
        <color rgb="FF000000"/>
      </right>
      <top/>
      <bottom/>
      <diagonal/>
    </border>
    <border>
      <left/>
      <right/>
      <top/>
      <bottom style="thin">
        <color indexed="64"/>
      </bottom>
      <diagonal/>
    </border>
  </borders>
  <cellStyleXfs count="1">
    <xf numFmtId="0" fontId="0" fillId="0" borderId="0"/>
  </cellStyleXfs>
  <cellXfs count="388">
    <xf numFmtId="0" fontId="0" fillId="0" borderId="0" xfId="0"/>
    <xf numFmtId="0" fontId="0" fillId="0" borderId="1" xfId="0" applyBorder="1"/>
    <xf numFmtId="0" fontId="3" fillId="0" borderId="1" xfId="0" applyFont="1" applyBorder="1" applyAlignment="1">
      <alignment horizontal="center" vertical="center"/>
    </xf>
    <xf numFmtId="0" fontId="0" fillId="0" borderId="1" xfId="0" applyBorder="1" applyAlignment="1">
      <alignment horizontal="center"/>
    </xf>
    <xf numFmtId="0" fontId="3" fillId="0" borderId="0" xfId="0" applyFont="1" applyAlignment="1">
      <alignment horizontal="center" vertical="center"/>
    </xf>
    <xf numFmtId="0" fontId="0" fillId="0" borderId="0" xfId="0" applyAlignment="1">
      <alignment horizontal="center"/>
    </xf>
    <xf numFmtId="0" fontId="0" fillId="0" borderId="1" xfId="0" applyBorder="1" applyAlignment="1">
      <alignment horizontal="center" vertical="center"/>
    </xf>
    <xf numFmtId="0" fontId="0" fillId="0" borderId="1" xfId="0" applyBorder="1" applyAlignment="1">
      <alignment horizontal="left"/>
    </xf>
    <xf numFmtId="0" fontId="1" fillId="0" borderId="1" xfId="0" applyFont="1" applyBorder="1" applyAlignment="1">
      <alignment horizontal="center"/>
    </xf>
    <xf numFmtId="0" fontId="0" fillId="0" borderId="3" xfId="0" applyBorder="1"/>
    <xf numFmtId="0" fontId="4" fillId="0" borderId="4" xfId="0" applyFont="1" applyBorder="1"/>
    <xf numFmtId="0" fontId="5" fillId="0" borderId="3" xfId="0" applyFont="1" applyBorder="1"/>
    <xf numFmtId="0" fontId="0" fillId="2" borderId="1" xfId="0"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0" fontId="0" fillId="0" borderId="3" xfId="0" applyBorder="1" applyAlignment="1">
      <alignment vertical="center"/>
    </xf>
    <xf numFmtId="0" fontId="0" fillId="0" borderId="0" xfId="0" applyAlignment="1">
      <alignment vertical="center"/>
    </xf>
    <xf numFmtId="0" fontId="0" fillId="0" borderId="5" xfId="0" applyBorder="1" applyAlignment="1">
      <alignment horizontal="center"/>
    </xf>
    <xf numFmtId="0" fontId="1" fillId="0" borderId="5" xfId="0" applyFont="1" applyBorder="1" applyAlignment="1">
      <alignment horizontal="center"/>
    </xf>
    <xf numFmtId="0" fontId="0" fillId="0" borderId="3" xfId="0" applyBorder="1" applyAlignment="1">
      <alignment horizontal="center" vertical="center"/>
    </xf>
    <xf numFmtId="0" fontId="1" fillId="0" borderId="6" xfId="0" applyFont="1" applyBorder="1" applyAlignment="1">
      <alignment vertical="center"/>
    </xf>
    <xf numFmtId="0" fontId="0" fillId="0" borderId="6" xfId="0" applyBorder="1" applyAlignment="1">
      <alignment horizontal="right" vertical="center"/>
    </xf>
    <xf numFmtId="0" fontId="0" fillId="0" borderId="0" xfId="0" applyAlignment="1">
      <alignment wrapText="1"/>
    </xf>
    <xf numFmtId="0" fontId="5" fillId="0" borderId="0" xfId="0" applyFont="1" applyAlignment="1">
      <alignment horizontal="center"/>
    </xf>
    <xf numFmtId="0" fontId="0" fillId="0" borderId="3" xfId="0" applyBorder="1" applyAlignment="1">
      <alignment vertical="center" indent="1"/>
    </xf>
    <xf numFmtId="0" fontId="0" fillId="0" borderId="0" xfId="0" applyAlignment="1">
      <alignment vertical="center" indent="1"/>
    </xf>
    <xf numFmtId="0" fontId="0" fillId="0" borderId="0" xfId="0" applyAlignment="1">
      <alignment horizontal="center" vertical="center"/>
    </xf>
    <xf numFmtId="0" fontId="0" fillId="0" borderId="1" xfId="0" applyBorder="1" applyAlignment="1">
      <alignment vertical="center" indent="1"/>
    </xf>
    <xf numFmtId="0" fontId="0" fillId="0" borderId="1" xfId="0" applyBorder="1" applyAlignment="1">
      <alignment vertical="center"/>
    </xf>
    <xf numFmtId="0" fontId="0" fillId="0" borderId="1" xfId="0" applyBorder="1" applyAlignment="1">
      <alignment wrapText="1"/>
    </xf>
    <xf numFmtId="0" fontId="3" fillId="0" borderId="1" xfId="0" applyFont="1" applyBorder="1" applyAlignment="1">
      <alignment horizontal="center"/>
    </xf>
    <xf numFmtId="0" fontId="4" fillId="0" borderId="1" xfId="0" applyFont="1" applyBorder="1"/>
    <xf numFmtId="0" fontId="4" fillId="0" borderId="1" xfId="0" applyFont="1" applyBorder="1" applyAlignment="1">
      <alignment horizontal="center"/>
    </xf>
    <xf numFmtId="0" fontId="0" fillId="0" borderId="4" xfId="0" applyBorder="1"/>
    <xf numFmtId="0" fontId="0" fillId="0" borderId="4" xfId="0" applyBorder="1" applyAlignment="1">
      <alignment vertical="center" indent="1"/>
    </xf>
    <xf numFmtId="0" fontId="0" fillId="0" borderId="4" xfId="0" applyBorder="1" applyAlignment="1">
      <alignment vertical="center"/>
    </xf>
    <xf numFmtId="0" fontId="1" fillId="0" borderId="1" xfId="0" applyFont="1" applyBorder="1"/>
    <xf numFmtId="0" fontId="0" fillId="0" borderId="0" xfId="0" applyAlignment="1">
      <alignment vertical="top"/>
    </xf>
    <xf numFmtId="0" fontId="1" fillId="0" borderId="1" xfId="0" applyFont="1" applyBorder="1" applyAlignment="1">
      <alignment horizontal="center" vertical="center"/>
    </xf>
    <xf numFmtId="0" fontId="0" fillId="0" borderId="3" xfId="0" applyBorder="1" applyAlignment="1">
      <alignment horizontal="right" vertical="center" indent="1"/>
    </xf>
    <xf numFmtId="0" fontId="0" fillId="3" borderId="1" xfId="0" applyFill="1" applyBorder="1" applyAlignment="1">
      <alignment horizontal="left"/>
    </xf>
    <xf numFmtId="0" fontId="0" fillId="3" borderId="1" xfId="0" applyFill="1" applyBorder="1" applyAlignment="1">
      <alignment horizontal="center"/>
    </xf>
    <xf numFmtId="0" fontId="0" fillId="2" borderId="1" xfId="0" applyFill="1" applyBorder="1"/>
    <xf numFmtId="0" fontId="0" fillId="2" borderId="1" xfId="0" applyFill="1" applyBorder="1" applyAlignment="1">
      <alignment vertical="center" indent="1"/>
    </xf>
    <xf numFmtId="0" fontId="0" fillId="3" borderId="3" xfId="0" applyFill="1" applyBorder="1" applyAlignment="1">
      <alignment horizontal="left"/>
    </xf>
    <xf numFmtId="0" fontId="0" fillId="3" borderId="3" xfId="0" applyFill="1" applyBorder="1" applyAlignment="1">
      <alignment horizontal="center"/>
    </xf>
    <xf numFmtId="0" fontId="0" fillId="3" borderId="4" xfId="0" applyFill="1" applyBorder="1" applyAlignment="1">
      <alignment horizontal="left"/>
    </xf>
    <xf numFmtId="0" fontId="0" fillId="3" borderId="4" xfId="0" applyFill="1" applyBorder="1" applyAlignment="1">
      <alignment horizontal="center"/>
    </xf>
    <xf numFmtId="0" fontId="0" fillId="0" borderId="4" xfId="0" applyBorder="1" applyAlignment="1">
      <alignment horizontal="center"/>
    </xf>
    <xf numFmtId="0" fontId="0" fillId="3" borderId="0" xfId="0" applyFill="1" applyAlignment="1">
      <alignment horizontal="left"/>
    </xf>
    <xf numFmtId="0" fontId="0" fillId="3" borderId="0" xfId="0" applyFill="1" applyAlignment="1">
      <alignment horizontal="center"/>
    </xf>
    <xf numFmtId="0" fontId="0" fillId="0" borderId="1" xfId="0" applyBorder="1" applyAlignment="1">
      <alignment horizontal="right" vertical="center" indent="1"/>
    </xf>
    <xf numFmtId="0" fontId="8" fillId="0" borderId="1" xfId="0" applyFont="1" applyBorder="1" applyAlignment="1">
      <alignment horizontal="center"/>
    </xf>
    <xf numFmtId="0" fontId="1" fillId="0" borderId="10" xfId="0" applyFont="1" applyBorder="1" applyAlignment="1">
      <alignment horizontal="center"/>
    </xf>
    <xf numFmtId="0" fontId="0" fillId="0" borderId="1" xfId="0" applyBorder="1" applyAlignment="1">
      <alignment horizontal="left" vertical="center"/>
    </xf>
    <xf numFmtId="0" fontId="1" fillId="0" borderId="0" xfId="0" applyFont="1" applyAlignment="1">
      <alignment horizontal="center" vertical="center"/>
    </xf>
    <xf numFmtId="0" fontId="0" fillId="0" borderId="10" xfId="0" applyBorder="1"/>
    <xf numFmtId="0" fontId="0" fillId="0" borderId="10" xfId="0" applyBorder="1" applyAlignment="1">
      <alignment horizontal="left"/>
    </xf>
    <xf numFmtId="0" fontId="0" fillId="0" borderId="9" xfId="0" applyBorder="1"/>
    <xf numFmtId="0" fontId="3" fillId="0" borderId="11" xfId="0" applyFont="1" applyBorder="1" applyAlignment="1">
      <alignment horizontal="center"/>
    </xf>
    <xf numFmtId="0" fontId="3" fillId="0" borderId="12" xfId="0" applyFont="1" applyBorder="1" applyAlignment="1">
      <alignment horizontal="center"/>
    </xf>
    <xf numFmtId="0" fontId="0" fillId="0" borderId="13" xfId="0" applyBorder="1"/>
    <xf numFmtId="0" fontId="0" fillId="0" borderId="14" xfId="0" applyBorder="1"/>
    <xf numFmtId="0" fontId="0" fillId="0" borderId="3" xfId="0" applyBorder="1" applyAlignment="1">
      <alignment horizontal="right"/>
    </xf>
    <xf numFmtId="0" fontId="0" fillId="0" borderId="16" xfId="0" applyBorder="1"/>
    <xf numFmtId="0" fontId="0" fillId="0" borderId="16" xfId="0" applyBorder="1" applyAlignment="1">
      <alignment vertical="center" indent="1"/>
    </xf>
    <xf numFmtId="0" fontId="0" fillId="0" borderId="16" xfId="0" applyBorder="1" applyAlignment="1">
      <alignment vertical="center"/>
    </xf>
    <xf numFmtId="0" fontId="1" fillId="0" borderId="3" xfId="0" applyFont="1" applyBorder="1" applyAlignment="1">
      <alignment vertical="center"/>
    </xf>
    <xf numFmtId="0" fontId="0" fillId="0" borderId="17" xfId="0" applyBorder="1"/>
    <xf numFmtId="0" fontId="0" fillId="0" borderId="10" xfId="0" applyBorder="1" applyAlignment="1">
      <alignment vertical="center" indent="1"/>
    </xf>
    <xf numFmtId="0" fontId="3" fillId="0" borderId="10" xfId="0" applyFont="1" applyBorder="1" applyAlignment="1">
      <alignment horizontal="center" vertical="center"/>
    </xf>
    <xf numFmtId="0" fontId="3" fillId="0" borderId="9" xfId="0" applyFont="1" applyBorder="1" applyAlignment="1">
      <alignment horizontal="center"/>
    </xf>
    <xf numFmtId="0" fontId="0" fillId="0" borderId="0" xfId="0" applyAlignment="1">
      <alignment horizontal="right"/>
    </xf>
    <xf numFmtId="0" fontId="0" fillId="0" borderId="13" xfId="0" applyBorder="1" applyAlignment="1">
      <alignment vertical="center" indent="1"/>
    </xf>
    <xf numFmtId="0" fontId="0" fillId="0" borderId="6" xfId="0" applyBorder="1" applyAlignment="1">
      <alignment vertical="center" indent="1"/>
    </xf>
    <xf numFmtId="0" fontId="0" fillId="0" borderId="11" xfId="0" applyBorder="1" applyAlignment="1">
      <alignment vertical="center" indent="1"/>
    </xf>
    <xf numFmtId="0" fontId="0" fillId="0" borderId="5" xfId="0" applyBorder="1"/>
    <xf numFmtId="0" fontId="0" fillId="0" borderId="12" xfId="0" applyBorder="1"/>
    <xf numFmtId="0" fontId="0" fillId="0" borderId="17" xfId="0" applyBorder="1" applyAlignment="1">
      <alignment horizontal="center"/>
    </xf>
    <xf numFmtId="0" fontId="0" fillId="0" borderId="7" xfId="0" applyBorder="1"/>
    <xf numFmtId="0" fontId="0" fillId="0" borderId="7" xfId="0" applyBorder="1" applyAlignment="1">
      <alignment vertical="center"/>
    </xf>
    <xf numFmtId="0" fontId="0" fillId="0" borderId="0" xfId="0" applyAlignment="1">
      <alignment horizontal="left" vertical="center"/>
    </xf>
    <xf numFmtId="0" fontId="0" fillId="0" borderId="17" xfId="0" applyBorder="1" applyAlignment="1">
      <alignment vertical="center"/>
    </xf>
    <xf numFmtId="0" fontId="0" fillId="0" borderId="3" xfId="0" applyBorder="1" applyAlignment="1">
      <alignment wrapText="1"/>
    </xf>
    <xf numFmtId="0" fontId="1" fillId="0" borderId="3" xfId="0" applyFont="1" applyBorder="1" applyAlignment="1">
      <alignment horizontal="center" vertical="center"/>
    </xf>
    <xf numFmtId="0" fontId="4" fillId="0" borderId="4" xfId="0" applyFont="1" applyBorder="1" applyAlignment="1">
      <alignment horizontal="center"/>
    </xf>
    <xf numFmtId="0" fontId="3" fillId="0" borderId="3" xfId="0" applyFont="1" applyBorder="1" applyAlignment="1">
      <alignment horizontal="center"/>
    </xf>
    <xf numFmtId="0" fontId="3" fillId="0" borderId="3" xfId="0" applyFont="1" applyBorder="1" applyAlignment="1">
      <alignment horizontal="center" vertical="center"/>
    </xf>
    <xf numFmtId="0" fontId="0" fillId="8" borderId="3" xfId="0" applyFill="1" applyBorder="1"/>
    <xf numFmtId="0" fontId="0" fillId="8" borderId="3" xfId="0" applyFill="1" applyBorder="1" applyAlignment="1">
      <alignment vertical="center"/>
    </xf>
    <xf numFmtId="0" fontId="0" fillId="8" borderId="3" xfId="0" applyFill="1" applyBorder="1" applyAlignment="1">
      <alignment horizontal="center" vertical="center"/>
    </xf>
    <xf numFmtId="0" fontId="0" fillId="0" borderId="5" xfId="0" applyBorder="1" applyAlignment="1">
      <alignment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16" xfId="0" applyBorder="1" applyAlignment="1">
      <alignment horizontal="center"/>
    </xf>
    <xf numFmtId="0" fontId="0" fillId="0" borderId="17" xfId="0" applyBorder="1" applyAlignment="1">
      <alignment horizontal="center" vertical="center"/>
    </xf>
    <xf numFmtId="0" fontId="0" fillId="0" borderId="20" xfId="0" applyBorder="1"/>
    <xf numFmtId="0" fontId="0" fillId="0" borderId="20" xfId="0" applyBorder="1" applyAlignment="1">
      <alignment horizontal="center" vertical="center"/>
    </xf>
    <xf numFmtId="0" fontId="0" fillId="0" borderId="21" xfId="0" applyBorder="1"/>
    <xf numFmtId="0" fontId="0" fillId="0" borderId="6" xfId="0" applyBorder="1" applyAlignment="1">
      <alignment horizontal="center" vertical="center"/>
    </xf>
    <xf numFmtId="0" fontId="1" fillId="6" borderId="1" xfId="0" applyFont="1" applyFill="1" applyBorder="1" applyAlignment="1">
      <alignment horizontal="center"/>
    </xf>
    <xf numFmtId="0" fontId="0" fillId="0" borderId="20" xfId="0" applyBorder="1" applyAlignment="1">
      <alignment vertical="center"/>
    </xf>
    <xf numFmtId="0" fontId="11" fillId="9" borderId="1" xfId="0" applyFont="1" applyFill="1" applyBorder="1" applyAlignment="1">
      <alignment wrapText="1"/>
    </xf>
    <xf numFmtId="0" fontId="1" fillId="0" borderId="0" xfId="0" applyFont="1" applyAlignment="1">
      <alignment vertical="center"/>
    </xf>
    <xf numFmtId="0" fontId="12" fillId="10" borderId="3" xfId="0" applyFont="1" applyFill="1" applyBorder="1" applyAlignment="1">
      <alignment horizontal="center" wrapText="1"/>
    </xf>
    <xf numFmtId="0" fontId="1" fillId="5" borderId="0" xfId="0" applyFont="1" applyFill="1"/>
    <xf numFmtId="0" fontId="0" fillId="6" borderId="0" xfId="0" applyFill="1"/>
    <xf numFmtId="0" fontId="1" fillId="0" borderId="17" xfId="0" applyFont="1" applyBorder="1" applyAlignment="1">
      <alignment horizontal="center"/>
    </xf>
    <xf numFmtId="0" fontId="9" fillId="10" borderId="1" xfId="0" applyFont="1" applyFill="1" applyBorder="1" applyAlignment="1">
      <alignment horizontal="center"/>
    </xf>
    <xf numFmtId="0" fontId="1" fillId="0" borderId="0" xfId="0" applyFont="1" applyAlignment="1">
      <alignment horizontal="right" indent="1"/>
    </xf>
    <xf numFmtId="0" fontId="1" fillId="0" borderId="17" xfId="0" applyFont="1" applyBorder="1" applyAlignment="1">
      <alignment horizontal="center" vertical="center"/>
    </xf>
    <xf numFmtId="0" fontId="12" fillId="10" borderId="20" xfId="0" applyFont="1" applyFill="1" applyBorder="1" applyAlignment="1">
      <alignment horizontal="center" wrapText="1"/>
    </xf>
    <xf numFmtId="0" fontId="1" fillId="0" borderId="22" xfId="0" applyFont="1" applyBorder="1" applyAlignment="1">
      <alignment horizontal="center"/>
    </xf>
    <xf numFmtId="0" fontId="14" fillId="10" borderId="3" xfId="0" applyFont="1" applyFill="1" applyBorder="1" applyAlignment="1">
      <alignment horizontal="center" vertical="center" wrapText="1"/>
    </xf>
    <xf numFmtId="0" fontId="14" fillId="10" borderId="20" xfId="0" applyFont="1" applyFill="1" applyBorder="1" applyAlignment="1">
      <alignment horizontal="center" vertical="center" wrapText="1"/>
    </xf>
    <xf numFmtId="0" fontId="0" fillId="0" borderId="24" xfId="0" applyBorder="1"/>
    <xf numFmtId="0" fontId="0" fillId="0" borderId="24" xfId="0" applyBorder="1" applyAlignment="1">
      <alignment horizontal="center" vertical="center"/>
    </xf>
    <xf numFmtId="0" fontId="1" fillId="0" borderId="24" xfId="0" applyFont="1" applyBorder="1"/>
    <xf numFmtId="0" fontId="0" fillId="0" borderId="25" xfId="0" applyBorder="1"/>
    <xf numFmtId="0" fontId="0" fillId="0" borderId="26" xfId="0" applyBorder="1"/>
    <xf numFmtId="0" fontId="0" fillId="0" borderId="2" xfId="0" applyBorder="1"/>
    <xf numFmtId="0" fontId="1" fillId="0" borderId="17" xfId="0" applyFont="1" applyBorder="1"/>
    <xf numFmtId="0" fontId="15" fillId="0" borderId="3" xfId="0" applyFont="1" applyBorder="1"/>
    <xf numFmtId="0" fontId="1" fillId="12" borderId="17" xfId="0" applyFont="1" applyFill="1" applyBorder="1" applyAlignment="1">
      <alignment horizontal="center" vertical="center"/>
    </xf>
    <xf numFmtId="0" fontId="1" fillId="12" borderId="17" xfId="0" applyFont="1" applyFill="1" applyBorder="1" applyAlignment="1">
      <alignment horizontal="center"/>
    </xf>
    <xf numFmtId="0" fontId="16" fillId="0" borderId="17" xfId="0" applyFont="1" applyBorder="1"/>
    <xf numFmtId="0" fontId="16" fillId="0" borderId="3" xfId="0" applyFont="1" applyBorder="1"/>
    <xf numFmtId="0" fontId="0" fillId="0" borderId="22" xfId="0" applyBorder="1"/>
    <xf numFmtId="0" fontId="5" fillId="0" borderId="8" xfId="0" applyFont="1" applyBorder="1"/>
    <xf numFmtId="0" fontId="5" fillId="0" borderId="0" xfId="0" applyFont="1"/>
    <xf numFmtId="0" fontId="5" fillId="0" borderId="27" xfId="0" applyFont="1" applyBorder="1"/>
    <xf numFmtId="0" fontId="5" fillId="0" borderId="29" xfId="0" applyFont="1" applyBorder="1"/>
    <xf numFmtId="0" fontId="0" fillId="13" borderId="6" xfId="0" applyFill="1" applyBorder="1" applyAlignment="1">
      <alignment horizontal="center" vertical="center"/>
    </xf>
    <xf numFmtId="0" fontId="0" fillId="13" borderId="1" xfId="0" applyFill="1" applyBorder="1" applyAlignment="1">
      <alignment horizontal="center" vertical="center"/>
    </xf>
    <xf numFmtId="0" fontId="0" fillId="13" borderId="3" xfId="0" applyFill="1" applyBorder="1" applyAlignment="1">
      <alignment horizontal="center" vertical="center"/>
    </xf>
    <xf numFmtId="0" fontId="0" fillId="13" borderId="1" xfId="0" applyFill="1" applyBorder="1"/>
    <xf numFmtId="0" fontId="0" fillId="13" borderId="1" xfId="0" applyFill="1" applyBorder="1" applyAlignment="1">
      <alignment horizontal="center"/>
    </xf>
    <xf numFmtId="0" fontId="0" fillId="13" borderId="17" xfId="0" applyFill="1" applyBorder="1" applyAlignment="1">
      <alignment horizontal="center" vertical="center"/>
    </xf>
    <xf numFmtId="0" fontId="0" fillId="13" borderId="28" xfId="0" applyFill="1" applyBorder="1" applyAlignment="1">
      <alignment horizontal="center" vertical="center"/>
    </xf>
    <xf numFmtId="0" fontId="0" fillId="7" borderId="3" xfId="0" applyFill="1" applyBorder="1" applyAlignment="1">
      <alignment horizontal="center" vertical="center"/>
    </xf>
    <xf numFmtId="0" fontId="0" fillId="0" borderId="15" xfId="0" applyBorder="1"/>
    <xf numFmtId="0" fontId="0" fillId="0" borderId="10" xfId="0" applyBorder="1" applyAlignment="1">
      <alignment vertical="center"/>
    </xf>
    <xf numFmtId="0" fontId="0" fillId="0" borderId="6" xfId="0" applyBorder="1" applyAlignment="1">
      <alignment vertical="center"/>
    </xf>
    <xf numFmtId="0" fontId="0" fillId="0" borderId="19" xfId="0" applyBorder="1" applyAlignment="1">
      <alignment vertical="center"/>
    </xf>
    <xf numFmtId="0" fontId="1" fillId="0" borderId="4" xfId="0" applyFont="1" applyBorder="1" applyAlignment="1">
      <alignment horizontal="center"/>
    </xf>
    <xf numFmtId="0" fontId="0" fillId="0" borderId="3" xfId="0" applyBorder="1" applyAlignment="1">
      <alignment horizontal="left" vertical="center"/>
    </xf>
    <xf numFmtId="0" fontId="0" fillId="0" borderId="6" xfId="0" applyBorder="1"/>
    <xf numFmtId="0" fontId="0" fillId="14" borderId="1" xfId="0" applyFill="1" applyBorder="1" applyAlignment="1">
      <alignment horizontal="center" vertical="center"/>
    </xf>
    <xf numFmtId="0" fontId="0" fillId="15" borderId="1" xfId="0" applyFill="1" applyBorder="1" applyAlignment="1">
      <alignment horizontal="center" vertical="center"/>
    </xf>
    <xf numFmtId="0" fontId="0" fillId="7" borderId="1" xfId="0" applyFill="1" applyBorder="1"/>
    <xf numFmtId="0" fontId="0" fillId="7" borderId="1" xfId="0" applyFill="1" applyBorder="1" applyAlignment="1">
      <alignment horizontal="center"/>
    </xf>
    <xf numFmtId="0" fontId="8" fillId="0" borderId="0" xfId="0" applyFont="1" applyAlignment="1">
      <alignment horizontal="center"/>
    </xf>
    <xf numFmtId="0" fontId="1" fillId="13" borderId="1" xfId="0" applyFont="1" applyFill="1" applyBorder="1"/>
    <xf numFmtId="0" fontId="0" fillId="13" borderId="3" xfId="0" applyFill="1" applyBorder="1"/>
    <xf numFmtId="0" fontId="0" fillId="0" borderId="9" xfId="0" applyBorder="1" applyAlignment="1">
      <alignment horizontal="center" vertical="center"/>
    </xf>
    <xf numFmtId="0" fontId="0" fillId="0" borderId="25" xfId="0" applyBorder="1" applyAlignment="1">
      <alignment horizontal="center" vertical="center"/>
    </xf>
    <xf numFmtId="0" fontId="0" fillId="0" borderId="14" xfId="0" applyBorder="1" applyAlignment="1">
      <alignment horizontal="center" vertical="center"/>
    </xf>
    <xf numFmtId="0" fontId="0" fillId="0" borderId="5" xfId="0" applyBorder="1" applyAlignment="1">
      <alignment horizontal="center" vertical="center"/>
    </xf>
    <xf numFmtId="0" fontId="0" fillId="13" borderId="6" xfId="0" applyFill="1" applyBorder="1"/>
    <xf numFmtId="0" fontId="0" fillId="0" borderId="7" xfId="0" applyBorder="1" applyAlignment="1">
      <alignment horizontal="center" vertical="center"/>
    </xf>
    <xf numFmtId="0" fontId="0" fillId="0" borderId="6" xfId="0" applyBorder="1" applyAlignment="1">
      <alignment horizontal="center"/>
    </xf>
    <xf numFmtId="0" fontId="0" fillId="0" borderId="28" xfId="0" applyBorder="1" applyAlignment="1">
      <alignment horizontal="center"/>
    </xf>
    <xf numFmtId="0" fontId="0" fillId="7" borderId="3" xfId="0" applyFill="1" applyBorder="1"/>
    <xf numFmtId="0" fontId="16" fillId="0" borderId="0" xfId="0" applyFont="1"/>
    <xf numFmtId="0" fontId="4" fillId="0" borderId="4" xfId="0" applyFont="1" applyBorder="1" applyAlignment="1">
      <alignment horizontal="center" vertical="center"/>
    </xf>
    <xf numFmtId="0" fontId="0" fillId="14" borderId="1" xfId="0" applyFill="1" applyBorder="1"/>
    <xf numFmtId="0" fontId="0" fillId="14" borderId="17" xfId="0" applyFill="1" applyBorder="1"/>
    <xf numFmtId="0" fontId="0" fillId="14" borderId="3" xfId="0" applyFill="1" applyBorder="1"/>
    <xf numFmtId="0" fontId="0" fillId="14" borderId="7" xfId="0" applyFill="1" applyBorder="1"/>
    <xf numFmtId="0" fontId="0" fillId="14" borderId="22" xfId="0" applyFill="1" applyBorder="1"/>
    <xf numFmtId="0" fontId="0" fillId="7" borderId="0" xfId="0" applyFill="1"/>
    <xf numFmtId="0" fontId="0" fillId="0" borderId="28" xfId="0" applyBorder="1" applyAlignment="1">
      <alignment vertical="center"/>
    </xf>
    <xf numFmtId="0" fontId="0" fillId="7" borderId="7" xfId="0" applyFill="1" applyBorder="1"/>
    <xf numFmtId="0" fontId="0" fillId="0" borderId="19" xfId="0" applyBorder="1" applyAlignment="1">
      <alignment horizontal="center"/>
    </xf>
    <xf numFmtId="0" fontId="0" fillId="7" borderId="17" xfId="0" applyFill="1" applyBorder="1"/>
    <xf numFmtId="0" fontId="0" fillId="7" borderId="15" xfId="0" applyFill="1" applyBorder="1"/>
    <xf numFmtId="0" fontId="0" fillId="7" borderId="4" xfId="0" applyFill="1" applyBorder="1"/>
    <xf numFmtId="0" fontId="0" fillId="0" borderId="23" xfId="0" applyBorder="1" applyAlignment="1">
      <alignment horizontal="center" vertical="center"/>
    </xf>
    <xf numFmtId="0" fontId="0" fillId="0" borderId="22" xfId="0" applyBorder="1" applyAlignment="1">
      <alignment horizontal="center" vertical="center"/>
    </xf>
    <xf numFmtId="0" fontId="0" fillId="0" borderId="28" xfId="0" applyBorder="1"/>
    <xf numFmtId="0" fontId="0" fillId="0" borderId="30" xfId="0" applyBorder="1" applyAlignment="1">
      <alignment horizontal="center" vertical="center"/>
    </xf>
    <xf numFmtId="0" fontId="3" fillId="0" borderId="4" xfId="0" applyFont="1" applyBorder="1" applyAlignment="1">
      <alignment horizontal="center"/>
    </xf>
    <xf numFmtId="0" fontId="18" fillId="0" borderId="3" xfId="0" applyFont="1" applyBorder="1"/>
    <xf numFmtId="0" fontId="18" fillId="0" borderId="3" xfId="0" applyFont="1" applyBorder="1" applyAlignment="1">
      <alignment horizontal="center"/>
    </xf>
    <xf numFmtId="0" fontId="18" fillId="0" borderId="3" xfId="0" applyFont="1" applyBorder="1" applyAlignment="1">
      <alignment horizontal="left"/>
    </xf>
    <xf numFmtId="0" fontId="18" fillId="0" borderId="17" xfId="0" applyFont="1" applyBorder="1" applyAlignment="1">
      <alignment horizontal="center"/>
    </xf>
    <xf numFmtId="0" fontId="0" fillId="0" borderId="19" xfId="0" applyBorder="1" applyAlignment="1">
      <alignment horizontal="center" vertical="center"/>
    </xf>
    <xf numFmtId="0" fontId="0" fillId="0" borderId="13" xfId="0"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14" xfId="0" applyBorder="1" applyAlignment="1">
      <alignment horizontal="center"/>
    </xf>
    <xf numFmtId="0" fontId="0" fillId="7" borderId="22" xfId="0" applyFill="1" applyBorder="1"/>
    <xf numFmtId="0" fontId="16" fillId="0" borderId="1" xfId="0" applyFont="1" applyBorder="1"/>
    <xf numFmtId="0" fontId="0" fillId="7" borderId="20" xfId="0" applyFill="1" applyBorder="1"/>
    <xf numFmtId="0" fontId="3" fillId="0" borderId="1" xfId="0" applyFont="1" applyBorder="1" applyAlignment="1">
      <alignment vertical="center"/>
    </xf>
    <xf numFmtId="16" fontId="0" fillId="0" borderId="0" xfId="0" applyNumberFormat="1"/>
    <xf numFmtId="0" fontId="1" fillId="0" borderId="3" xfId="0" applyFont="1" applyBorder="1"/>
    <xf numFmtId="0" fontId="18" fillId="0" borderId="1" xfId="0" applyFont="1" applyBorder="1" applyAlignment="1">
      <alignment horizontal="center"/>
    </xf>
    <xf numFmtId="0" fontId="0" fillId="0" borderId="6" xfId="0" applyBorder="1" applyAlignment="1">
      <alignment wrapText="1"/>
    </xf>
    <xf numFmtId="0" fontId="1" fillId="6" borderId="4" xfId="0" applyFont="1" applyFill="1" applyBorder="1" applyAlignment="1">
      <alignment horizontal="left" vertical="center"/>
    </xf>
    <xf numFmtId="0" fontId="1" fillId="6" borderId="4" xfId="0" applyFont="1" applyFill="1" applyBorder="1" applyAlignment="1">
      <alignment horizontal="center"/>
    </xf>
    <xf numFmtId="0" fontId="1" fillId="0" borderId="4" xfId="0" applyFont="1" applyBorder="1" applyAlignment="1">
      <alignment vertical="center"/>
    </xf>
    <xf numFmtId="0" fontId="1" fillId="0" borderId="4" xfId="0" applyFont="1" applyBorder="1"/>
    <xf numFmtId="0" fontId="0" fillId="0" borderId="19" xfId="0" applyBorder="1"/>
    <xf numFmtId="0" fontId="19" fillId="16" borderId="3" xfId="0" applyFont="1" applyFill="1" applyBorder="1" applyAlignment="1">
      <alignment readingOrder="1"/>
    </xf>
    <xf numFmtId="0" fontId="0" fillId="0" borderId="2" xfId="0" applyBorder="1" applyAlignment="1">
      <alignment horizontal="center"/>
    </xf>
    <xf numFmtId="0" fontId="19" fillId="0" borderId="3" xfId="0" applyFont="1" applyBorder="1" applyAlignment="1">
      <alignment readingOrder="1"/>
    </xf>
    <xf numFmtId="0" fontId="0" fillId="0" borderId="23" xfId="0" applyBorder="1" applyAlignment="1">
      <alignment horizontal="center"/>
    </xf>
    <xf numFmtId="0" fontId="0" fillId="0" borderId="19" xfId="0" applyBorder="1" applyAlignment="1">
      <alignment horizontal="left" vertical="center"/>
    </xf>
    <xf numFmtId="0" fontId="17" fillId="0" borderId="3" xfId="0" applyFont="1" applyBorder="1"/>
    <xf numFmtId="0" fontId="1" fillId="0" borderId="10" xfId="0" applyFont="1" applyBorder="1"/>
    <xf numFmtId="0" fontId="1" fillId="0" borderId="6" xfId="0" applyFont="1" applyBorder="1"/>
    <xf numFmtId="0" fontId="1" fillId="0" borderId="28" xfId="0" applyFont="1" applyBorder="1"/>
    <xf numFmtId="0" fontId="20" fillId="0" borderId="3" xfId="0" applyFont="1" applyBorder="1"/>
    <xf numFmtId="0" fontId="18" fillId="7" borderId="3" xfId="0" applyFont="1" applyFill="1" applyBorder="1"/>
    <xf numFmtId="0" fontId="0" fillId="0" borderId="7" xfId="0" applyBorder="1" applyAlignment="1">
      <alignment horizontal="center"/>
    </xf>
    <xf numFmtId="0" fontId="0" fillId="0" borderId="3" xfId="0" applyBorder="1" applyAlignment="1">
      <alignment horizontal="left"/>
    </xf>
    <xf numFmtId="0" fontId="0" fillId="0" borderId="17" xfId="0" applyBorder="1" applyAlignment="1">
      <alignment horizontal="left" vertical="center"/>
    </xf>
    <xf numFmtId="0" fontId="0" fillId="7" borderId="16" xfId="0" applyFill="1" applyBorder="1"/>
    <xf numFmtId="0" fontId="0" fillId="0" borderId="12" xfId="0" applyBorder="1" applyAlignment="1">
      <alignment horizontal="center" vertical="center"/>
    </xf>
    <xf numFmtId="0" fontId="1" fillId="0" borderId="30" xfId="0" applyFont="1" applyBorder="1"/>
    <xf numFmtId="0" fontId="1" fillId="0" borderId="0" xfId="0" applyFont="1" applyAlignment="1">
      <alignment horizontal="center"/>
    </xf>
    <xf numFmtId="0" fontId="1" fillId="0" borderId="7" xfId="0" applyFont="1" applyBorder="1"/>
    <xf numFmtId="0" fontId="1" fillId="0" borderId="7" xfId="0" applyFont="1" applyBorder="1" applyAlignment="1">
      <alignment horizontal="center" vertical="center"/>
    </xf>
    <xf numFmtId="0" fontId="9" fillId="10" borderId="16" xfId="0" applyFont="1" applyFill="1" applyBorder="1" applyAlignment="1">
      <alignment horizontal="center"/>
    </xf>
    <xf numFmtId="0" fontId="0" fillId="0" borderId="30" xfId="0" applyBorder="1" applyAlignment="1">
      <alignment horizontal="left" vertical="center"/>
    </xf>
    <xf numFmtId="0" fontId="0" fillId="0" borderId="6" xfId="0" applyBorder="1" applyAlignment="1">
      <alignment horizontal="left" vertical="center"/>
    </xf>
    <xf numFmtId="0" fontId="0" fillId="0" borderId="31" xfId="0" applyBorder="1" applyAlignment="1">
      <alignment horizontal="center"/>
    </xf>
    <xf numFmtId="0" fontId="0" fillId="0" borderId="23" xfId="0" applyBorder="1"/>
    <xf numFmtId="0" fontId="0" fillId="0" borderId="30" xfId="0" applyBorder="1" applyAlignment="1">
      <alignment horizontal="center"/>
    </xf>
    <xf numFmtId="0" fontId="0" fillId="0" borderId="22" xfId="0" applyBorder="1" applyAlignment="1">
      <alignment horizontal="center"/>
    </xf>
    <xf numFmtId="0" fontId="0" fillId="0" borderId="32" xfId="0" applyBorder="1" applyAlignment="1">
      <alignment vertical="center"/>
    </xf>
    <xf numFmtId="0" fontId="0" fillId="0" borderId="32" xfId="0" applyBorder="1"/>
    <xf numFmtId="0" fontId="19" fillId="0" borderId="1" xfId="0" applyFont="1" applyBorder="1" applyAlignment="1">
      <alignment readingOrder="1"/>
    </xf>
    <xf numFmtId="0" fontId="19" fillId="0" borderId="20" xfId="0" applyFont="1" applyBorder="1" applyAlignment="1">
      <alignment readingOrder="1"/>
    </xf>
    <xf numFmtId="0" fontId="19" fillId="0" borderId="17" xfId="0" applyFont="1" applyBorder="1" applyAlignment="1">
      <alignment readingOrder="1"/>
    </xf>
    <xf numFmtId="0" fontId="0" fillId="0" borderId="2" xfId="0" applyBorder="1" applyAlignment="1">
      <alignment horizontal="center" vertical="center"/>
    </xf>
    <xf numFmtId="0" fontId="1" fillId="0" borderId="19" xfId="0" applyFont="1" applyBorder="1" applyAlignment="1">
      <alignment vertical="center"/>
    </xf>
    <xf numFmtId="0" fontId="0" fillId="0" borderId="2" xfId="0" applyBorder="1" applyAlignment="1">
      <alignment vertical="center"/>
    </xf>
    <xf numFmtId="0" fontId="0" fillId="0" borderId="9" xfId="0" applyBorder="1" applyAlignment="1">
      <alignment vertical="center"/>
    </xf>
    <xf numFmtId="0" fontId="0" fillId="0" borderId="11" xfId="0" applyBorder="1"/>
    <xf numFmtId="0" fontId="0" fillId="0" borderId="11" xfId="0" applyBorder="1" applyAlignment="1">
      <alignment vertical="center"/>
    </xf>
    <xf numFmtId="0" fontId="18" fillId="0" borderId="1" xfId="0" applyFont="1" applyBorder="1"/>
    <xf numFmtId="0" fontId="18" fillId="0" borderId="14" xfId="0" applyFont="1" applyBorder="1"/>
    <xf numFmtId="0" fontId="0" fillId="17" borderId="3" xfId="0" applyFill="1" applyBorder="1"/>
    <xf numFmtId="0" fontId="18" fillId="17" borderId="1" xfId="0" applyFont="1" applyFill="1" applyBorder="1"/>
    <xf numFmtId="0" fontId="18" fillId="17" borderId="3" xfId="0" applyFont="1" applyFill="1" applyBorder="1"/>
    <xf numFmtId="0" fontId="18" fillId="17" borderId="17" xfId="0" applyFont="1" applyFill="1" applyBorder="1" applyAlignment="1">
      <alignment horizontal="left"/>
    </xf>
    <xf numFmtId="0" fontId="0" fillId="17" borderId="1" xfId="0" applyFill="1" applyBorder="1"/>
    <xf numFmtId="0" fontId="0" fillId="17" borderId="17" xfId="0" applyFill="1" applyBorder="1"/>
    <xf numFmtId="0" fontId="0" fillId="0" borderId="18" xfId="0" applyBorder="1" applyAlignment="1">
      <alignment vertical="center"/>
    </xf>
    <xf numFmtId="0" fontId="0" fillId="0" borderId="15" xfId="0" applyBorder="1" applyAlignment="1">
      <alignment horizontal="center"/>
    </xf>
    <xf numFmtId="0" fontId="0" fillId="0" borderId="27" xfId="0" applyBorder="1" applyAlignment="1">
      <alignment horizontal="center"/>
    </xf>
    <xf numFmtId="0" fontId="0" fillId="17" borderId="0" xfId="0" applyFill="1"/>
    <xf numFmtId="0" fontId="18" fillId="17" borderId="0" xfId="0" applyFont="1" applyFill="1"/>
    <xf numFmtId="0" fontId="0" fillId="0" borderId="29" xfId="0" applyBorder="1"/>
    <xf numFmtId="0" fontId="16" fillId="0" borderId="10" xfId="0" applyFont="1" applyBorder="1"/>
    <xf numFmtId="0" fontId="8" fillId="18" borderId="1" xfId="0" applyFont="1" applyFill="1" applyBorder="1" applyAlignment="1">
      <alignment horizontal="center"/>
    </xf>
    <xf numFmtId="0" fontId="0" fillId="18" borderId="1" xfId="0" applyFill="1" applyBorder="1"/>
    <xf numFmtId="0" fontId="5" fillId="0" borderId="29" xfId="0" applyFont="1" applyBorder="1" applyAlignment="1">
      <alignment horizontal="center"/>
    </xf>
    <xf numFmtId="0" fontId="3" fillId="0" borderId="17" xfId="0" applyFont="1" applyBorder="1" applyAlignment="1">
      <alignment horizontal="center" vertical="center"/>
    </xf>
    <xf numFmtId="0" fontId="3" fillId="0" borderId="17" xfId="0" applyFont="1" applyBorder="1" applyAlignment="1">
      <alignment horizontal="center" vertical="center" indent="1"/>
    </xf>
    <xf numFmtId="0" fontId="0" fillId="19" borderId="1" xfId="0" applyFill="1" applyBorder="1"/>
    <xf numFmtId="0" fontId="0" fillId="19" borderId="1" xfId="0" applyFill="1" applyBorder="1" applyAlignment="1">
      <alignment horizontal="center" vertical="center"/>
    </xf>
    <xf numFmtId="0" fontId="0" fillId="19" borderId="1" xfId="0" applyFill="1" applyBorder="1" applyAlignment="1">
      <alignment horizontal="center"/>
    </xf>
    <xf numFmtId="0" fontId="0" fillId="19" borderId="3" xfId="0" applyFill="1" applyBorder="1"/>
    <xf numFmtId="0" fontId="0" fillId="19" borderId="3" xfId="0" applyFill="1" applyBorder="1" applyAlignment="1">
      <alignment horizontal="center"/>
    </xf>
    <xf numFmtId="0" fontId="0" fillId="20" borderId="1" xfId="0" applyFill="1" applyBorder="1"/>
    <xf numFmtId="0" fontId="0" fillId="20" borderId="1" xfId="0" applyFill="1" applyBorder="1" applyAlignment="1">
      <alignment horizontal="center"/>
    </xf>
    <xf numFmtId="0" fontId="0" fillId="3" borderId="1" xfId="0" applyFill="1" applyBorder="1"/>
    <xf numFmtId="0" fontId="0" fillId="5" borderId="3" xfId="0" applyFill="1" applyBorder="1"/>
    <xf numFmtId="0" fontId="0" fillId="0" borderId="31" xfId="0" applyBorder="1"/>
    <xf numFmtId="0" fontId="1" fillId="0" borderId="19" xfId="0" applyFont="1" applyBorder="1" applyAlignment="1">
      <alignment horizontal="center" vertical="center"/>
    </xf>
    <xf numFmtId="43" fontId="0" fillId="0" borderId="1" xfId="0" applyNumberFormat="1" applyBorder="1"/>
    <xf numFmtId="0" fontId="0" fillId="0" borderId="17" xfId="0" applyBorder="1" applyAlignment="1">
      <alignment horizontal="left"/>
    </xf>
    <xf numFmtId="0" fontId="3" fillId="0" borderId="17" xfId="0" applyFont="1" applyBorder="1" applyAlignment="1">
      <alignment vertical="center"/>
    </xf>
    <xf numFmtId="0" fontId="1" fillId="13" borderId="1" xfId="0" applyFont="1" applyFill="1" applyBorder="1" applyAlignment="1">
      <alignment horizontal="center"/>
    </xf>
    <xf numFmtId="0" fontId="0" fillId="0" borderId="5" xfId="0" applyBorder="1" applyAlignment="1">
      <alignment horizontal="left" vertical="center"/>
    </xf>
    <xf numFmtId="0" fontId="18" fillId="0" borderId="17" xfId="0" applyFont="1" applyBorder="1"/>
    <xf numFmtId="0" fontId="18" fillId="0" borderId="0" xfId="0" applyFont="1"/>
    <xf numFmtId="0" fontId="0" fillId="0" borderId="28" xfId="0" applyBorder="1" applyAlignment="1">
      <alignment horizontal="center" vertical="center"/>
    </xf>
    <xf numFmtId="0" fontId="0" fillId="0" borderId="20" xfId="0" applyBorder="1" applyAlignment="1">
      <alignment horizontal="center"/>
    </xf>
    <xf numFmtId="0" fontId="1" fillId="0" borderId="0" xfId="0" applyFont="1" applyAlignment="1">
      <alignment horizontal="center" indent="1"/>
    </xf>
    <xf numFmtId="0" fontId="18" fillId="0" borderId="6" xfId="0" applyFont="1" applyBorder="1"/>
    <xf numFmtId="0" fontId="18" fillId="7" borderId="6" xfId="0" applyFont="1" applyFill="1" applyBorder="1"/>
    <xf numFmtId="0" fontId="16" fillId="7" borderId="6" xfId="0" applyFont="1" applyFill="1" applyBorder="1"/>
    <xf numFmtId="0" fontId="18" fillId="7" borderId="28" xfId="0" applyFont="1" applyFill="1" applyBorder="1"/>
    <xf numFmtId="0" fontId="1" fillId="7" borderId="1" xfId="0" applyFont="1" applyFill="1" applyBorder="1"/>
    <xf numFmtId="0" fontId="18" fillId="7" borderId="3" xfId="0" applyFont="1" applyFill="1" applyBorder="1" applyAlignment="1">
      <alignment horizontal="left"/>
    </xf>
    <xf numFmtId="0" fontId="17" fillId="7" borderId="3" xfId="0" applyFont="1" applyFill="1" applyBorder="1"/>
    <xf numFmtId="0" fontId="19" fillId="7" borderId="17" xfId="0" applyFont="1" applyFill="1" applyBorder="1" applyAlignment="1">
      <alignment readingOrder="1"/>
    </xf>
    <xf numFmtId="0" fontId="0" fillId="6" borderId="10" xfId="0" applyFill="1" applyBorder="1" applyAlignment="1">
      <alignment horizontal="center"/>
    </xf>
    <xf numFmtId="0" fontId="0" fillId="8" borderId="27" xfId="0" applyFill="1" applyBorder="1" applyAlignment="1">
      <alignment horizontal="center"/>
    </xf>
    <xf numFmtId="0" fontId="0" fillId="8" borderId="3" xfId="0" applyFill="1" applyBorder="1" applyAlignment="1">
      <alignment horizont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14" fillId="10" borderId="33" xfId="0" applyFont="1" applyFill="1" applyBorder="1" applyAlignment="1">
      <alignment vertical="center" wrapText="1"/>
    </xf>
    <xf numFmtId="0" fontId="14" fillId="10" borderId="0" xfId="0" applyFont="1" applyFill="1" applyAlignment="1">
      <alignment horizontal="center" vertical="center" wrapText="1"/>
    </xf>
    <xf numFmtId="0" fontId="17" fillId="0" borderId="1" xfId="0" applyFont="1" applyBorder="1" applyAlignment="1">
      <alignment horizontal="center"/>
    </xf>
    <xf numFmtId="0" fontId="17" fillId="0" borderId="3" xfId="0" applyFont="1" applyBorder="1" applyAlignment="1">
      <alignment horizontal="center"/>
    </xf>
    <xf numFmtId="0" fontId="21" fillId="0" borderId="1" xfId="0" applyFont="1" applyBorder="1"/>
    <xf numFmtId="0" fontId="0" fillId="13" borderId="0" xfId="0" applyFill="1" applyAlignment="1">
      <alignment horizontal="center"/>
    </xf>
    <xf numFmtId="0" fontId="0" fillId="0" borderId="3" xfId="0" applyBorder="1" applyAlignment="1">
      <alignment horizontal="center" vertical="top"/>
    </xf>
    <xf numFmtId="0" fontId="0" fillId="0" borderId="0" xfId="0" applyAlignment="1">
      <alignment horizontal="left"/>
    </xf>
    <xf numFmtId="0" fontId="0" fillId="0" borderId="30" xfId="0" applyBorder="1"/>
    <xf numFmtId="0" fontId="18" fillId="0" borderId="5" xfId="0" applyFont="1" applyBorder="1"/>
    <xf numFmtId="0" fontId="1" fillId="0" borderId="0" xfId="0" applyFont="1"/>
    <xf numFmtId="0" fontId="19" fillId="0" borderId="22" xfId="0" applyFont="1" applyBorder="1" applyAlignment="1">
      <alignment readingOrder="1"/>
    </xf>
    <xf numFmtId="0" fontId="18" fillId="0" borderId="7" xfId="0" applyFont="1" applyBorder="1"/>
    <xf numFmtId="0" fontId="17" fillId="0" borderId="22" xfId="0" applyFont="1" applyBorder="1"/>
    <xf numFmtId="0" fontId="18" fillId="0" borderId="22" xfId="0" applyFont="1" applyBorder="1"/>
    <xf numFmtId="0" fontId="16" fillId="0" borderId="6" xfId="0" applyFont="1" applyBorder="1"/>
    <xf numFmtId="0" fontId="19" fillId="0" borderId="6" xfId="0" applyFont="1" applyBorder="1" applyAlignment="1">
      <alignment readingOrder="1"/>
    </xf>
    <xf numFmtId="0" fontId="18" fillId="0" borderId="2" xfId="0" applyFont="1" applyBorder="1"/>
    <xf numFmtId="0" fontId="17" fillId="0" borderId="1" xfId="0" applyFont="1" applyBorder="1"/>
    <xf numFmtId="0" fontId="18" fillId="0" borderId="4" xfId="0" applyFont="1" applyBorder="1"/>
    <xf numFmtId="0" fontId="19" fillId="16" borderId="1" xfId="0" applyFont="1" applyFill="1" applyBorder="1" applyAlignment="1">
      <alignment readingOrder="1"/>
    </xf>
    <xf numFmtId="0" fontId="17" fillId="0" borderId="2" xfId="0" applyFont="1" applyBorder="1"/>
    <xf numFmtId="0" fontId="17" fillId="0" borderId="6" xfId="0" applyFont="1" applyBorder="1"/>
    <xf numFmtId="0" fontId="18" fillId="0" borderId="21" xfId="0" applyFont="1" applyBorder="1"/>
    <xf numFmtId="0" fontId="18" fillId="0" borderId="23" xfId="0" applyFont="1" applyBorder="1"/>
    <xf numFmtId="0" fontId="18" fillId="0" borderId="28" xfId="0" applyFont="1" applyBorder="1"/>
    <xf numFmtId="0" fontId="17" fillId="0" borderId="19" xfId="0" applyFont="1" applyBorder="1"/>
    <xf numFmtId="0" fontId="0" fillId="0" borderId="22" xfId="0" applyBorder="1" applyAlignment="1">
      <alignment vertical="center"/>
    </xf>
    <xf numFmtId="0" fontId="18" fillId="0" borderId="19" xfId="0" applyFont="1" applyBorder="1"/>
    <xf numFmtId="0" fontId="0" fillId="0" borderId="23" xfId="0" applyBorder="1" applyAlignment="1">
      <alignment vertical="center"/>
    </xf>
    <xf numFmtId="0" fontId="13" fillId="0" borderId="1" xfId="0" applyFont="1" applyBorder="1"/>
    <xf numFmtId="0" fontId="22" fillId="0" borderId="3" xfId="0" applyFont="1" applyBorder="1" applyAlignment="1">
      <alignment horizontal="left"/>
    </xf>
    <xf numFmtId="0" fontId="22" fillId="7" borderId="3" xfId="0" applyFont="1" applyFill="1" applyBorder="1" applyAlignment="1">
      <alignment horizontal="left"/>
    </xf>
    <xf numFmtId="0" fontId="22" fillId="0" borderId="1" xfId="0" applyFont="1" applyBorder="1"/>
    <xf numFmtId="0" fontId="22" fillId="0" borderId="3" xfId="0" applyFont="1" applyBorder="1"/>
    <xf numFmtId="0" fontId="23" fillId="0" borderId="3" xfId="0" applyFont="1" applyBorder="1"/>
    <xf numFmtId="0" fontId="1" fillId="7" borderId="3" xfId="0" applyFont="1" applyFill="1" applyBorder="1"/>
    <xf numFmtId="0" fontId="22" fillId="7" borderId="3" xfId="0" applyFont="1" applyFill="1" applyBorder="1"/>
    <xf numFmtId="0" fontId="24" fillId="7" borderId="17" xfId="0" applyFont="1" applyFill="1" applyBorder="1" applyAlignment="1">
      <alignment readingOrder="1"/>
    </xf>
    <xf numFmtId="0" fontId="22" fillId="0" borderId="6" xfId="0" applyFont="1" applyBorder="1"/>
    <xf numFmtId="0" fontId="22" fillId="7" borderId="6" xfId="0" applyFont="1" applyFill="1" applyBorder="1"/>
    <xf numFmtId="0" fontId="22" fillId="0" borderId="0" xfId="0" applyFont="1"/>
    <xf numFmtId="0" fontId="25" fillId="21" borderId="3" xfId="0" applyFont="1" applyFill="1" applyBorder="1"/>
    <xf numFmtId="0" fontId="25" fillId="0" borderId="3" xfId="0" applyFont="1" applyBorder="1"/>
    <xf numFmtId="0" fontId="26" fillId="0" borderId="3" xfId="0" applyFont="1" applyBorder="1"/>
    <xf numFmtId="0" fontId="25" fillId="0" borderId="0" xfId="0" applyFont="1"/>
    <xf numFmtId="0" fontId="22" fillId="0" borderId="28" xfId="0" applyFont="1" applyBorder="1"/>
    <xf numFmtId="0" fontId="22" fillId="7" borderId="7" xfId="0" applyFont="1" applyFill="1" applyBorder="1"/>
    <xf numFmtId="0" fontId="25" fillId="0" borderId="17" xfId="0" applyFont="1" applyBorder="1"/>
    <xf numFmtId="0" fontId="0" fillId="0" borderId="18" xfId="0" applyBorder="1" applyAlignment="1">
      <alignment horizontal="center"/>
    </xf>
    <xf numFmtId="0" fontId="1" fillId="6" borderId="3" xfId="0" applyFont="1" applyFill="1" applyBorder="1" applyAlignment="1">
      <alignment horizontal="center"/>
    </xf>
    <xf numFmtId="0" fontId="0" fillId="0" borderId="16" xfId="0" applyBorder="1" applyAlignment="1">
      <alignment horizontal="center" vertical="center"/>
    </xf>
    <xf numFmtId="0" fontId="0" fillId="0" borderId="12" xfId="0" applyBorder="1" applyAlignment="1">
      <alignment horizontal="center"/>
    </xf>
    <xf numFmtId="0" fontId="10" fillId="9" borderId="1" xfId="0" applyFont="1" applyFill="1" applyBorder="1" applyAlignment="1">
      <alignment horizontal="center" wrapText="1"/>
    </xf>
    <xf numFmtId="0" fontId="8" fillId="0" borderId="9" xfId="0" applyFont="1" applyBorder="1" applyAlignment="1">
      <alignment horizontal="center" vertical="center"/>
    </xf>
    <xf numFmtId="0" fontId="8" fillId="0" borderId="15" xfId="0" applyFont="1" applyBorder="1" applyAlignment="1">
      <alignment horizontal="center" vertical="center"/>
    </xf>
    <xf numFmtId="0" fontId="1" fillId="0" borderId="3" xfId="0" applyFont="1" applyBorder="1" applyAlignment="1">
      <alignment horizontal="center"/>
    </xf>
    <xf numFmtId="0" fontId="1" fillId="5" borderId="9" xfId="0" applyFont="1" applyFill="1" applyBorder="1" applyAlignment="1">
      <alignment horizontal="center"/>
    </xf>
    <xf numFmtId="0" fontId="1" fillId="5" borderId="15" xfId="0" applyFont="1" applyFill="1" applyBorder="1" applyAlignment="1">
      <alignment horizontal="center"/>
    </xf>
    <xf numFmtId="0" fontId="1" fillId="5" borderId="10" xfId="0" applyFont="1" applyFill="1" applyBorder="1" applyAlignment="1">
      <alignment horizontal="center"/>
    </xf>
    <xf numFmtId="0" fontId="4" fillId="0" borderId="4" xfId="0" applyFont="1" applyBorder="1" applyAlignment="1">
      <alignment horizontal="center"/>
    </xf>
    <xf numFmtId="0" fontId="4" fillId="0" borderId="4" xfId="0" applyFont="1" applyBorder="1"/>
    <xf numFmtId="0" fontId="4" fillId="0" borderId="1" xfId="0" applyFont="1" applyBorder="1" applyAlignment="1">
      <alignment horizontal="center"/>
    </xf>
    <xf numFmtId="0" fontId="4" fillId="0" borderId="1" xfId="0" applyFont="1" applyBorder="1"/>
    <xf numFmtId="0" fontId="5" fillId="0" borderId="9" xfId="0" applyFont="1" applyBorder="1" applyAlignment="1">
      <alignment horizontal="center"/>
    </xf>
    <xf numFmtId="0" fontId="5" fillId="0" borderId="15" xfId="0" applyFont="1" applyBorder="1" applyAlignment="1">
      <alignment horizontal="center"/>
    </xf>
    <xf numFmtId="0" fontId="5" fillId="0" borderId="10" xfId="0" applyFont="1" applyBorder="1" applyAlignment="1">
      <alignment horizontal="center"/>
    </xf>
    <xf numFmtId="0" fontId="5" fillId="0" borderId="1" xfId="0" applyFont="1" applyBorder="1" applyAlignment="1">
      <alignment horizontal="center"/>
    </xf>
    <xf numFmtId="0" fontId="5" fillId="0" borderId="3" xfId="0" applyFont="1" applyBorder="1" applyAlignment="1">
      <alignment horizontal="center"/>
    </xf>
    <xf numFmtId="0" fontId="9" fillId="4" borderId="3" xfId="0" applyFont="1" applyFill="1" applyBorder="1" applyAlignment="1">
      <alignment horizontal="center"/>
    </xf>
    <xf numFmtId="0" fontId="10" fillId="11" borderId="5" xfId="0" applyFont="1" applyFill="1" applyBorder="1" applyAlignment="1">
      <alignment horizontal="center" wrapText="1"/>
    </xf>
    <xf numFmtId="0" fontId="7" fillId="0" borderId="5" xfId="0" applyFont="1" applyBorder="1" applyAlignment="1">
      <alignment horizontal="center" wrapText="1"/>
    </xf>
    <xf numFmtId="0" fontId="7" fillId="0" borderId="23" xfId="0" applyFont="1" applyBorder="1" applyAlignment="1">
      <alignment horizontal="center" wrapText="1"/>
    </xf>
    <xf numFmtId="0" fontId="7" fillId="0" borderId="6" xfId="0" applyFont="1" applyBorder="1" applyAlignment="1">
      <alignment horizontal="center" wrapText="1"/>
    </xf>
    <xf numFmtId="0" fontId="1" fillId="0" borderId="0" xfId="0" applyFont="1" applyAlignment="1">
      <alignment horizontal="center"/>
    </xf>
    <xf numFmtId="0" fontId="1" fillId="0" borderId="1" xfId="0" applyFont="1" applyBorder="1" applyAlignment="1">
      <alignment horizontal="center"/>
    </xf>
    <xf numFmtId="0" fontId="8" fillId="0" borderId="1" xfId="0" applyFont="1" applyBorder="1" applyAlignment="1">
      <alignment horizontal="center" vertical="center"/>
    </xf>
    <xf numFmtId="0" fontId="6" fillId="0" borderId="2" xfId="0" applyFont="1" applyBorder="1" applyAlignment="1">
      <alignment horizontal="center" wrapText="1"/>
    </xf>
    <xf numFmtId="0" fontId="5" fillId="0" borderId="7" xfId="0" applyFont="1" applyBorder="1" applyAlignment="1">
      <alignment horizontal="center"/>
    </xf>
    <xf numFmtId="0" fontId="1" fillId="0" borderId="3" xfId="0" applyFont="1" applyBorder="1" applyAlignment="1">
      <alignment horizontal="center" vertical="center" indent="1"/>
    </xf>
    <xf numFmtId="0" fontId="10" fillId="11" borderId="5" xfId="0" applyFont="1" applyFill="1" applyBorder="1" applyAlignment="1">
      <alignment horizontal="center" vertical="center" wrapText="1"/>
    </xf>
    <xf numFmtId="0" fontId="10" fillId="11" borderId="23" xfId="0" applyFont="1" applyFill="1" applyBorder="1" applyAlignment="1">
      <alignment horizontal="center" vertical="center" wrapText="1"/>
    </xf>
    <xf numFmtId="0" fontId="10" fillId="11" borderId="6" xfId="0" applyFont="1" applyFill="1" applyBorder="1" applyAlignment="1">
      <alignment horizontal="center" vertical="center" wrapText="1"/>
    </xf>
    <xf numFmtId="0" fontId="9" fillId="22" borderId="5" xfId="0" applyFont="1" applyFill="1" applyBorder="1" applyAlignment="1">
      <alignment horizontal="center"/>
    </xf>
    <xf numFmtId="0" fontId="9" fillId="22" borderId="6" xfId="0" applyFont="1" applyFill="1" applyBorder="1" applyAlignment="1">
      <alignment horizontal="center"/>
    </xf>
    <xf numFmtId="0" fontId="9" fillId="22" borderId="5" xfId="0" applyFont="1" applyFill="1" applyBorder="1" applyAlignment="1">
      <alignment horizontal="center" indent="1"/>
    </xf>
    <xf numFmtId="0" fontId="9" fillId="22" borderId="6" xfId="0" applyFont="1" applyFill="1" applyBorder="1" applyAlignment="1">
      <alignment horizontal="center" indent="1"/>
    </xf>
    <xf numFmtId="0" fontId="1" fillId="0" borderId="27" xfId="0" applyFont="1" applyBorder="1" applyAlignment="1">
      <alignment horizontal="center"/>
    </xf>
    <xf numFmtId="0" fontId="8" fillId="0" borderId="10" xfId="0" applyFont="1" applyBorder="1" applyAlignment="1">
      <alignment horizontal="center" vertical="center"/>
    </xf>
    <xf numFmtId="0" fontId="4" fillId="0" borderId="8" xfId="0" applyFont="1" applyBorder="1" applyAlignment="1">
      <alignment horizontal="center" vertical="center"/>
    </xf>
    <xf numFmtId="0" fontId="4" fillId="0" borderId="0" xfId="0" applyFont="1" applyAlignment="1">
      <alignment horizontal="center" vertical="center"/>
    </xf>
  </cellXfs>
  <cellStyles count="1">
    <cellStyle name="Normal" xfId="0" builtinId="0"/>
  </cellStyles>
  <dxfs count="1215">
    <dxf>
      <fill>
        <patternFill>
          <fgColor theme="1"/>
          <bgColor rgb="FF92D050"/>
        </patternFill>
      </fill>
    </dxf>
    <dxf>
      <fill>
        <patternFill>
          <bgColor rgb="FF7030A0"/>
        </patternFill>
      </fill>
    </dxf>
    <dxf>
      <fill>
        <patternFill>
          <bgColor rgb="FFFFC000"/>
        </patternFill>
      </fill>
    </dxf>
    <dxf>
      <fill>
        <patternFill>
          <fgColor theme="1"/>
          <bgColor rgb="FF92D050"/>
        </patternFill>
      </fill>
    </dxf>
    <dxf>
      <fill>
        <patternFill>
          <bgColor rgb="FF7030A0"/>
        </patternFill>
      </fill>
    </dxf>
    <dxf>
      <fill>
        <patternFill>
          <bgColor rgb="FFFFC000"/>
        </patternFill>
      </fill>
    </dxf>
    <dxf>
      <fill>
        <patternFill>
          <bgColor rgb="FFFFC000"/>
        </patternFill>
      </fill>
    </dxf>
    <dxf>
      <fill>
        <patternFill>
          <bgColor rgb="FF7030A0"/>
        </patternFill>
      </fill>
    </dxf>
    <dxf>
      <fill>
        <patternFill>
          <fgColor theme="1"/>
          <bgColor rgb="FF92D050"/>
        </patternFill>
      </fill>
    </dxf>
    <dxf>
      <fill>
        <patternFill>
          <fgColor theme="1"/>
          <bgColor rgb="FF92D050"/>
        </patternFill>
      </fill>
    </dxf>
    <dxf>
      <fill>
        <patternFill>
          <bgColor rgb="FF7030A0"/>
        </patternFill>
      </fill>
    </dxf>
    <dxf>
      <fill>
        <patternFill>
          <bgColor rgb="FFFFC000"/>
        </patternFill>
      </fill>
    </dxf>
    <dxf>
      <fill>
        <patternFill>
          <bgColor rgb="FFFFC000"/>
        </patternFill>
      </fill>
    </dxf>
    <dxf>
      <fill>
        <patternFill>
          <bgColor rgb="FF7030A0"/>
        </patternFill>
      </fill>
    </dxf>
    <dxf>
      <fill>
        <patternFill>
          <fgColor theme="1"/>
          <bgColor rgb="FF92D05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FF00"/>
        </patternFill>
      </fill>
    </dxf>
    <dxf>
      <font>
        <color rgb="FFFFFF00"/>
      </font>
      <fill>
        <patternFill>
          <fgColor theme="1"/>
          <bgColor rgb="FFFF0000"/>
        </patternFill>
      </fill>
    </dxf>
    <dxf>
      <font>
        <color rgb="FFFFFF00"/>
      </font>
      <fill>
        <patternFill>
          <fgColor theme="1"/>
          <bgColor rgb="FFFF0000"/>
        </patternFill>
      </fill>
    </dxf>
    <dxf>
      <fill>
        <patternFill>
          <fgColor theme="1"/>
          <bgColor rgb="FF92D050"/>
        </patternFill>
      </fill>
    </dxf>
    <dxf>
      <fill>
        <patternFill>
          <bgColor rgb="FF7030A0"/>
        </patternFill>
      </fill>
    </dxf>
    <dxf>
      <fill>
        <patternFill>
          <bgColor rgb="FFFFC000"/>
        </patternFill>
      </fill>
    </dxf>
    <dxf>
      <fill>
        <patternFill>
          <bgColor rgb="FFFFFF0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fgColor theme="1"/>
          <bgColor rgb="FF92D05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ont>
        <color rgb="FFFFFF00"/>
      </font>
      <fill>
        <patternFill>
          <fgColor theme="1"/>
          <bgColor rgb="FFFF0000"/>
        </patternFill>
      </fill>
    </dxf>
    <dxf>
      <fill>
        <patternFill>
          <bgColor rgb="FFFFC000"/>
        </patternFill>
      </fill>
    </dxf>
    <dxf>
      <fill>
        <patternFill>
          <fgColor theme="1"/>
          <bgColor rgb="FF92D050"/>
        </patternFill>
      </fill>
    </dxf>
    <dxf>
      <fill>
        <patternFill>
          <bgColor rgb="FF7030A0"/>
        </patternFill>
      </fill>
    </dxf>
    <dxf>
      <fill>
        <patternFill>
          <bgColor rgb="FFFFC000"/>
        </patternFill>
      </fill>
    </dxf>
    <dxf>
      <fill>
        <patternFill>
          <bgColor rgb="FF7030A0"/>
        </patternFill>
      </fill>
    </dxf>
    <dxf>
      <fill>
        <patternFill>
          <fgColor theme="1"/>
          <bgColor rgb="FF92D05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FF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7030A0"/>
        </patternFill>
      </fill>
    </dxf>
    <dxf>
      <fill>
        <patternFill>
          <fgColor theme="1"/>
          <bgColor rgb="FF92D050"/>
        </patternFill>
      </fill>
    </dxf>
    <dxf>
      <fill>
        <patternFill>
          <bgColor rgb="FFFFC000"/>
        </patternFill>
      </fill>
    </dxf>
    <dxf>
      <fill>
        <patternFill>
          <fgColor theme="1"/>
          <bgColor rgb="FF92D050"/>
        </patternFill>
      </fill>
    </dxf>
    <dxf>
      <fill>
        <patternFill>
          <bgColor rgb="FF7030A0"/>
        </patternFill>
      </fill>
    </dxf>
    <dxf>
      <fill>
        <patternFill>
          <bgColor rgb="FFFFC000"/>
        </patternFill>
      </fill>
    </dxf>
    <dxf>
      <fill>
        <patternFill>
          <bgColor rgb="FFFFFF00"/>
        </patternFill>
      </fill>
    </dxf>
    <dxf>
      <font>
        <color rgb="FFFFFF00"/>
      </font>
      <fill>
        <patternFill>
          <fgColor theme="1"/>
          <bgColor rgb="FFFF0000"/>
        </patternFill>
      </fill>
    </dxf>
    <dxf>
      <fill>
        <patternFill>
          <bgColor rgb="FF7030A0"/>
        </patternFill>
      </fill>
    </dxf>
    <dxf>
      <fill>
        <patternFill>
          <bgColor rgb="FFFFC000"/>
        </patternFill>
      </fill>
    </dxf>
    <dxf>
      <fill>
        <patternFill>
          <bgColor rgb="FFFFFF00"/>
        </patternFill>
      </fill>
    </dxf>
    <dxf>
      <font>
        <color rgb="FFFFFF00"/>
      </font>
      <fill>
        <patternFill>
          <fgColor theme="1"/>
          <bgColor rgb="FFFF000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7030A0"/>
        </patternFill>
      </fill>
    </dxf>
    <dxf>
      <fill>
        <patternFill>
          <fgColor theme="1"/>
          <bgColor rgb="FF92D050"/>
        </patternFill>
      </fill>
    </dxf>
    <dxf>
      <fill>
        <patternFill>
          <bgColor rgb="FFFFC000"/>
        </patternFill>
      </fill>
    </dxf>
    <dxf>
      <fill>
        <patternFill>
          <bgColor rgb="FFFFFF00"/>
        </patternFill>
      </fill>
    </dxf>
    <dxf>
      <font>
        <color rgb="FFFFFF00"/>
      </font>
      <fill>
        <patternFill>
          <fgColor theme="1"/>
          <bgColor rgb="FFFF0000"/>
        </patternFill>
      </fill>
    </dxf>
    <dxf>
      <fill>
        <patternFill>
          <fgColor theme="1"/>
          <bgColor rgb="FF92D050"/>
        </patternFill>
      </fill>
    </dxf>
    <dxf>
      <fill>
        <patternFill>
          <bgColor rgb="FFFFC000"/>
        </patternFill>
      </fill>
    </dxf>
    <dxf>
      <fill>
        <patternFill>
          <bgColor rgb="FF7030A0"/>
        </patternFill>
      </fill>
    </dxf>
    <dxf>
      <font>
        <color rgb="FFFFFF00"/>
      </font>
      <fill>
        <patternFill>
          <fgColor theme="1"/>
          <bgColor rgb="FFFF0000"/>
        </patternFill>
      </fill>
    </dxf>
    <dxf>
      <font>
        <color rgb="FFFFFF00"/>
      </font>
      <fill>
        <patternFill>
          <fgColor theme="1"/>
          <bgColor rgb="FFFF0000"/>
        </patternFill>
      </fill>
    </dxf>
    <dxf>
      <fill>
        <patternFill>
          <fgColor theme="1"/>
          <bgColor rgb="FF92D050"/>
        </patternFill>
      </fill>
    </dxf>
    <dxf>
      <fill>
        <patternFill>
          <bgColor rgb="FF7030A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C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7030A0"/>
        </patternFill>
      </fill>
    </dxf>
    <dxf>
      <fill>
        <patternFill>
          <bgColor rgb="FFFFC000"/>
        </patternFill>
      </fill>
    </dxf>
    <dxf>
      <fill>
        <patternFill>
          <fgColor theme="1"/>
          <bgColor rgb="FF92D050"/>
        </patternFill>
      </fill>
    </dxf>
    <dxf>
      <font>
        <color rgb="FFFFFF00"/>
      </font>
      <fill>
        <patternFill>
          <fgColor theme="1"/>
          <bgColor rgb="FFFF0000"/>
        </patternFill>
      </fill>
    </dxf>
    <dxf>
      <fill>
        <patternFill>
          <fgColor theme="1"/>
          <bgColor rgb="FF92D050"/>
        </patternFill>
      </fill>
    </dxf>
    <dxf>
      <fill>
        <patternFill>
          <bgColor rgb="FF7030A0"/>
        </patternFill>
      </fill>
    </dxf>
    <dxf>
      <fill>
        <patternFill>
          <bgColor rgb="FFFFC000"/>
        </patternFill>
      </fill>
    </dxf>
    <dxf>
      <fill>
        <patternFill>
          <bgColor rgb="FFFFFF00"/>
        </patternFill>
      </fill>
    </dxf>
    <dxf>
      <font>
        <color rgb="FFFFFF00"/>
      </font>
      <fill>
        <patternFill>
          <fgColor theme="1"/>
          <bgColor rgb="FFFF0000"/>
        </patternFill>
      </fill>
    </dxf>
    <dxf>
      <font>
        <color rgb="FFFFFF00"/>
      </font>
      <fill>
        <patternFill>
          <fgColor theme="1"/>
          <bgColor rgb="FFFF0000"/>
        </patternFill>
      </fill>
    </dxf>
    <dxf>
      <fill>
        <patternFill>
          <bgColor rgb="FF7030A0"/>
        </patternFill>
      </fill>
    </dxf>
    <dxf>
      <fill>
        <patternFill>
          <bgColor rgb="FFFFC000"/>
        </patternFill>
      </fill>
    </dxf>
    <dxf>
      <fill>
        <patternFill>
          <bgColor rgb="FFFFFF00"/>
        </patternFill>
      </fill>
    </dxf>
    <dxf>
      <fill>
        <patternFill>
          <fgColor theme="1"/>
          <bgColor rgb="FF92D050"/>
        </patternFill>
      </fill>
    </dxf>
    <dxf>
      <font>
        <color rgb="FFFFFF00"/>
      </font>
      <fill>
        <patternFill>
          <fgColor theme="1"/>
          <bgColor rgb="FFFF0000"/>
        </patternFill>
      </fill>
    </dxf>
    <dxf>
      <fill>
        <patternFill>
          <fgColor theme="1"/>
          <bgColor rgb="FF92D050"/>
        </patternFill>
      </fill>
    </dxf>
    <dxf>
      <fill>
        <patternFill>
          <bgColor rgb="FF7030A0"/>
        </patternFill>
      </fill>
    </dxf>
    <dxf>
      <fill>
        <patternFill>
          <bgColor rgb="FFFFC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fgColor theme="1"/>
          <bgColor rgb="FF92D050"/>
        </patternFill>
      </fill>
    </dxf>
    <dxf>
      <fill>
        <patternFill>
          <bgColor rgb="FFFFFF00"/>
        </patternFill>
      </fill>
    </dxf>
    <dxf>
      <font>
        <color rgb="FFFFFF00"/>
      </font>
      <fill>
        <patternFill>
          <fgColor theme="1"/>
          <bgColor rgb="FFFF0000"/>
        </patternFill>
      </fill>
    </dxf>
    <dxf>
      <fill>
        <patternFill>
          <bgColor rgb="FFFFC000"/>
        </patternFill>
      </fill>
    </dxf>
    <dxf>
      <fill>
        <patternFill>
          <bgColor rgb="FF7030A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fgColor theme="1"/>
          <bgColor rgb="FF92D05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9C5700"/>
      </font>
      <fill>
        <patternFill>
          <bgColor rgb="FFFFEB9C"/>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9C5700"/>
      </font>
      <fill>
        <patternFill>
          <bgColor rgb="FFFFEB9C"/>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9C5700"/>
      </font>
      <fill>
        <patternFill>
          <bgColor rgb="FFFFEB9C"/>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9C5700"/>
      </font>
      <fill>
        <patternFill>
          <bgColor rgb="FFFFEB9C"/>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ont>
        <color rgb="FF9C0006"/>
      </font>
      <fill>
        <patternFill>
          <bgColor rgb="FFFFC7CE"/>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9C5700"/>
      </font>
      <fill>
        <patternFill>
          <bgColor rgb="FFFFEB9C"/>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9C5700"/>
      </font>
      <fill>
        <patternFill>
          <bgColor rgb="FFFFEB9C"/>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C000"/>
        </patternFill>
      </fill>
    </dxf>
    <dxf>
      <fill>
        <patternFill>
          <bgColor rgb="FF7030A0"/>
        </patternFill>
      </fill>
    </dxf>
    <dxf>
      <fill>
        <patternFill>
          <fgColor theme="1"/>
          <bgColor rgb="FF92D050"/>
        </patternFill>
      </fill>
    </dxf>
    <dxf>
      <fill>
        <patternFill>
          <bgColor rgb="FFFFC000"/>
        </patternFill>
      </fill>
    </dxf>
    <dxf>
      <fill>
        <patternFill>
          <bgColor rgb="FF7030A0"/>
        </patternFill>
      </fill>
    </dxf>
    <dxf>
      <fill>
        <patternFill>
          <fgColor theme="1"/>
          <bgColor rgb="FF92D050"/>
        </patternFill>
      </fill>
    </dxf>
    <dxf>
      <fill>
        <patternFill>
          <bgColor rgb="FFFFC000"/>
        </patternFill>
      </fill>
    </dxf>
    <dxf>
      <fill>
        <patternFill>
          <bgColor rgb="FF7030A0"/>
        </patternFill>
      </fill>
    </dxf>
    <dxf>
      <fill>
        <patternFill>
          <fgColor theme="1"/>
          <bgColor rgb="FF92D050"/>
        </patternFill>
      </fill>
    </dxf>
    <dxf>
      <fill>
        <patternFill>
          <bgColor rgb="FFFFC000"/>
        </patternFill>
      </fill>
    </dxf>
    <dxf>
      <fill>
        <patternFill>
          <bgColor rgb="FF7030A0"/>
        </patternFill>
      </fill>
    </dxf>
    <dxf>
      <fill>
        <patternFill>
          <fgColor theme="1"/>
          <bgColor rgb="FF92D05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FF00"/>
        </patternFill>
      </fill>
    </dxf>
    <dxf>
      <fill>
        <patternFill>
          <bgColor rgb="FFFFFF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fgColor theme="1"/>
          <bgColor rgb="FF92D050"/>
        </patternFill>
      </fill>
    </dxf>
    <dxf>
      <font>
        <color rgb="FFFFFF00"/>
      </font>
      <fill>
        <patternFill>
          <fgColor theme="1"/>
          <bgColor rgb="FFFF00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9C0006"/>
      </font>
      <fill>
        <patternFill>
          <bgColor rgb="FFFFC7CE"/>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9C5700"/>
      </font>
      <fill>
        <patternFill>
          <bgColor rgb="FFFFEB9C"/>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ill>
        <patternFill>
          <bgColor rgb="FFFFFF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
      <font>
        <color rgb="FFFFFF00"/>
      </font>
      <fill>
        <patternFill>
          <fgColor theme="1"/>
          <bgColor rgb="FFFF0000"/>
        </patternFill>
      </fill>
    </dxf>
    <dxf>
      <font>
        <color rgb="FFFFFF00"/>
      </font>
      <fill>
        <patternFill>
          <fgColor theme="1"/>
          <bgColor rgb="FFFF0000"/>
        </patternFill>
      </fill>
    </dxf>
    <dxf>
      <fill>
        <patternFill>
          <bgColor rgb="FFFFFF00"/>
        </patternFill>
      </fill>
    </dxf>
    <dxf>
      <fill>
        <patternFill>
          <bgColor rgb="FFFFC000"/>
        </patternFill>
      </fill>
    </dxf>
    <dxf>
      <fill>
        <patternFill>
          <bgColor rgb="FF7030A0"/>
        </patternFill>
      </fill>
    </dxf>
    <dxf>
      <fill>
        <patternFill>
          <fgColor theme="1"/>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ocumenttasks/documenttask1.xml><?xml version="1.0" encoding="utf-8"?>
<Tasks xmlns="http://schemas.microsoft.com/office/tasks/2019/documenttasks">
  <Task id="{101A108E-48B7-47A5-9154-B5B20E825F5D}">
    <Anchor>
      <Comment id="{77612539-2B8D-47C2-BB64-84F2DC839B25}"/>
    </Anchor>
    <History>
      <Event time="2025-04-23T15:41:19.05" id="{9D51618C-4546-4A03-BF62-9C1D6FF2D1CE}">
        <Attribution userId="S::jose.sanchez@crearpsl.com::92d5f1aa-8d65-4844-a74f-c728bb78e316" userName="Crearpsl - José Luis Sánchez" userProvider="AD"/>
        <Anchor>
          <Comment id="{77612539-2B8D-47C2-BB64-84F2DC839B25}"/>
        </Anchor>
        <Create/>
      </Event>
      <Event time="2025-04-23T15:41:19.05" id="{F7F5DD95-5370-493A-B882-8F364DBB7465}">
        <Attribution userId="S::jose.sanchez@crearpsl.com::92d5f1aa-8d65-4844-a74f-c728bb78e316" userName="Crearpsl - José Luis Sánchez" userProvider="AD"/>
        <Anchor>
          <Comment id="{77612539-2B8D-47C2-BB64-84F2DC839B25}"/>
        </Anchor>
        <Assign userId="S::pamela.carrillo@crearpsl.com::3138fffd-fdb7-4aa2-8dc7-456f3b9aeb7a" userName="Crearpsl - Pamela Carrillo" userProvider="AD"/>
      </Event>
      <Event time="2025-04-23T15:41:19.05" id="{8DD8A32E-22A8-4B4F-BA30-37BCAEB8E5F0}">
        <Attribution userId="S::jose.sanchez@crearpsl.com::92d5f1aa-8d65-4844-a74f-c728bb78e316" userName="Crearpsl - José Luis Sánchez" userProvider="AD"/>
        <Anchor>
          <Comment id="{77612539-2B8D-47C2-BB64-84F2DC839B25}"/>
        </Anchor>
        <SetTitle title="@Crearpsl - Pamela Carrillo que dijo"/>
      </Event>
    </History>
  </Task>
  <Task id="{36C7F2DF-E26E-468A-BAD6-8FCF859D0C2B}">
    <Anchor>
      <Comment id="{5896A7AE-0714-4186-B905-8BA1045A8E1F}"/>
    </Anchor>
    <History>
      <Event time="2025-04-01T23:11:29.05" id="{41C74ED1-E9EE-4499-9856-FFF3AF25F5F3}">
        <Attribution userId="S::jose.sanchez@crearpsl.com::92d5f1aa-8d65-4844-a74f-c728bb78e316" userName="Crearpsl - José Luis Sánchez" userProvider="AD"/>
        <Anchor>
          <Comment id="{5896A7AE-0714-4186-B905-8BA1045A8E1F}"/>
        </Anchor>
        <Create/>
      </Event>
      <Event time="2025-04-01T23:11:29.05" id="{97C0B212-28BF-47B8-93B7-4CD6E507DC86}">
        <Attribution userId="S::jose.sanchez@crearpsl.com::92d5f1aa-8d65-4844-a74f-c728bb78e316" userName="Crearpsl - José Luis Sánchez" userProvider="AD"/>
        <Anchor>
          <Comment id="{5896A7AE-0714-4186-B905-8BA1045A8E1F}"/>
        </Anchor>
        <Assign userId="S::linid.valencia@crearpsl.com::b4725176-c242-4c34-ae5a-ae4ee5e8740a" userName="Crearpsl - Linid Valencia" userProvider="AD"/>
      </Event>
      <Event time="2025-04-01T23:11:29.05" id="{E03F6EFC-C898-4B6D-965A-953E1C0F20A6}">
        <Attribution userId="S::jose.sanchez@crearpsl.com::92d5f1aa-8d65-4844-a74f-c728bb78e316" userName="Crearpsl - José Luis Sánchez" userProvider="AD"/>
        <Anchor>
          <Comment id="{5896A7AE-0714-4186-B905-8BA1045A8E1F}"/>
        </Anchor>
        <SetTitle title="@Crearpsl - Linid Valencia"/>
      </Event>
    </History>
  </Task>
  <Task id="{770F68F1-0D20-499E-8007-B9602D9D1697}">
    <Anchor>
      <Comment id="{C927E8EF-6141-4166-9B20-56238ABA0D06}"/>
    </Anchor>
    <History>
      <Event time="2025-04-01T23:11:08.16" id="{2FCA5933-C5F6-49DF-A539-754354FE44A4}">
        <Attribution userId="S::jose.sanchez@crearpsl.com::92d5f1aa-8d65-4844-a74f-c728bb78e316" userName="Crearpsl - José Luis Sánchez" userProvider="AD"/>
        <Anchor>
          <Comment id="{C927E8EF-6141-4166-9B20-56238ABA0D06}"/>
        </Anchor>
        <Create/>
      </Event>
      <Event time="2025-04-01T23:11:08.16" id="{02E2F0EF-4839-4BDF-BFBA-72B9E1B434E0}">
        <Attribution userId="S::jose.sanchez@crearpsl.com::92d5f1aa-8d65-4844-a74f-c728bb78e316" userName="Crearpsl - José Luis Sánchez" userProvider="AD"/>
        <Anchor>
          <Comment id="{C927E8EF-6141-4166-9B20-56238ABA0D06}"/>
        </Anchor>
        <Assign userId="S::pamela.carrillo@crearpsl.com::3138fffd-fdb7-4aa2-8dc7-456f3b9aeb7a" userName="Crearpsl - Pamela Carrillo" userProvider="AD"/>
      </Event>
      <Event time="2025-04-01T23:11:08.16" id="{2419F536-2976-4DCF-9D46-93D1EB27AD65}">
        <Attribution userId="S::jose.sanchez@crearpsl.com::92d5f1aa-8d65-4844-a74f-c728bb78e316" userName="Crearpsl - José Luis Sánchez" userProvider="AD"/>
        <Anchor>
          <Comment id="{C927E8EF-6141-4166-9B20-56238ABA0D06}"/>
        </Anchor>
        <SetTitle title="@Crearpsl - Pamela Carrillo"/>
      </Event>
    </History>
  </Task>
</Task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LIADOS POTENCIALES" id="{3AC46F43-197B-4B3E-BEB4-AA849A41250F}">
    <nsvFilter filterId="{E8898237-E438-4A3E-832D-558CC599399D}" ref="A1:Z295" tableId="0">
      <columnFilter colId="2">
        <filter colId="2">
          <x:filters>
            <x:filter val="-"/>
          </x:filters>
        </filter>
      </columnFilter>
      <columnFilter colId="3">
        <filter colId="3">
          <x:filters>
            <x:filter val="-"/>
          </x:filters>
        </filter>
      </columnFilter>
      <columnFilter colId="4">
        <filter colId="4">
          <x:filters>
            <x:filter val="-"/>
          </x:filters>
        </filter>
      </columnFilter>
      <columnFilter colId="5">
        <filter colId="5">
          <x:filters blank="1">
            <x:filter val="-"/>
          </x:filters>
        </filter>
      </columnFilter>
      <columnFilter colId="6">
        <filter colId="6">
          <x:filters>
            <x:filter val="-"/>
          </x:filters>
        </filter>
      </columnFilter>
      <columnFilter colId="8">
        <filter colId="8">
          <x:filters>
            <x:filter val="-"/>
          </x:filters>
        </filter>
      </columnFilter>
      <columnFilter colId="9">
        <filter colId="9">
          <x:filters>
            <x:filter val="-"/>
          </x:filters>
        </filter>
      </columnFilter>
      <columnFilter colId="10">
        <filter colId="10">
          <x:filters>
            <x:filter val="-"/>
          </x:filters>
        </filter>
      </columnFilter>
      <columnFilter colId="11">
        <filter colId="11">
          <x:filters>
            <x:filter val="-"/>
          </x:filters>
        </filter>
      </columnFilter>
      <columnFilter colId="12">
        <filter colId="12">
          <x:filters blank="1">
            <x:filter val="-"/>
          </x:filters>
        </filter>
      </columnFilter>
      <columnFilter colId="13">
        <filter colId="13">
          <x:filters blank="1">
            <x:filter val="-"/>
          </x:filters>
        </filter>
      </columnFilter>
      <sortRules>
        <sortRule colId="1">
          <sortCondition ref="B1:B295"/>
        </sortRule>
      </sortRules>
    </nsvFilter>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632D7A81-90DB-4D7C-959D-347FDEEBC6B7}">
    <nsvFilter filterId="{ED41B47E-49DF-48FD-81E6-5A02A9A81C3F}" ref="A3:N149" tableId="0">
      <columnFilter colId="0">
        <filter colId="0">
          <x:filters>
            <x:filter val="DM"/>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Crearpsl - Emely Leon" id="{4E931434-01A6-4B66-98C0-BA8507AE437A}" userId="emely.leon@crearpsl.com" providerId="PeoplePicker"/>
  <person displayName="Crearpsl - Kriscia Rodas" id="{F587FA46-73E1-444C-8421-428BEF3D3500}" userId="kriscia.rodas@crearpsl.com" providerId="PeoplePicker"/>
  <person displayName="Crearpsl - Linid Valencia" id="{A497A0A6-FF74-4901-940B-3A801B086DB6}" userId="linid.valencia@crearpsl.com" providerId="PeoplePicker"/>
  <person displayName="Crearpsl - Pamela Carrillo" id="{3B006D65-E424-476F-9668-EBA91D1BC663}" userId="pamela.carrillo@crearpsl.com" providerId="PeoplePicker"/>
  <person displayName="Crearpsl - José Luis Sánchez" id="{5A3031BB-90E8-45A9-B781-4FD3DAA5EEFF}" userId="S::jose.sanchez@crearpsl.com::92d5f1aa-8d65-4844-a74f-c728bb78e31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05E6FD-19D7-4F31-890B-1FF7FBB8D81C}" name="Tabla1" displayName="Tabla1" ref="B1:B10" totalsRowShown="0" headerRowDxfId="415">
  <autoFilter ref="B1:B10" xr:uid="{B705E6FD-19D7-4F31-890B-1FF7FBB8D81C}"/>
  <tableColumns count="1">
    <tableColumn id="1" xr3:uid="{28568D05-28CB-47DC-945E-779159A54D89}" name="SOMBRAS ASOMBROSA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A0E8F67-7DDF-4A55-AF54-20C7E0A7C90A}" name="Tabla2" displayName="Tabla2" ref="D1:E16" totalsRowShown="0" headerRowDxfId="414" headerRowBorderDxfId="413" tableBorderDxfId="412" totalsRowBorderDxfId="411">
  <autoFilter ref="D1:E16" xr:uid="{6A0E8F67-7DDF-4A55-AF54-20C7E0A7C90A}"/>
  <tableColumns count="2">
    <tableColumn id="1" xr3:uid="{87F32886-4264-4782-ACED-631793647FEB}" name="CREADOR CUANTICO" dataDxfId="410"/>
    <tableColumn id="2" xr3:uid="{A5BCD275-BACC-44E3-BCBD-EBEE352A3B17}" name="QT" dataDxfId="409"/>
  </tableColumns>
  <tableStyleInfo name="TableStyleMedium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37" dT="2025-04-02T21:15:56.70" personId="{5A3031BB-90E8-45A9-B781-4FD3DAA5EEFF}" id="{3194B676-39DE-4D04-8FDD-59E26AC4B069}">
    <text>@Crearpsl - Kriscia Rodas @Crearpsl - Pamela Carrillo @Crearpsl - Emely Leon  algún graduado que ustedes vean como no opción para ser aliado, yo puse a diego Arévalo y a Teófila .</text>
    <mentions>
      <mention mentionpersonId="{F587FA46-73E1-444C-8421-428BEF3D3500}" mentionId="{B8699FEC-5CB1-4A3C-8A84-2282FE80035E}" startIndex="0" length="25"/>
      <mention mentionpersonId="{3B006D65-E424-476F-9668-EBA91D1BC663}" mentionId="{2813B247-5098-4567-AA9F-EE4FE61A639B}" startIndex="26" length="27"/>
      <mention mentionpersonId="{4E931434-01A6-4B66-98C0-BA8507AE437A}" mentionId="{79792D25-A062-43C9-A8C7-2414A008EE51}" startIndex="54" length="22"/>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5-04-01T23:11:08.87" personId="{5A3031BB-90E8-45A9-B781-4FD3DAA5EEFF}" id="{C927E8EF-6141-4166-9B20-56238ABA0D06}">
    <text xml:space="preserve">@Crearpsl - Pamela Carrillo </text>
    <mentions>
      <mention mentionpersonId="{3B006D65-E424-476F-9668-EBA91D1BC663}" mentionId="{89CF9A68-BBB7-48B3-B07A-19A488491D49}" startIndex="0" length="27"/>
    </mentions>
  </threadedComment>
  <threadedComment ref="C6" dT="2025-04-01T23:11:29.76" personId="{5A3031BB-90E8-45A9-B781-4FD3DAA5EEFF}" id="{5896A7AE-0714-4186-B905-8BA1045A8E1F}">
    <text xml:space="preserve">@Crearpsl - Linid Valencia </text>
    <mentions>
      <mention mentionpersonId="{A497A0A6-FF74-4901-940B-3A801B086DB6}" mentionId="{645EFCFC-8164-4131-A7A9-7FD7E965C0C8}" startIndex="0" length="26"/>
    </mentions>
  </threadedComment>
  <threadedComment ref="D64" dT="2025-04-23T15:41:19.63" personId="{5A3031BB-90E8-45A9-B781-4FD3DAA5EEFF}" id="{77612539-2B8D-47C2-BB64-84F2DC839B25}">
    <text>@Crearpsl - Pamela Carrillo que dijo</text>
    <mentions>
      <mention mentionpersonId="{3B006D65-E424-476F-9668-EBA91D1BC663}" mentionId="{60258CCD-D9A6-4EB8-BE4E-F8B132981A76}" startIndex="0" length="27"/>
    </mentions>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6.xml"/><Relationship Id="rId1" Type="http://schemas.openxmlformats.org/officeDocument/2006/relationships/vmlDrawing" Target="../drawings/vmlDrawing6.vml"/><Relationship Id="rId4" Type="http://schemas.microsoft.com/office/2019/04/relationships/documenttask" Target="../documenttasks/documenttask1.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CA89B-BFC0-42DE-970E-37E6D3371BF1}">
  <sheetPr filterMode="1">
    <tabColor rgb="FFFFFF00"/>
  </sheetPr>
  <dimension ref="A1:J155"/>
  <sheetViews>
    <sheetView zoomScale="105" workbookViewId="0">
      <selection activeCell="G5" sqref="G5"/>
    </sheetView>
  </sheetViews>
  <sheetFormatPr baseColWidth="10" defaultColWidth="137.33203125" defaultRowHeight="14.4" x14ac:dyDescent="0.3"/>
  <cols>
    <col min="1" max="1" width="43.109375" bestFit="1" customWidth="1"/>
    <col min="2" max="2" width="10.88671875" style="26" bestFit="1" customWidth="1"/>
    <col min="3" max="3" width="16.5546875" customWidth="1"/>
    <col min="4" max="4" width="10.5546875" customWidth="1"/>
    <col min="5" max="5" width="64.6640625" customWidth="1"/>
    <col min="6" max="6" width="5.88671875" customWidth="1"/>
    <col min="7" max="7" width="8.109375" customWidth="1"/>
    <col min="8" max="8" width="12.6640625" bestFit="1" customWidth="1"/>
    <col min="9" max="9" width="5.6640625" bestFit="1" customWidth="1"/>
    <col min="10" max="10" width="6.6640625" customWidth="1"/>
  </cols>
  <sheetData>
    <row r="1" spans="1:10" ht="15.6" x14ac:dyDescent="0.3">
      <c r="A1" s="10" t="s">
        <v>0</v>
      </c>
      <c r="B1" s="357" t="s">
        <v>1</v>
      </c>
      <c r="C1" s="357"/>
      <c r="D1" s="358"/>
      <c r="E1" s="357"/>
      <c r="F1" s="85"/>
      <c r="G1" s="33"/>
    </row>
    <row r="2" spans="1:10" x14ac:dyDescent="0.3">
      <c r="A2" s="30" t="s">
        <v>2</v>
      </c>
      <c r="B2" s="2" t="s">
        <v>3</v>
      </c>
      <c r="C2" s="30" t="s">
        <v>4</v>
      </c>
      <c r="D2" s="195" t="s">
        <v>5</v>
      </c>
      <c r="E2" s="30" t="s">
        <v>6</v>
      </c>
      <c r="F2" s="30" t="s">
        <v>7</v>
      </c>
      <c r="G2" s="30" t="s">
        <v>8</v>
      </c>
      <c r="H2" s="36" t="s">
        <v>9</v>
      </c>
      <c r="I2" t="s">
        <v>10</v>
      </c>
      <c r="J2" t="s">
        <v>11</v>
      </c>
    </row>
    <row r="3" spans="1:10" hidden="1" x14ac:dyDescent="0.3">
      <c r="A3" s="270" t="s">
        <v>12</v>
      </c>
      <c r="B3" s="6">
        <v>15</v>
      </c>
      <c r="C3" s="1" t="s">
        <v>13</v>
      </c>
      <c r="D3" s="3" t="s">
        <v>14</v>
      </c>
      <c r="E3" s="1" t="s">
        <v>15</v>
      </c>
      <c r="F3" s="1"/>
      <c r="G3" s="1"/>
      <c r="H3" s="1" t="s">
        <v>16</v>
      </c>
    </row>
    <row r="4" spans="1:10" hidden="1" x14ac:dyDescent="0.3">
      <c r="A4" s="270" t="s">
        <v>17</v>
      </c>
      <c r="B4" s="6">
        <v>16</v>
      </c>
      <c r="C4" s="1" t="s">
        <v>13</v>
      </c>
      <c r="D4" s="3" t="s">
        <v>14</v>
      </c>
      <c r="E4" s="1" t="s">
        <v>18</v>
      </c>
      <c r="F4" s="1"/>
      <c r="G4" s="1"/>
      <c r="H4" s="1" t="s">
        <v>16</v>
      </c>
    </row>
    <row r="5" spans="1:10" x14ac:dyDescent="0.3">
      <c r="A5" s="270" t="s">
        <v>19</v>
      </c>
      <c r="B5" s="6">
        <v>5</v>
      </c>
      <c r="C5" s="1" t="s">
        <v>20</v>
      </c>
      <c r="D5" s="277" t="s">
        <v>16</v>
      </c>
      <c r="E5" s="1" t="s">
        <v>21</v>
      </c>
      <c r="F5" s="1"/>
      <c r="G5" s="1"/>
      <c r="H5" s="1" t="s">
        <v>16</v>
      </c>
    </row>
    <row r="6" spans="1:10" hidden="1" x14ac:dyDescent="0.3">
      <c r="A6" s="149" t="s">
        <v>22</v>
      </c>
      <c r="B6" s="6">
        <v>8</v>
      </c>
      <c r="C6" s="1" t="s">
        <v>23</v>
      </c>
      <c r="D6" s="3" t="s">
        <v>24</v>
      </c>
      <c r="E6" s="1"/>
      <c r="F6" s="1"/>
      <c r="G6" s="1"/>
      <c r="H6" s="1"/>
    </row>
    <row r="7" spans="1:10" hidden="1" x14ac:dyDescent="0.3">
      <c r="A7" s="149" t="s">
        <v>25</v>
      </c>
      <c r="B7" s="6">
        <v>8</v>
      </c>
      <c r="C7" s="1" t="s">
        <v>13</v>
      </c>
      <c r="D7" s="3" t="s">
        <v>24</v>
      </c>
      <c r="E7" s="1"/>
      <c r="F7" s="1"/>
      <c r="G7" s="1"/>
      <c r="H7" s="1"/>
    </row>
    <row r="8" spans="1:10" x14ac:dyDescent="0.3">
      <c r="A8" s="270" t="s">
        <v>26</v>
      </c>
      <c r="B8" s="6">
        <v>7</v>
      </c>
      <c r="C8" s="1" t="s">
        <v>23</v>
      </c>
      <c r="D8" s="277" t="s">
        <v>16</v>
      </c>
      <c r="E8" s="1" t="s">
        <v>15</v>
      </c>
      <c r="F8" s="1"/>
      <c r="G8" s="1"/>
      <c r="H8" s="1" t="s">
        <v>16</v>
      </c>
      <c r="J8">
        <v>41</v>
      </c>
    </row>
    <row r="9" spans="1:10" hidden="1" x14ac:dyDescent="0.3">
      <c r="A9" s="149" t="s">
        <v>27</v>
      </c>
      <c r="B9" s="6">
        <v>10</v>
      </c>
      <c r="C9" s="1" t="s">
        <v>23</v>
      </c>
      <c r="D9" s="3" t="s">
        <v>28</v>
      </c>
      <c r="E9" s="1"/>
      <c r="F9" s="1"/>
      <c r="G9" s="1"/>
      <c r="H9" s="1"/>
    </row>
    <row r="10" spans="1:10" hidden="1" x14ac:dyDescent="0.3">
      <c r="A10" s="1" t="s">
        <v>29</v>
      </c>
      <c r="B10" s="6">
        <v>10</v>
      </c>
      <c r="C10" s="1" t="s">
        <v>13</v>
      </c>
      <c r="D10" s="3" t="s">
        <v>24</v>
      </c>
      <c r="E10" s="1"/>
      <c r="F10" s="1"/>
      <c r="G10" s="1"/>
      <c r="H10" s="1"/>
    </row>
    <row r="11" spans="1:10" hidden="1" x14ac:dyDescent="0.3">
      <c r="A11" s="149" t="s">
        <v>30</v>
      </c>
      <c r="B11" s="6">
        <v>10</v>
      </c>
      <c r="C11" s="1" t="s">
        <v>13</v>
      </c>
      <c r="D11" s="3" t="s">
        <v>28</v>
      </c>
      <c r="E11" s="1"/>
      <c r="F11" s="1"/>
      <c r="G11" s="1"/>
      <c r="H11" s="1"/>
    </row>
    <row r="12" spans="1:10" hidden="1" x14ac:dyDescent="0.3">
      <c r="A12" s="149" t="s">
        <v>31</v>
      </c>
      <c r="B12" s="6">
        <v>10</v>
      </c>
      <c r="C12" s="1" t="s">
        <v>20</v>
      </c>
      <c r="D12" s="3" t="s">
        <v>24</v>
      </c>
      <c r="E12" s="1"/>
      <c r="F12" s="1"/>
      <c r="G12" s="1"/>
      <c r="H12" s="1"/>
    </row>
    <row r="13" spans="1:10" hidden="1" x14ac:dyDescent="0.3">
      <c r="A13" s="149" t="s">
        <v>32</v>
      </c>
      <c r="B13" s="6">
        <v>10</v>
      </c>
      <c r="C13" s="1" t="s">
        <v>20</v>
      </c>
      <c r="D13" s="3" t="s">
        <v>28</v>
      </c>
      <c r="E13" s="1" t="s">
        <v>33</v>
      </c>
      <c r="F13" s="1"/>
      <c r="G13" s="1"/>
      <c r="H13" s="1"/>
    </row>
    <row r="14" spans="1:10" hidden="1" x14ac:dyDescent="0.3">
      <c r="A14" s="149" t="s">
        <v>34</v>
      </c>
      <c r="B14" s="6">
        <v>11</v>
      </c>
      <c r="C14" s="1" t="s">
        <v>23</v>
      </c>
      <c r="D14" s="3" t="s">
        <v>35</v>
      </c>
      <c r="E14" s="1"/>
      <c r="F14" s="1"/>
      <c r="G14" s="1"/>
      <c r="H14" s="1"/>
    </row>
    <row r="15" spans="1:10" x14ac:dyDescent="0.3">
      <c r="A15" s="270" t="s">
        <v>36</v>
      </c>
      <c r="B15" s="6">
        <v>7</v>
      </c>
      <c r="C15" s="1" t="s">
        <v>13</v>
      </c>
      <c r="D15" s="277" t="s">
        <v>16</v>
      </c>
      <c r="E15" s="1" t="s">
        <v>37</v>
      </c>
      <c r="F15" s="1"/>
      <c r="G15" s="1"/>
      <c r="H15" s="1" t="s">
        <v>16</v>
      </c>
    </row>
    <row r="16" spans="1:10" hidden="1" x14ac:dyDescent="0.3">
      <c r="A16" s="149" t="s">
        <v>38</v>
      </c>
      <c r="B16" s="6">
        <v>11</v>
      </c>
      <c r="C16" s="1" t="s">
        <v>13</v>
      </c>
      <c r="D16" s="5" t="s">
        <v>35</v>
      </c>
      <c r="E16" s="1"/>
      <c r="F16" s="1"/>
      <c r="G16" s="1"/>
      <c r="H16" s="1"/>
    </row>
    <row r="17" spans="1:10" hidden="1" x14ac:dyDescent="0.3">
      <c r="A17" s="149" t="s">
        <v>39</v>
      </c>
      <c r="B17" s="6">
        <v>11</v>
      </c>
      <c r="C17" s="1" t="s">
        <v>13</v>
      </c>
      <c r="D17" s="3" t="s">
        <v>35</v>
      </c>
      <c r="E17" s="28" t="s">
        <v>40</v>
      </c>
      <c r="F17" s="28"/>
      <c r="G17" s="28"/>
      <c r="H17" s="1"/>
    </row>
    <row r="18" spans="1:10" hidden="1" x14ac:dyDescent="0.3">
      <c r="A18" s="149" t="s">
        <v>41</v>
      </c>
      <c r="B18" s="6">
        <v>11</v>
      </c>
      <c r="C18" s="1" t="s">
        <v>20</v>
      </c>
      <c r="D18" s="3" t="s">
        <v>24</v>
      </c>
      <c r="E18" s="1"/>
      <c r="F18" s="1"/>
      <c r="G18" s="1"/>
      <c r="H18" s="1"/>
    </row>
    <row r="19" spans="1:10" hidden="1" x14ac:dyDescent="0.3">
      <c r="A19" s="149" t="s">
        <v>42</v>
      </c>
      <c r="B19" s="6">
        <v>11</v>
      </c>
      <c r="C19" s="1" t="s">
        <v>20</v>
      </c>
      <c r="D19" s="3" t="s">
        <v>28</v>
      </c>
      <c r="E19" s="29" t="s">
        <v>33</v>
      </c>
      <c r="F19" s="1"/>
      <c r="G19" s="1"/>
      <c r="H19" s="1"/>
    </row>
    <row r="20" spans="1:10" x14ac:dyDescent="0.3">
      <c r="A20" s="270" t="s">
        <v>43</v>
      </c>
      <c r="B20" s="6">
        <v>8</v>
      </c>
      <c r="C20" s="1" t="s">
        <v>13</v>
      </c>
      <c r="D20" s="277" t="s">
        <v>16</v>
      </c>
      <c r="E20" s="1" t="s">
        <v>44</v>
      </c>
      <c r="F20" s="1"/>
      <c r="G20" s="1"/>
      <c r="H20" s="274" t="s">
        <v>16</v>
      </c>
    </row>
    <row r="21" spans="1:10" hidden="1" x14ac:dyDescent="0.3">
      <c r="A21" s="149" t="s">
        <v>45</v>
      </c>
      <c r="B21" s="6">
        <v>12</v>
      </c>
      <c r="C21" s="1" t="s">
        <v>23</v>
      </c>
      <c r="D21" s="3" t="s">
        <v>28</v>
      </c>
      <c r="E21" s="1"/>
      <c r="F21" s="1"/>
      <c r="G21" s="1"/>
      <c r="H21" s="1"/>
    </row>
    <row r="22" spans="1:10" hidden="1" x14ac:dyDescent="0.3">
      <c r="A22" s="149" t="s">
        <v>46</v>
      </c>
      <c r="B22" s="6">
        <v>12</v>
      </c>
      <c r="C22" s="1" t="s">
        <v>23</v>
      </c>
      <c r="D22" s="3" t="s">
        <v>47</v>
      </c>
      <c r="E22" s="1" t="s">
        <v>48</v>
      </c>
      <c r="F22" s="1"/>
      <c r="G22" s="1"/>
      <c r="H22" s="1"/>
    </row>
    <row r="23" spans="1:10" hidden="1" x14ac:dyDescent="0.3">
      <c r="A23" s="149" t="s">
        <v>49</v>
      </c>
      <c r="B23" s="6">
        <v>12</v>
      </c>
      <c r="C23" s="1" t="s">
        <v>13</v>
      </c>
      <c r="D23" s="3" t="s">
        <v>35</v>
      </c>
      <c r="E23" s="28" t="s">
        <v>50</v>
      </c>
      <c r="F23" s="1"/>
      <c r="G23" s="1"/>
      <c r="H23" s="1"/>
    </row>
    <row r="24" spans="1:10" hidden="1" x14ac:dyDescent="0.3">
      <c r="A24" s="149" t="s">
        <v>51</v>
      </c>
      <c r="B24" s="6">
        <v>12</v>
      </c>
      <c r="C24" s="1" t="s">
        <v>13</v>
      </c>
      <c r="D24" s="3" t="s">
        <v>24</v>
      </c>
      <c r="E24" s="1"/>
      <c r="F24" s="1"/>
      <c r="G24" s="1"/>
      <c r="H24" s="1"/>
    </row>
    <row r="25" spans="1:10" hidden="1" x14ac:dyDescent="0.3">
      <c r="A25" s="149" t="s">
        <v>52</v>
      </c>
      <c r="B25" s="6">
        <v>12</v>
      </c>
      <c r="C25" s="1" t="s">
        <v>13</v>
      </c>
      <c r="D25" s="3" t="s">
        <v>28</v>
      </c>
      <c r="E25" s="1" t="s">
        <v>33</v>
      </c>
      <c r="F25" s="1"/>
      <c r="G25" s="1"/>
      <c r="H25" s="1"/>
    </row>
    <row r="26" spans="1:10" x14ac:dyDescent="0.3">
      <c r="A26" s="270" t="s">
        <v>53</v>
      </c>
      <c r="B26" s="6">
        <v>11</v>
      </c>
      <c r="C26" s="1" t="s">
        <v>20</v>
      </c>
      <c r="D26" s="277" t="s">
        <v>16</v>
      </c>
      <c r="E26" s="1" t="s">
        <v>54</v>
      </c>
      <c r="F26" s="1"/>
      <c r="G26" s="1"/>
      <c r="H26" s="1" t="s">
        <v>16</v>
      </c>
      <c r="J26">
        <f>44+1+5</f>
        <v>50</v>
      </c>
    </row>
    <row r="27" spans="1:10" hidden="1" x14ac:dyDescent="0.3">
      <c r="A27" s="149" t="s">
        <v>55</v>
      </c>
      <c r="B27" s="6">
        <v>13</v>
      </c>
      <c r="C27" s="1" t="s">
        <v>23</v>
      </c>
      <c r="D27" s="3" t="s">
        <v>28</v>
      </c>
      <c r="E27" s="1"/>
      <c r="F27" s="1"/>
      <c r="G27" s="1"/>
      <c r="H27" s="1"/>
    </row>
    <row r="28" spans="1:10" hidden="1" x14ac:dyDescent="0.3">
      <c r="A28" s="149" t="s">
        <v>56</v>
      </c>
      <c r="B28" s="6">
        <v>13</v>
      </c>
      <c r="C28" s="1" t="s">
        <v>23</v>
      </c>
      <c r="D28" s="3" t="s">
        <v>24</v>
      </c>
      <c r="E28" s="1"/>
      <c r="F28" s="1"/>
      <c r="G28" s="1"/>
      <c r="H28" s="1"/>
    </row>
    <row r="29" spans="1:10" hidden="1" x14ac:dyDescent="0.3">
      <c r="A29" s="149" t="s">
        <v>57</v>
      </c>
      <c r="B29" s="6">
        <v>13</v>
      </c>
      <c r="C29" s="1" t="s">
        <v>23</v>
      </c>
      <c r="D29" s="3" t="s">
        <v>28</v>
      </c>
      <c r="E29" s="1"/>
      <c r="F29" s="1"/>
      <c r="G29" s="1"/>
      <c r="H29" s="1"/>
    </row>
    <row r="30" spans="1:10" hidden="1" x14ac:dyDescent="0.3">
      <c r="A30" s="149" t="s">
        <v>58</v>
      </c>
      <c r="B30" s="6">
        <v>13</v>
      </c>
      <c r="C30" s="1" t="s">
        <v>23</v>
      </c>
      <c r="D30" s="3" t="s">
        <v>35</v>
      </c>
      <c r="E30" s="1" t="s">
        <v>59</v>
      </c>
      <c r="F30" s="1"/>
      <c r="G30" s="1"/>
      <c r="H30" s="1"/>
    </row>
    <row r="31" spans="1:10" hidden="1" x14ac:dyDescent="0.3">
      <c r="A31" s="149" t="s">
        <v>60</v>
      </c>
      <c r="B31" s="6">
        <v>13</v>
      </c>
      <c r="C31" s="1" t="s">
        <v>13</v>
      </c>
      <c r="D31" s="3" t="s">
        <v>28</v>
      </c>
      <c r="E31" s="1" t="s">
        <v>61</v>
      </c>
      <c r="F31" s="1"/>
      <c r="G31" s="1"/>
      <c r="H31" s="1"/>
    </row>
    <row r="32" spans="1:10" hidden="1" x14ac:dyDescent="0.3">
      <c r="A32" s="149" t="s">
        <v>62</v>
      </c>
      <c r="B32" s="6">
        <v>13</v>
      </c>
      <c r="C32" s="1" t="s">
        <v>13</v>
      </c>
      <c r="D32" s="3" t="s">
        <v>35</v>
      </c>
      <c r="E32" s="1"/>
      <c r="F32" s="1"/>
      <c r="G32" s="1"/>
      <c r="H32" s="1"/>
    </row>
    <row r="33" spans="1:9" hidden="1" x14ac:dyDescent="0.3">
      <c r="A33" s="270" t="s">
        <v>63</v>
      </c>
      <c r="B33" s="6">
        <v>13</v>
      </c>
      <c r="C33" s="1" t="s">
        <v>13</v>
      </c>
      <c r="D33" s="3"/>
      <c r="E33" s="1" t="s">
        <v>64</v>
      </c>
      <c r="F33" s="1"/>
      <c r="G33" s="1"/>
      <c r="H33" s="1"/>
    </row>
    <row r="34" spans="1:9" hidden="1" x14ac:dyDescent="0.3">
      <c r="A34" s="149" t="s">
        <v>65</v>
      </c>
      <c r="B34" s="6">
        <v>13</v>
      </c>
      <c r="C34" s="1" t="s">
        <v>20</v>
      </c>
      <c r="D34" s="3" t="s">
        <v>28</v>
      </c>
      <c r="E34" s="1" t="s">
        <v>66</v>
      </c>
      <c r="F34" s="1"/>
      <c r="G34" s="1"/>
      <c r="H34" s="1"/>
    </row>
    <row r="35" spans="1:9" hidden="1" x14ac:dyDescent="0.3">
      <c r="A35" s="1" t="s">
        <v>67</v>
      </c>
      <c r="B35" s="6">
        <v>13</v>
      </c>
      <c r="C35" s="1" t="s">
        <v>20</v>
      </c>
      <c r="D35" s="3" t="s">
        <v>28</v>
      </c>
      <c r="E35" s="1"/>
      <c r="F35" s="1"/>
      <c r="G35" s="1"/>
      <c r="H35" s="1"/>
    </row>
    <row r="36" spans="1:9" x14ac:dyDescent="0.3">
      <c r="A36" s="270" t="s">
        <v>68</v>
      </c>
      <c r="B36" s="6">
        <v>11</v>
      </c>
      <c r="C36" s="1" t="s">
        <v>13</v>
      </c>
      <c r="D36" s="277" t="s">
        <v>16</v>
      </c>
      <c r="E36" s="1" t="s">
        <v>69</v>
      </c>
      <c r="F36" s="1"/>
      <c r="G36" s="1"/>
      <c r="H36" s="1" t="s">
        <v>16</v>
      </c>
    </row>
    <row r="37" spans="1:9" hidden="1" x14ac:dyDescent="0.3">
      <c r="A37" s="149" t="s">
        <v>70</v>
      </c>
      <c r="B37" s="6">
        <v>14</v>
      </c>
      <c r="C37" s="1" t="s">
        <v>23</v>
      </c>
      <c r="D37" s="3" t="s">
        <v>28</v>
      </c>
      <c r="E37" s="1"/>
      <c r="F37" s="1"/>
      <c r="G37" s="1"/>
      <c r="H37" s="1"/>
    </row>
    <row r="38" spans="1:9" hidden="1" x14ac:dyDescent="0.3">
      <c r="A38" s="149" t="s">
        <v>71</v>
      </c>
      <c r="B38" s="6">
        <v>14</v>
      </c>
      <c r="C38" s="1" t="s">
        <v>13</v>
      </c>
      <c r="D38" s="3" t="s">
        <v>35</v>
      </c>
      <c r="E38" s="1"/>
      <c r="F38" s="1"/>
      <c r="G38" s="1"/>
      <c r="H38" s="1"/>
    </row>
    <row r="39" spans="1:9" x14ac:dyDescent="0.3">
      <c r="A39" s="270" t="s">
        <v>72</v>
      </c>
      <c r="B39" s="6">
        <v>12</v>
      </c>
      <c r="C39" s="1" t="s">
        <v>20</v>
      </c>
      <c r="D39" s="277" t="s">
        <v>16</v>
      </c>
      <c r="E39" s="1" t="s">
        <v>73</v>
      </c>
      <c r="F39" s="1"/>
      <c r="G39" s="1"/>
      <c r="H39" s="1" t="s">
        <v>16</v>
      </c>
    </row>
    <row r="40" spans="1:9" hidden="1" x14ac:dyDescent="0.3">
      <c r="A40" s="149" t="s">
        <v>74</v>
      </c>
      <c r="B40" s="6">
        <v>14</v>
      </c>
      <c r="C40" s="1" t="s">
        <v>13</v>
      </c>
      <c r="D40" s="3" t="s">
        <v>47</v>
      </c>
      <c r="E40" s="1" t="s">
        <v>75</v>
      </c>
      <c r="F40" s="1"/>
      <c r="G40" s="1"/>
      <c r="H40" s="1"/>
    </row>
    <row r="41" spans="1:9" x14ac:dyDescent="0.3">
      <c r="A41" s="270" t="s">
        <v>76</v>
      </c>
      <c r="B41" s="6">
        <v>13</v>
      </c>
      <c r="C41" s="1" t="s">
        <v>20</v>
      </c>
      <c r="D41" s="277" t="s">
        <v>16</v>
      </c>
      <c r="E41" s="1" t="s">
        <v>77</v>
      </c>
      <c r="F41" s="1"/>
      <c r="G41" s="1"/>
      <c r="H41" s="274" t="s">
        <v>16</v>
      </c>
    </row>
    <row r="42" spans="1:9" x14ac:dyDescent="0.3">
      <c r="A42" s="270" t="s">
        <v>78</v>
      </c>
      <c r="B42" s="6">
        <v>14</v>
      </c>
      <c r="C42" s="1" t="s">
        <v>79</v>
      </c>
      <c r="D42" s="277" t="s">
        <v>16</v>
      </c>
      <c r="E42" s="1"/>
      <c r="F42" s="1"/>
      <c r="G42" s="1"/>
      <c r="H42" s="1" t="s">
        <v>16</v>
      </c>
    </row>
    <row r="43" spans="1:9" x14ac:dyDescent="0.3">
      <c r="A43" s="270" t="s">
        <v>80</v>
      </c>
      <c r="B43" s="6">
        <v>14</v>
      </c>
      <c r="C43" s="1" t="s">
        <v>13</v>
      </c>
      <c r="D43" s="277" t="s">
        <v>16</v>
      </c>
      <c r="E43" s="1" t="s">
        <v>81</v>
      </c>
      <c r="F43" s="1"/>
      <c r="G43" s="1"/>
      <c r="H43" s="1"/>
    </row>
    <row r="44" spans="1:9" x14ac:dyDescent="0.3">
      <c r="A44" s="270" t="s">
        <v>82</v>
      </c>
      <c r="B44" s="6">
        <v>14</v>
      </c>
      <c r="C44" s="1" t="s">
        <v>20</v>
      </c>
      <c r="D44" s="277" t="s">
        <v>16</v>
      </c>
      <c r="E44" s="1" t="s">
        <v>83</v>
      </c>
      <c r="F44" s="1"/>
      <c r="G44" s="1"/>
      <c r="H44" s="1" t="s">
        <v>16</v>
      </c>
    </row>
    <row r="45" spans="1:9" hidden="1" x14ac:dyDescent="0.3">
      <c r="A45" s="149" t="s">
        <v>84</v>
      </c>
      <c r="B45" s="6">
        <v>14</v>
      </c>
      <c r="C45" s="1" t="s">
        <v>20</v>
      </c>
      <c r="D45" s="3" t="s">
        <v>24</v>
      </c>
      <c r="E45" s="1"/>
      <c r="F45" s="1"/>
      <c r="G45" s="1"/>
      <c r="H45" s="1"/>
    </row>
    <row r="46" spans="1:9" x14ac:dyDescent="0.3">
      <c r="A46" s="270" t="s">
        <v>85</v>
      </c>
      <c r="B46" s="6">
        <v>14</v>
      </c>
      <c r="C46" s="1" t="s">
        <v>13</v>
      </c>
      <c r="D46" s="277" t="s">
        <v>16</v>
      </c>
      <c r="E46" s="1" t="s">
        <v>86</v>
      </c>
      <c r="F46" s="1"/>
      <c r="G46" s="1"/>
      <c r="H46" s="1" t="s">
        <v>16</v>
      </c>
      <c r="I46" t="s">
        <v>87</v>
      </c>
    </row>
    <row r="47" spans="1:9" x14ac:dyDescent="0.3">
      <c r="A47" s="270" t="s">
        <v>88</v>
      </c>
      <c r="B47" s="6">
        <v>15</v>
      </c>
      <c r="C47" s="1" t="s">
        <v>20</v>
      </c>
      <c r="D47" s="277" t="s">
        <v>16</v>
      </c>
      <c r="E47" s="1" t="s">
        <v>89</v>
      </c>
      <c r="F47" s="1"/>
      <c r="G47" s="1"/>
      <c r="H47" s="1" t="s">
        <v>16</v>
      </c>
    </row>
    <row r="48" spans="1:9" hidden="1" x14ac:dyDescent="0.3">
      <c r="A48" s="149" t="s">
        <v>90</v>
      </c>
      <c r="B48" s="6">
        <v>15</v>
      </c>
      <c r="C48" s="1" t="s">
        <v>13</v>
      </c>
      <c r="D48" s="3" t="s">
        <v>35</v>
      </c>
      <c r="E48" s="1" t="s">
        <v>91</v>
      </c>
      <c r="F48" s="1"/>
      <c r="G48" s="1"/>
      <c r="H48" s="1"/>
    </row>
    <row r="49" spans="1:8" hidden="1" x14ac:dyDescent="0.3">
      <c r="A49" s="270" t="s">
        <v>92</v>
      </c>
      <c r="B49" s="6">
        <v>4</v>
      </c>
      <c r="C49" s="1" t="s">
        <v>13</v>
      </c>
      <c r="D49" s="136" t="s">
        <v>93</v>
      </c>
      <c r="E49" s="1" t="s">
        <v>15</v>
      </c>
      <c r="F49" s="30"/>
      <c r="G49" s="30"/>
      <c r="H49" s="36" t="s">
        <v>16</v>
      </c>
    </row>
    <row r="50" spans="1:8" hidden="1" x14ac:dyDescent="0.3">
      <c r="A50" s="149" t="s">
        <v>94</v>
      </c>
      <c r="B50" s="6">
        <v>15</v>
      </c>
      <c r="C50" s="1" t="s">
        <v>13</v>
      </c>
      <c r="D50" s="3" t="s">
        <v>28</v>
      </c>
      <c r="E50" s="1"/>
      <c r="F50" s="1"/>
      <c r="G50" s="1"/>
      <c r="H50" s="1"/>
    </row>
    <row r="51" spans="1:8" x14ac:dyDescent="0.3">
      <c r="A51" s="270" t="s">
        <v>95</v>
      </c>
      <c r="B51" s="6">
        <v>15</v>
      </c>
      <c r="C51" s="1" t="s">
        <v>13</v>
      </c>
      <c r="D51" s="277" t="s">
        <v>16</v>
      </c>
      <c r="E51" s="1"/>
      <c r="F51" s="1"/>
      <c r="G51" s="1"/>
      <c r="H51" s="1" t="s">
        <v>16</v>
      </c>
    </row>
    <row r="52" spans="1:8" hidden="1" x14ac:dyDescent="0.3">
      <c r="A52" s="149" t="s">
        <v>96</v>
      </c>
      <c r="B52" s="6">
        <v>15</v>
      </c>
      <c r="C52" s="1" t="s">
        <v>20</v>
      </c>
      <c r="D52" s="3" t="s">
        <v>24</v>
      </c>
      <c r="E52" s="1"/>
      <c r="F52" s="1"/>
      <c r="G52" s="1"/>
      <c r="H52" s="1"/>
    </row>
    <row r="53" spans="1:8" hidden="1" x14ac:dyDescent="0.3">
      <c r="A53" s="149" t="s">
        <v>97</v>
      </c>
      <c r="B53" s="6">
        <v>15</v>
      </c>
      <c r="C53" s="1" t="s">
        <v>20</v>
      </c>
      <c r="D53" s="3" t="s">
        <v>28</v>
      </c>
      <c r="E53" s="1"/>
      <c r="F53" s="1"/>
      <c r="G53" s="1"/>
      <c r="H53" s="1"/>
    </row>
    <row r="54" spans="1:8" x14ac:dyDescent="0.3">
      <c r="A54" s="270" t="s">
        <v>98</v>
      </c>
      <c r="B54" s="6">
        <v>15</v>
      </c>
      <c r="C54" s="1" t="s">
        <v>13</v>
      </c>
      <c r="D54" s="277" t="s">
        <v>16</v>
      </c>
      <c r="E54" s="1" t="s">
        <v>99</v>
      </c>
      <c r="F54" s="1"/>
      <c r="G54" s="1"/>
      <c r="H54" s="1" t="s">
        <v>16</v>
      </c>
    </row>
    <row r="55" spans="1:8" x14ac:dyDescent="0.3">
      <c r="A55" s="270" t="s">
        <v>100</v>
      </c>
      <c r="B55" s="3">
        <v>17</v>
      </c>
      <c r="C55" s="1" t="s">
        <v>13</v>
      </c>
      <c r="D55" s="277" t="s">
        <v>16</v>
      </c>
      <c r="E55" s="1" t="s">
        <v>21</v>
      </c>
      <c r="F55" s="1"/>
      <c r="G55" s="1"/>
      <c r="H55" s="1" t="s">
        <v>16</v>
      </c>
    </row>
    <row r="56" spans="1:8" hidden="1" x14ac:dyDescent="0.3">
      <c r="A56" s="149" t="s">
        <v>101</v>
      </c>
      <c r="B56" s="6">
        <v>16</v>
      </c>
      <c r="C56" s="1" t="s">
        <v>23</v>
      </c>
      <c r="D56" s="3" t="s">
        <v>24</v>
      </c>
      <c r="E56" s="1"/>
      <c r="F56" s="1"/>
      <c r="G56" s="1"/>
      <c r="H56" s="1"/>
    </row>
    <row r="57" spans="1:8" x14ac:dyDescent="0.3">
      <c r="A57" s="270" t="s">
        <v>102</v>
      </c>
      <c r="B57" s="6">
        <v>18</v>
      </c>
      <c r="C57" s="1" t="s">
        <v>13</v>
      </c>
      <c r="D57" s="277" t="s">
        <v>16</v>
      </c>
      <c r="E57" s="28" t="s">
        <v>103</v>
      </c>
      <c r="F57" s="1"/>
      <c r="G57" s="1"/>
      <c r="H57" s="1" t="s">
        <v>16</v>
      </c>
    </row>
    <row r="58" spans="1:8" hidden="1" x14ac:dyDescent="0.3">
      <c r="A58" s="270" t="s">
        <v>104</v>
      </c>
      <c r="B58" s="6">
        <v>16</v>
      </c>
      <c r="C58" s="1" t="s">
        <v>23</v>
      </c>
      <c r="D58" s="3" t="s">
        <v>14</v>
      </c>
      <c r="E58" s="1" t="s">
        <v>15</v>
      </c>
      <c r="F58" s="1"/>
      <c r="G58" s="1"/>
      <c r="H58" s="1" t="s">
        <v>16</v>
      </c>
    </row>
    <row r="59" spans="1:8" hidden="1" x14ac:dyDescent="0.3">
      <c r="A59" s="1" t="s">
        <v>105</v>
      </c>
      <c r="B59" s="6">
        <v>16</v>
      </c>
      <c r="C59" s="1" t="s">
        <v>13</v>
      </c>
      <c r="D59" s="3" t="s">
        <v>28</v>
      </c>
      <c r="E59" s="1" t="s">
        <v>15</v>
      </c>
      <c r="F59" s="1"/>
      <c r="G59" s="1"/>
      <c r="H59" s="1"/>
    </row>
    <row r="60" spans="1:8" hidden="1" x14ac:dyDescent="0.3">
      <c r="A60" s="1" t="s">
        <v>106</v>
      </c>
      <c r="B60" s="6">
        <v>16</v>
      </c>
      <c r="C60" s="1" t="s">
        <v>13</v>
      </c>
      <c r="D60" s="3" t="s">
        <v>24</v>
      </c>
      <c r="E60" s="1" t="s">
        <v>15</v>
      </c>
      <c r="F60" s="1"/>
      <c r="G60" s="1"/>
      <c r="H60" s="1"/>
    </row>
    <row r="61" spans="1:8" hidden="1" x14ac:dyDescent="0.3">
      <c r="A61" s="270" t="s">
        <v>107</v>
      </c>
      <c r="B61" s="6">
        <v>16</v>
      </c>
      <c r="C61" s="1" t="s">
        <v>13</v>
      </c>
      <c r="D61" s="136" t="s">
        <v>93</v>
      </c>
      <c r="E61" s="1" t="s">
        <v>108</v>
      </c>
      <c r="F61" s="1"/>
      <c r="G61" s="1"/>
      <c r="H61" s="1" t="s">
        <v>16</v>
      </c>
    </row>
    <row r="62" spans="1:8" hidden="1" x14ac:dyDescent="0.3">
      <c r="A62" s="149" t="s">
        <v>109</v>
      </c>
      <c r="B62" s="6">
        <v>16</v>
      </c>
      <c r="C62" s="1" t="s">
        <v>20</v>
      </c>
      <c r="D62" s="3" t="s">
        <v>110</v>
      </c>
      <c r="E62" s="1" t="s">
        <v>111</v>
      </c>
      <c r="F62" s="1"/>
      <c r="G62" s="1"/>
      <c r="H62" s="1"/>
    </row>
    <row r="63" spans="1:8" hidden="1" x14ac:dyDescent="0.3">
      <c r="A63" s="149" t="s">
        <v>112</v>
      </c>
      <c r="B63" s="6">
        <v>16</v>
      </c>
      <c r="C63" s="1" t="s">
        <v>20</v>
      </c>
      <c r="D63" s="3" t="s">
        <v>28</v>
      </c>
      <c r="E63" s="1"/>
      <c r="F63" s="1"/>
      <c r="G63" s="1"/>
      <c r="H63" s="1"/>
    </row>
    <row r="64" spans="1:8" hidden="1" x14ac:dyDescent="0.3">
      <c r="A64" s="149" t="s">
        <v>113</v>
      </c>
      <c r="B64" s="3">
        <v>17</v>
      </c>
      <c r="C64" s="1" t="s">
        <v>23</v>
      </c>
      <c r="D64" s="3"/>
      <c r="E64" s="1"/>
      <c r="F64" s="1"/>
      <c r="G64" s="1"/>
      <c r="H64" s="1"/>
    </row>
    <row r="65" spans="1:8" hidden="1" x14ac:dyDescent="0.3">
      <c r="A65" s="149" t="s">
        <v>114</v>
      </c>
      <c r="B65" s="3">
        <v>17</v>
      </c>
      <c r="C65" s="1" t="s">
        <v>23</v>
      </c>
      <c r="D65" s="3" t="s">
        <v>24</v>
      </c>
      <c r="E65" s="1"/>
      <c r="F65" s="1"/>
      <c r="G65" s="1"/>
      <c r="H65" s="1"/>
    </row>
    <row r="66" spans="1:8" hidden="1" x14ac:dyDescent="0.3">
      <c r="A66" s="149" t="s">
        <v>115</v>
      </c>
      <c r="B66" s="3">
        <v>17</v>
      </c>
      <c r="C66" s="1" t="s">
        <v>23</v>
      </c>
      <c r="D66" s="3" t="s">
        <v>116</v>
      </c>
      <c r="E66" s="1"/>
      <c r="F66" s="1"/>
      <c r="G66" s="1"/>
      <c r="H66" s="1"/>
    </row>
    <row r="67" spans="1:8" hidden="1" x14ac:dyDescent="0.3">
      <c r="A67" s="149" t="s">
        <v>117</v>
      </c>
      <c r="B67" s="3">
        <v>17</v>
      </c>
      <c r="C67" s="1" t="s">
        <v>23</v>
      </c>
      <c r="D67" s="3" t="s">
        <v>24</v>
      </c>
      <c r="E67" s="1"/>
      <c r="F67" s="1"/>
      <c r="G67" s="1"/>
      <c r="H67" s="1"/>
    </row>
    <row r="68" spans="1:8" hidden="1" x14ac:dyDescent="0.3">
      <c r="A68" s="1" t="s">
        <v>118</v>
      </c>
      <c r="B68" s="6">
        <v>17</v>
      </c>
      <c r="C68" s="1" t="s">
        <v>23</v>
      </c>
      <c r="D68" s="8" t="s">
        <v>28</v>
      </c>
      <c r="E68" s="1" t="s">
        <v>119</v>
      </c>
      <c r="F68" s="1"/>
      <c r="G68" s="1"/>
      <c r="H68" s="1"/>
    </row>
    <row r="69" spans="1:8" hidden="1" x14ac:dyDescent="0.3">
      <c r="A69" s="193" t="s">
        <v>120</v>
      </c>
      <c r="B69" s="6">
        <v>17</v>
      </c>
      <c r="C69" s="1" t="s">
        <v>23</v>
      </c>
      <c r="D69" s="8" t="s">
        <v>24</v>
      </c>
      <c r="E69" s="1"/>
      <c r="F69" s="1"/>
      <c r="G69" s="1"/>
      <c r="H69" s="1"/>
    </row>
    <row r="70" spans="1:8" hidden="1" x14ac:dyDescent="0.3">
      <c r="A70" s="149" t="s">
        <v>121</v>
      </c>
      <c r="B70" s="3">
        <v>17</v>
      </c>
      <c r="C70" s="1" t="s">
        <v>13</v>
      </c>
      <c r="D70" s="3" t="s">
        <v>24</v>
      </c>
      <c r="E70" s="1"/>
      <c r="F70" s="1"/>
      <c r="G70" s="1"/>
      <c r="H70" s="1"/>
    </row>
    <row r="71" spans="1:8" hidden="1" x14ac:dyDescent="0.3">
      <c r="A71" s="149" t="s">
        <v>122</v>
      </c>
      <c r="B71" s="3">
        <v>17</v>
      </c>
      <c r="C71" s="1" t="s">
        <v>13</v>
      </c>
      <c r="D71" s="3" t="s">
        <v>24</v>
      </c>
      <c r="E71" s="1"/>
      <c r="F71" s="1"/>
      <c r="G71" s="1"/>
      <c r="H71" s="1"/>
    </row>
    <row r="72" spans="1:8" x14ac:dyDescent="0.3">
      <c r="A72" s="270" t="s">
        <v>123</v>
      </c>
      <c r="B72" s="6">
        <v>19</v>
      </c>
      <c r="C72" s="1" t="s">
        <v>20</v>
      </c>
      <c r="D72" s="277" t="s">
        <v>16</v>
      </c>
      <c r="E72" s="1" t="s">
        <v>124</v>
      </c>
      <c r="F72" s="1"/>
      <c r="G72" s="1"/>
      <c r="H72" s="1" t="s">
        <v>16</v>
      </c>
    </row>
    <row r="73" spans="1:8" hidden="1" x14ac:dyDescent="0.3">
      <c r="A73" s="149" t="s">
        <v>125</v>
      </c>
      <c r="B73" s="3">
        <v>17</v>
      </c>
      <c r="C73" s="1" t="s">
        <v>20</v>
      </c>
      <c r="D73" s="3" t="s">
        <v>28</v>
      </c>
      <c r="E73" s="1" t="s">
        <v>33</v>
      </c>
      <c r="F73" s="1"/>
      <c r="G73" s="1"/>
      <c r="H73" s="1"/>
    </row>
    <row r="74" spans="1:8" hidden="1" x14ac:dyDescent="0.3">
      <c r="A74" s="149" t="s">
        <v>126</v>
      </c>
      <c r="B74" s="6">
        <v>17</v>
      </c>
      <c r="C74" s="1" t="s">
        <v>20</v>
      </c>
      <c r="D74" s="3" t="s">
        <v>24</v>
      </c>
      <c r="E74" s="1"/>
      <c r="F74" s="1"/>
      <c r="G74" s="1"/>
      <c r="H74" s="1"/>
    </row>
    <row r="75" spans="1:8" hidden="1" x14ac:dyDescent="0.3">
      <c r="A75" s="149" t="s">
        <v>127</v>
      </c>
      <c r="B75" s="6">
        <v>18</v>
      </c>
      <c r="C75" s="1" t="s">
        <v>23</v>
      </c>
      <c r="D75" s="3"/>
      <c r="E75" s="1"/>
      <c r="F75" s="1"/>
      <c r="G75" s="1"/>
      <c r="H75" s="1"/>
    </row>
    <row r="76" spans="1:8" hidden="1" x14ac:dyDescent="0.3">
      <c r="A76" s="270" t="s">
        <v>128</v>
      </c>
      <c r="B76" s="6">
        <v>18</v>
      </c>
      <c r="C76" s="1" t="s">
        <v>23</v>
      </c>
      <c r="D76" s="136" t="s">
        <v>93</v>
      </c>
      <c r="E76" s="1" t="s">
        <v>129</v>
      </c>
      <c r="F76" s="1"/>
      <c r="G76" s="1"/>
      <c r="H76" s="1" t="s">
        <v>16</v>
      </c>
    </row>
    <row r="77" spans="1:8" hidden="1" x14ac:dyDescent="0.3">
      <c r="A77" s="149" t="s">
        <v>130</v>
      </c>
      <c r="B77" s="6">
        <v>18</v>
      </c>
      <c r="C77" s="1" t="s">
        <v>23</v>
      </c>
      <c r="D77" s="3" t="s">
        <v>110</v>
      </c>
      <c r="E77" s="1" t="s">
        <v>131</v>
      </c>
      <c r="F77" s="1"/>
      <c r="G77" s="1"/>
      <c r="H77" s="1"/>
    </row>
    <row r="78" spans="1:8" x14ac:dyDescent="0.3">
      <c r="A78" s="270" t="s">
        <v>132</v>
      </c>
      <c r="B78" s="6">
        <v>19</v>
      </c>
      <c r="C78" s="1" t="s">
        <v>23</v>
      </c>
      <c r="D78" s="277" t="s">
        <v>16</v>
      </c>
      <c r="E78" s="1" t="s">
        <v>133</v>
      </c>
      <c r="F78" s="1"/>
      <c r="G78" s="1"/>
      <c r="H78" s="1" t="s">
        <v>16</v>
      </c>
    </row>
    <row r="79" spans="1:8" hidden="1" x14ac:dyDescent="0.3">
      <c r="A79" s="149" t="s">
        <v>134</v>
      </c>
      <c r="B79" s="6">
        <v>18</v>
      </c>
      <c r="C79" s="1" t="s">
        <v>13</v>
      </c>
      <c r="D79" s="3" t="s">
        <v>24</v>
      </c>
      <c r="E79" s="28"/>
      <c r="F79" s="1"/>
      <c r="G79" s="1"/>
      <c r="H79" s="1"/>
    </row>
    <row r="80" spans="1:8" hidden="1" x14ac:dyDescent="0.3">
      <c r="A80" s="149" t="s">
        <v>135</v>
      </c>
      <c r="B80" s="6">
        <v>18</v>
      </c>
      <c r="C80" s="1" t="s">
        <v>13</v>
      </c>
      <c r="D80" s="3" t="s">
        <v>28</v>
      </c>
      <c r="E80" s="1" t="s">
        <v>136</v>
      </c>
      <c r="F80" s="1"/>
      <c r="G80" s="1"/>
      <c r="H80" s="1"/>
    </row>
    <row r="81" spans="1:9" hidden="1" x14ac:dyDescent="0.3">
      <c r="A81" s="149" t="s">
        <v>137</v>
      </c>
      <c r="B81" s="6">
        <v>18</v>
      </c>
      <c r="C81" s="1" t="s">
        <v>20</v>
      </c>
      <c r="D81" s="3" t="s">
        <v>24</v>
      </c>
      <c r="E81" s="1"/>
      <c r="F81" s="1"/>
      <c r="G81" s="1"/>
      <c r="H81" s="1"/>
    </row>
    <row r="82" spans="1:9" hidden="1" x14ac:dyDescent="0.3">
      <c r="A82" s="270" t="s">
        <v>138</v>
      </c>
      <c r="B82" s="6">
        <v>18</v>
      </c>
      <c r="C82" s="1" t="s">
        <v>20</v>
      </c>
      <c r="D82" s="3" t="s">
        <v>24</v>
      </c>
      <c r="E82" s="1"/>
      <c r="F82" s="1"/>
      <c r="G82" s="1"/>
      <c r="H82" s="1"/>
    </row>
    <row r="83" spans="1:9" hidden="1" x14ac:dyDescent="0.3">
      <c r="A83" s="149" t="s">
        <v>139</v>
      </c>
      <c r="B83" s="6">
        <v>18</v>
      </c>
      <c r="C83" s="1" t="s">
        <v>20</v>
      </c>
      <c r="D83" s="3" t="s">
        <v>24</v>
      </c>
      <c r="E83" s="1"/>
      <c r="F83" s="1"/>
      <c r="G83" s="1"/>
      <c r="H83" s="1"/>
    </row>
    <row r="84" spans="1:9" hidden="1" x14ac:dyDescent="0.3">
      <c r="A84" s="149" t="s">
        <v>140</v>
      </c>
      <c r="B84" s="6">
        <v>19</v>
      </c>
      <c r="C84" s="1" t="s">
        <v>23</v>
      </c>
      <c r="D84" s="3"/>
      <c r="E84" s="1"/>
      <c r="F84" s="1"/>
      <c r="G84" s="1"/>
      <c r="H84" s="1"/>
    </row>
    <row r="85" spans="1:9" hidden="1" x14ac:dyDescent="0.3">
      <c r="A85" s="270" t="s">
        <v>141</v>
      </c>
      <c r="B85" s="6">
        <v>19</v>
      </c>
      <c r="C85" s="1" t="s">
        <v>23</v>
      </c>
      <c r="D85" s="136" t="s">
        <v>93</v>
      </c>
      <c r="E85" s="1"/>
      <c r="F85" s="1"/>
      <c r="G85" s="1"/>
      <c r="H85" s="1" t="s">
        <v>16</v>
      </c>
    </row>
    <row r="86" spans="1:9" hidden="1" x14ac:dyDescent="0.3">
      <c r="A86" s="149" t="s">
        <v>142</v>
      </c>
      <c r="B86" s="6">
        <v>19</v>
      </c>
      <c r="C86" s="1" t="s">
        <v>23</v>
      </c>
      <c r="D86" s="3" t="s">
        <v>24</v>
      </c>
      <c r="E86" s="1"/>
      <c r="F86" s="1"/>
      <c r="G86" s="1"/>
      <c r="H86" s="1"/>
      <c r="I86">
        <f>104-I85</f>
        <v>104</v>
      </c>
    </row>
    <row r="87" spans="1:9" x14ac:dyDescent="0.3">
      <c r="A87" s="270" t="s">
        <v>143</v>
      </c>
      <c r="B87" s="6">
        <v>19</v>
      </c>
      <c r="C87" s="1" t="s">
        <v>13</v>
      </c>
      <c r="D87" s="277" t="s">
        <v>16</v>
      </c>
      <c r="E87" s="1" t="s">
        <v>15</v>
      </c>
      <c r="F87" s="1"/>
      <c r="G87" s="1"/>
      <c r="H87" s="1" t="s">
        <v>16</v>
      </c>
    </row>
    <row r="88" spans="1:9" hidden="1" x14ac:dyDescent="0.3">
      <c r="A88" s="149" t="s">
        <v>144</v>
      </c>
      <c r="B88" s="6">
        <v>19</v>
      </c>
      <c r="C88" s="1" t="s">
        <v>23</v>
      </c>
      <c r="D88" s="3" t="s">
        <v>24</v>
      </c>
      <c r="E88" s="1"/>
      <c r="F88" s="1"/>
      <c r="G88" s="1"/>
      <c r="H88" s="1"/>
    </row>
    <row r="89" spans="1:9" x14ac:dyDescent="0.3">
      <c r="A89" s="270" t="s">
        <v>145</v>
      </c>
      <c r="B89" s="6">
        <v>20</v>
      </c>
      <c r="C89" s="1" t="s">
        <v>13</v>
      </c>
      <c r="D89" s="277" t="s">
        <v>16</v>
      </c>
      <c r="E89" s="1"/>
      <c r="F89" s="1"/>
      <c r="G89" s="1"/>
      <c r="H89" s="1" t="s">
        <v>16</v>
      </c>
    </row>
    <row r="90" spans="1:9" hidden="1" x14ac:dyDescent="0.3">
      <c r="A90" s="149" t="s">
        <v>146</v>
      </c>
      <c r="B90" s="6">
        <v>19</v>
      </c>
      <c r="C90" s="1" t="s">
        <v>13</v>
      </c>
      <c r="D90" s="3" t="s">
        <v>24</v>
      </c>
      <c r="E90" s="1"/>
      <c r="F90" s="1"/>
      <c r="G90" s="1"/>
      <c r="H90" s="1"/>
    </row>
    <row r="91" spans="1:9" x14ac:dyDescent="0.3">
      <c r="A91" s="270" t="s">
        <v>147</v>
      </c>
      <c r="B91" s="6">
        <v>20</v>
      </c>
      <c r="C91" s="1" t="s">
        <v>13</v>
      </c>
      <c r="D91" s="277" t="s">
        <v>16</v>
      </c>
      <c r="E91" s="1" t="s">
        <v>148</v>
      </c>
      <c r="F91" s="1"/>
      <c r="G91" s="1"/>
      <c r="H91" s="1" t="s">
        <v>16</v>
      </c>
    </row>
    <row r="92" spans="1:9" hidden="1" x14ac:dyDescent="0.3">
      <c r="A92" s="149" t="s">
        <v>149</v>
      </c>
      <c r="B92" s="6">
        <v>19</v>
      </c>
      <c r="C92" s="1" t="s">
        <v>13</v>
      </c>
      <c r="D92" s="3" t="s">
        <v>47</v>
      </c>
      <c r="E92" s="1" t="s">
        <v>48</v>
      </c>
      <c r="F92" s="1"/>
      <c r="G92" s="1"/>
      <c r="H92" s="1"/>
    </row>
    <row r="93" spans="1:9" hidden="1" x14ac:dyDescent="0.3">
      <c r="A93" s="149" t="s">
        <v>150</v>
      </c>
      <c r="B93" s="6">
        <v>19</v>
      </c>
      <c r="C93" s="1" t="s">
        <v>13</v>
      </c>
      <c r="D93" s="3" t="s">
        <v>24</v>
      </c>
      <c r="E93" s="1"/>
      <c r="F93" s="1"/>
      <c r="G93" s="1"/>
      <c r="H93" s="1"/>
    </row>
    <row r="94" spans="1:9" hidden="1" x14ac:dyDescent="0.3">
      <c r="A94" s="149" t="s">
        <v>151</v>
      </c>
      <c r="B94" s="6">
        <v>19</v>
      </c>
      <c r="C94" s="1" t="s">
        <v>13</v>
      </c>
      <c r="D94" s="3" t="s">
        <v>24</v>
      </c>
      <c r="E94" s="1"/>
      <c r="F94" s="1"/>
      <c r="G94" s="1"/>
      <c r="H94" s="1"/>
    </row>
    <row r="95" spans="1:9" hidden="1" x14ac:dyDescent="0.3">
      <c r="A95" s="149" t="s">
        <v>152</v>
      </c>
      <c r="B95" s="6">
        <v>19</v>
      </c>
      <c r="C95" s="1" t="s">
        <v>20</v>
      </c>
      <c r="D95" s="3" t="s">
        <v>28</v>
      </c>
      <c r="E95" s="1" t="s">
        <v>33</v>
      </c>
      <c r="F95" s="1"/>
      <c r="G95" s="1"/>
      <c r="H95" s="1"/>
    </row>
    <row r="96" spans="1:9" x14ac:dyDescent="0.3">
      <c r="A96" s="270" t="s">
        <v>153</v>
      </c>
      <c r="B96" s="6">
        <v>20</v>
      </c>
      <c r="C96" s="1" t="s">
        <v>13</v>
      </c>
      <c r="D96" s="277" t="s">
        <v>16</v>
      </c>
      <c r="E96" s="1" t="s">
        <v>103</v>
      </c>
      <c r="F96" s="1"/>
      <c r="G96" s="1"/>
      <c r="H96" s="1" t="s">
        <v>16</v>
      </c>
    </row>
    <row r="97" spans="1:8" hidden="1" x14ac:dyDescent="0.3">
      <c r="A97" s="149" t="s">
        <v>154</v>
      </c>
      <c r="B97" s="6">
        <v>19</v>
      </c>
      <c r="C97" s="1" t="s">
        <v>20</v>
      </c>
      <c r="D97" s="3" t="s">
        <v>28</v>
      </c>
      <c r="E97" s="1" t="s">
        <v>66</v>
      </c>
      <c r="F97" s="1"/>
      <c r="G97" s="1"/>
      <c r="H97" s="1"/>
    </row>
    <row r="98" spans="1:8" hidden="1" x14ac:dyDescent="0.3">
      <c r="A98" s="270" t="s">
        <v>155</v>
      </c>
      <c r="B98" s="6">
        <v>14</v>
      </c>
      <c r="C98" s="1" t="s">
        <v>13</v>
      </c>
      <c r="D98" s="3"/>
      <c r="E98" s="1" t="s">
        <v>64</v>
      </c>
      <c r="F98" s="1"/>
      <c r="G98" s="1"/>
      <c r="H98" s="1"/>
    </row>
    <row r="99" spans="1:8" hidden="1" x14ac:dyDescent="0.3">
      <c r="A99" s="149" t="s">
        <v>156</v>
      </c>
      <c r="B99" s="6">
        <v>20</v>
      </c>
      <c r="C99" s="1" t="s">
        <v>23</v>
      </c>
      <c r="D99" s="3" t="s">
        <v>24</v>
      </c>
      <c r="E99" s="1"/>
      <c r="F99" s="1"/>
      <c r="G99" s="1"/>
      <c r="H99" s="1"/>
    </row>
    <row r="100" spans="1:8" hidden="1" x14ac:dyDescent="0.3">
      <c r="A100" s="149" t="s">
        <v>157</v>
      </c>
      <c r="B100" s="6">
        <v>20</v>
      </c>
      <c r="C100" s="1" t="s">
        <v>23</v>
      </c>
      <c r="D100" s="8" t="s">
        <v>24</v>
      </c>
      <c r="E100" s="1"/>
      <c r="F100" s="1"/>
      <c r="G100" s="1"/>
      <c r="H100" s="1"/>
    </row>
    <row r="101" spans="1:8" hidden="1" x14ac:dyDescent="0.3">
      <c r="A101" s="149" t="s">
        <v>158</v>
      </c>
      <c r="B101" s="6">
        <v>20</v>
      </c>
      <c r="C101" s="1" t="s">
        <v>23</v>
      </c>
      <c r="D101" s="3" t="s">
        <v>24</v>
      </c>
      <c r="E101" s="1"/>
      <c r="F101" s="1"/>
      <c r="G101" s="1"/>
      <c r="H101" s="1"/>
    </row>
    <row r="102" spans="1:8" x14ac:dyDescent="0.3">
      <c r="A102" s="270" t="s">
        <v>159</v>
      </c>
      <c r="B102" s="6">
        <v>20</v>
      </c>
      <c r="C102" s="1" t="s">
        <v>79</v>
      </c>
      <c r="D102" s="277" t="s">
        <v>16</v>
      </c>
      <c r="E102" s="1" t="s">
        <v>160</v>
      </c>
      <c r="F102" s="1"/>
      <c r="G102" s="1"/>
      <c r="H102" s="1" t="s">
        <v>16</v>
      </c>
    </row>
    <row r="103" spans="1:8" x14ac:dyDescent="0.3">
      <c r="A103" s="270" t="s">
        <v>161</v>
      </c>
      <c r="B103" s="6">
        <v>20</v>
      </c>
      <c r="C103" s="1" t="s">
        <v>13</v>
      </c>
      <c r="D103" s="277" t="s">
        <v>16</v>
      </c>
      <c r="E103" s="1" t="s">
        <v>15</v>
      </c>
      <c r="F103" s="1"/>
      <c r="G103" s="1"/>
      <c r="H103" s="1" t="s">
        <v>16</v>
      </c>
    </row>
    <row r="104" spans="1:8" x14ac:dyDescent="0.3">
      <c r="A104" s="270" t="s">
        <v>162</v>
      </c>
      <c r="B104" s="6">
        <v>20</v>
      </c>
      <c r="C104" s="1" t="s">
        <v>13</v>
      </c>
      <c r="D104" s="277" t="s">
        <v>16</v>
      </c>
      <c r="E104" s="1" t="s">
        <v>163</v>
      </c>
      <c r="F104" s="1"/>
      <c r="G104" s="1"/>
      <c r="H104" s="1" t="s">
        <v>16</v>
      </c>
    </row>
    <row r="105" spans="1:8" x14ac:dyDescent="0.3">
      <c r="A105" s="270" t="s">
        <v>164</v>
      </c>
      <c r="B105" s="3">
        <v>21</v>
      </c>
      <c r="C105" s="1" t="s">
        <v>165</v>
      </c>
      <c r="D105" s="277" t="s">
        <v>16</v>
      </c>
      <c r="E105" s="1"/>
      <c r="F105" s="1"/>
      <c r="G105" s="1"/>
      <c r="H105" s="1" t="s">
        <v>16</v>
      </c>
    </row>
    <row r="106" spans="1:8" hidden="1" x14ac:dyDescent="0.3">
      <c r="A106" s="149" t="s">
        <v>166</v>
      </c>
      <c r="B106" s="6">
        <v>20</v>
      </c>
      <c r="C106" s="1" t="s">
        <v>20</v>
      </c>
      <c r="D106" s="3" t="s">
        <v>24</v>
      </c>
      <c r="E106" s="1"/>
      <c r="F106" s="1"/>
      <c r="G106" s="1"/>
      <c r="H106" s="1"/>
    </row>
    <row r="107" spans="1:8" hidden="1" x14ac:dyDescent="0.3">
      <c r="A107" s="263" t="s">
        <v>167</v>
      </c>
      <c r="B107" s="264">
        <v>20</v>
      </c>
      <c r="C107" s="263" t="s">
        <v>20</v>
      </c>
      <c r="D107" s="265" t="s">
        <v>14</v>
      </c>
      <c r="E107" s="263" t="s">
        <v>168</v>
      </c>
      <c r="F107" s="1"/>
      <c r="G107" s="1"/>
      <c r="H107" s="1"/>
    </row>
    <row r="108" spans="1:8" hidden="1" x14ac:dyDescent="0.3">
      <c r="A108" s="149" t="s">
        <v>169</v>
      </c>
      <c r="B108" s="6">
        <v>20</v>
      </c>
      <c r="C108" s="1" t="s">
        <v>20</v>
      </c>
      <c r="D108" s="3" t="s">
        <v>24</v>
      </c>
      <c r="E108" s="1"/>
      <c r="F108" s="1"/>
      <c r="G108" s="1"/>
      <c r="H108" s="1"/>
    </row>
    <row r="109" spans="1:8" x14ac:dyDescent="0.3">
      <c r="A109" s="270" t="s">
        <v>170</v>
      </c>
      <c r="B109" s="3">
        <v>21</v>
      </c>
      <c r="C109" s="1" t="s">
        <v>13</v>
      </c>
      <c r="D109" s="277" t="s">
        <v>16</v>
      </c>
      <c r="E109" s="1" t="s">
        <v>81</v>
      </c>
      <c r="F109" s="1"/>
      <c r="G109" s="1"/>
      <c r="H109" s="1" t="s">
        <v>16</v>
      </c>
    </row>
    <row r="110" spans="1:8" hidden="1" x14ac:dyDescent="0.3">
      <c r="A110" s="149" t="s">
        <v>171</v>
      </c>
      <c r="B110" s="3">
        <v>21</v>
      </c>
      <c r="C110" s="1" t="s">
        <v>23</v>
      </c>
      <c r="D110" s="3" t="s">
        <v>47</v>
      </c>
      <c r="E110" s="1" t="s">
        <v>48</v>
      </c>
      <c r="F110" s="1"/>
      <c r="G110" s="1"/>
      <c r="H110" s="1"/>
    </row>
    <row r="111" spans="1:8" x14ac:dyDescent="0.3">
      <c r="A111" s="270" t="s">
        <v>172</v>
      </c>
      <c r="B111" s="3">
        <v>21</v>
      </c>
      <c r="C111" s="1" t="s">
        <v>79</v>
      </c>
      <c r="D111" s="277" t="s">
        <v>16</v>
      </c>
      <c r="E111" s="1"/>
      <c r="F111" s="1"/>
      <c r="G111" s="1"/>
      <c r="H111" s="1" t="s">
        <v>16</v>
      </c>
    </row>
    <row r="112" spans="1:8" hidden="1" x14ac:dyDescent="0.3">
      <c r="A112" s="149" t="s">
        <v>173</v>
      </c>
      <c r="B112" s="3">
        <v>21</v>
      </c>
      <c r="C112" s="1" t="s">
        <v>23</v>
      </c>
      <c r="D112" s="3" t="s">
        <v>24</v>
      </c>
      <c r="E112" s="1"/>
      <c r="F112" s="1"/>
      <c r="G112" s="1"/>
      <c r="H112" s="1"/>
    </row>
    <row r="113" spans="1:9" hidden="1" x14ac:dyDescent="0.3">
      <c r="A113" s="149" t="s">
        <v>174</v>
      </c>
      <c r="B113" s="3">
        <v>21</v>
      </c>
      <c r="C113" s="1" t="s">
        <v>23</v>
      </c>
      <c r="D113" s="3" t="s">
        <v>24</v>
      </c>
      <c r="E113" s="1"/>
      <c r="F113" s="1"/>
      <c r="G113" s="1"/>
      <c r="H113" s="1"/>
    </row>
    <row r="114" spans="1:9" hidden="1" x14ac:dyDescent="0.3">
      <c r="A114" s="270" t="s">
        <v>175</v>
      </c>
      <c r="B114" s="6">
        <v>19</v>
      </c>
      <c r="C114" s="1" t="s">
        <v>23</v>
      </c>
      <c r="D114" s="136" t="s">
        <v>93</v>
      </c>
      <c r="E114" s="1"/>
      <c r="F114" s="1"/>
      <c r="G114" s="1"/>
      <c r="H114" s="1" t="s">
        <v>16</v>
      </c>
    </row>
    <row r="115" spans="1:9" hidden="1" x14ac:dyDescent="0.3">
      <c r="A115" s="149" t="s">
        <v>176</v>
      </c>
      <c r="B115" s="3">
        <v>21</v>
      </c>
      <c r="C115" s="1" t="s">
        <v>165</v>
      </c>
      <c r="D115" s="3" t="s">
        <v>47</v>
      </c>
      <c r="E115" s="1" t="s">
        <v>177</v>
      </c>
      <c r="F115" s="1"/>
      <c r="G115" s="1"/>
      <c r="H115" s="1"/>
    </row>
    <row r="116" spans="1:9" hidden="1" x14ac:dyDescent="0.3">
      <c r="A116" s="268" t="s">
        <v>178</v>
      </c>
      <c r="B116" s="269">
        <v>21</v>
      </c>
      <c r="C116" s="268" t="s">
        <v>165</v>
      </c>
      <c r="D116" s="269" t="s">
        <v>14</v>
      </c>
      <c r="E116" s="268" t="s">
        <v>179</v>
      </c>
      <c r="F116" s="1"/>
      <c r="G116" s="1"/>
      <c r="H116" s="1"/>
    </row>
    <row r="117" spans="1:9" x14ac:dyDescent="0.3">
      <c r="A117" s="270" t="s">
        <v>180</v>
      </c>
      <c r="B117" s="3">
        <v>21</v>
      </c>
      <c r="C117" s="1" t="s">
        <v>23</v>
      </c>
      <c r="D117" s="277" t="s">
        <v>16</v>
      </c>
      <c r="E117" s="1" t="s">
        <v>181</v>
      </c>
      <c r="F117" s="1"/>
      <c r="G117" s="1"/>
      <c r="H117" s="1" t="s">
        <v>16</v>
      </c>
    </row>
    <row r="118" spans="1:9" hidden="1" x14ac:dyDescent="0.3">
      <c r="A118" s="270" t="s">
        <v>182</v>
      </c>
      <c r="B118" s="3">
        <v>21</v>
      </c>
      <c r="C118" s="1" t="s">
        <v>165</v>
      </c>
      <c r="D118" s="136" t="s">
        <v>93</v>
      </c>
      <c r="E118" s="1"/>
      <c r="F118" s="1"/>
      <c r="G118" s="1"/>
      <c r="H118" s="1" t="s">
        <v>16</v>
      </c>
    </row>
    <row r="119" spans="1:9" x14ac:dyDescent="0.3">
      <c r="A119" s="270" t="s">
        <v>183</v>
      </c>
      <c r="B119" s="3">
        <v>21</v>
      </c>
      <c r="C119" s="1" t="s">
        <v>20</v>
      </c>
      <c r="D119" s="136" t="s">
        <v>16</v>
      </c>
      <c r="E119" s="1" t="s">
        <v>89</v>
      </c>
      <c r="F119" s="1"/>
      <c r="G119" s="1"/>
      <c r="H119" s="1" t="s">
        <v>16</v>
      </c>
    </row>
    <row r="120" spans="1:9" hidden="1" x14ac:dyDescent="0.3">
      <c r="A120" s="149" t="s">
        <v>184</v>
      </c>
      <c r="B120" s="3">
        <v>21</v>
      </c>
      <c r="C120" s="1" t="s">
        <v>13</v>
      </c>
      <c r="D120" s="3" t="s">
        <v>47</v>
      </c>
      <c r="E120" s="1" t="s">
        <v>48</v>
      </c>
      <c r="F120" s="1"/>
      <c r="G120" s="1"/>
      <c r="H120" s="1"/>
    </row>
    <row r="121" spans="1:9" hidden="1" x14ac:dyDescent="0.3">
      <c r="A121" s="263" t="s">
        <v>185</v>
      </c>
      <c r="B121" s="265">
        <v>21</v>
      </c>
      <c r="C121" s="263" t="s">
        <v>13</v>
      </c>
      <c r="D121" s="265" t="s">
        <v>14</v>
      </c>
      <c r="E121" s="263" t="s">
        <v>81</v>
      </c>
      <c r="F121" s="1"/>
      <c r="G121" s="1"/>
      <c r="H121" s="1"/>
    </row>
    <row r="122" spans="1:9" hidden="1" x14ac:dyDescent="0.3">
      <c r="A122" s="270" t="s">
        <v>186</v>
      </c>
      <c r="B122" s="6">
        <v>16</v>
      </c>
      <c r="C122" s="1" t="s">
        <v>23</v>
      </c>
      <c r="D122" s="136" t="s">
        <v>93</v>
      </c>
      <c r="E122" s="1" t="s">
        <v>187</v>
      </c>
      <c r="F122" s="1"/>
      <c r="G122" s="1"/>
      <c r="H122" s="1" t="s">
        <v>16</v>
      </c>
    </row>
    <row r="123" spans="1:9" x14ac:dyDescent="0.3">
      <c r="A123" s="270" t="s">
        <v>188</v>
      </c>
      <c r="B123" s="3">
        <v>21</v>
      </c>
      <c r="C123" s="1" t="s">
        <v>79</v>
      </c>
      <c r="D123" s="277" t="s">
        <v>16</v>
      </c>
      <c r="E123" s="1"/>
      <c r="F123" s="1"/>
      <c r="G123" s="1"/>
      <c r="H123" s="1" t="s">
        <v>16</v>
      </c>
      <c r="I123" t="s">
        <v>87</v>
      </c>
    </row>
    <row r="124" spans="1:9" hidden="1" x14ac:dyDescent="0.3">
      <c r="A124" s="149" t="s">
        <v>189</v>
      </c>
      <c r="B124" s="3">
        <v>21</v>
      </c>
      <c r="C124" s="1" t="s">
        <v>20</v>
      </c>
      <c r="D124" s="3" t="s">
        <v>28</v>
      </c>
      <c r="E124" s="1" t="s">
        <v>190</v>
      </c>
      <c r="F124" s="1"/>
      <c r="G124" s="1"/>
      <c r="H124" s="1"/>
    </row>
    <row r="125" spans="1:9" hidden="1" x14ac:dyDescent="0.3">
      <c r="A125" s="149" t="s">
        <v>191</v>
      </c>
      <c r="B125" s="3">
        <v>21</v>
      </c>
      <c r="C125" s="1" t="s">
        <v>20</v>
      </c>
      <c r="D125" s="3" t="s">
        <v>24</v>
      </c>
      <c r="E125" s="1"/>
      <c r="F125" s="1"/>
      <c r="G125" s="1"/>
      <c r="H125" s="1"/>
    </row>
    <row r="126" spans="1:9" x14ac:dyDescent="0.3">
      <c r="A126" s="270" t="s">
        <v>192</v>
      </c>
      <c r="B126" s="3">
        <v>21</v>
      </c>
      <c r="C126" s="1" t="s">
        <v>165</v>
      </c>
      <c r="D126" s="277" t="s">
        <v>16</v>
      </c>
      <c r="E126" s="1" t="s">
        <v>193</v>
      </c>
      <c r="F126" s="1"/>
      <c r="G126" s="1"/>
      <c r="H126" s="1" t="s">
        <v>16</v>
      </c>
    </row>
    <row r="127" spans="1:9" hidden="1" x14ac:dyDescent="0.3">
      <c r="A127" s="149" t="s">
        <v>194</v>
      </c>
      <c r="B127" s="3">
        <v>21</v>
      </c>
      <c r="C127" s="1" t="s">
        <v>20</v>
      </c>
      <c r="D127" s="3" t="s">
        <v>28</v>
      </c>
      <c r="E127" s="1"/>
      <c r="F127" s="1"/>
      <c r="G127" s="1"/>
      <c r="H127" s="1"/>
    </row>
    <row r="128" spans="1:9" x14ac:dyDescent="0.3">
      <c r="A128" s="270" t="s">
        <v>195</v>
      </c>
      <c r="B128" s="3">
        <v>21</v>
      </c>
      <c r="C128" s="1" t="s">
        <v>13</v>
      </c>
      <c r="D128" s="277" t="s">
        <v>16</v>
      </c>
      <c r="E128" s="1"/>
      <c r="F128" s="1"/>
      <c r="G128" s="1"/>
      <c r="H128" s="1" t="s">
        <v>16</v>
      </c>
    </row>
    <row r="129" spans="1:10" x14ac:dyDescent="0.3">
      <c r="A129" s="270" t="s">
        <v>196</v>
      </c>
      <c r="B129" s="3">
        <v>21</v>
      </c>
      <c r="C129" s="1" t="s">
        <v>20</v>
      </c>
      <c r="D129" s="277" t="s">
        <v>16</v>
      </c>
      <c r="E129" s="1" t="s">
        <v>15</v>
      </c>
      <c r="F129" s="1"/>
      <c r="G129" s="1"/>
      <c r="H129" s="1" t="s">
        <v>16</v>
      </c>
      <c r="I129" t="s">
        <v>87</v>
      </c>
    </row>
    <row r="130" spans="1:10" hidden="1" x14ac:dyDescent="0.3">
      <c r="A130" s="176" t="s">
        <v>197</v>
      </c>
      <c r="B130" s="48">
        <v>21</v>
      </c>
      <c r="C130" s="33" t="s">
        <v>79</v>
      </c>
      <c r="D130" s="48" t="s">
        <v>47</v>
      </c>
      <c r="E130" s="33"/>
      <c r="F130" s="33"/>
      <c r="G130" s="33"/>
      <c r="H130" s="33"/>
    </row>
    <row r="131" spans="1:10" hidden="1" x14ac:dyDescent="0.3">
      <c r="A131" s="271" t="s">
        <v>198</v>
      </c>
      <c r="B131" s="19">
        <v>19</v>
      </c>
      <c r="C131" s="9" t="s">
        <v>20</v>
      </c>
      <c r="D131" s="14"/>
      <c r="E131" s="9" t="s">
        <v>89</v>
      </c>
      <c r="F131" s="9"/>
      <c r="G131" s="9"/>
      <c r="H131" s="9"/>
    </row>
    <row r="132" spans="1:10" hidden="1" x14ac:dyDescent="0.3">
      <c r="A132" s="266" t="s">
        <v>199</v>
      </c>
      <c r="B132" s="267">
        <v>21</v>
      </c>
      <c r="C132" s="266" t="s">
        <v>79</v>
      </c>
      <c r="D132" s="267" t="s">
        <v>14</v>
      </c>
      <c r="E132" s="266"/>
      <c r="F132" s="9"/>
      <c r="G132" s="9"/>
      <c r="H132" s="9"/>
    </row>
    <row r="133" spans="1:10" hidden="1" x14ac:dyDescent="0.3">
      <c r="A133" s="174" t="s">
        <v>200</v>
      </c>
      <c r="B133" s="78">
        <v>21</v>
      </c>
      <c r="C133" s="68" t="s">
        <v>79</v>
      </c>
      <c r="D133" s="78" t="s">
        <v>47</v>
      </c>
      <c r="E133" s="68"/>
      <c r="F133" s="68"/>
      <c r="G133" s="68"/>
      <c r="H133" s="68"/>
    </row>
    <row r="134" spans="1:10" x14ac:dyDescent="0.3">
      <c r="A134" s="270" t="s">
        <v>201</v>
      </c>
      <c r="B134" s="3">
        <v>21</v>
      </c>
      <c r="C134" s="1" t="s">
        <v>13</v>
      </c>
      <c r="D134" s="277" t="s">
        <v>16</v>
      </c>
      <c r="E134" s="1" t="s">
        <v>64</v>
      </c>
      <c r="F134" s="1"/>
      <c r="G134" s="1"/>
      <c r="H134" s="1" t="s">
        <v>16</v>
      </c>
    </row>
    <row r="135" spans="1:10" hidden="1" x14ac:dyDescent="0.3">
      <c r="A135" s="149" t="s">
        <v>202</v>
      </c>
      <c r="B135" s="6" t="s">
        <v>203</v>
      </c>
      <c r="C135" s="1" t="s">
        <v>23</v>
      </c>
      <c r="D135" s="6" t="s">
        <v>28</v>
      </c>
      <c r="E135" s="1"/>
      <c r="F135" s="1"/>
      <c r="G135" s="1"/>
      <c r="H135" s="1"/>
    </row>
    <row r="136" spans="1:10" x14ac:dyDescent="0.3">
      <c r="A136" s="270" t="s">
        <v>204</v>
      </c>
      <c r="B136" s="3" t="s">
        <v>205</v>
      </c>
      <c r="C136" s="1" t="s">
        <v>165</v>
      </c>
      <c r="D136" s="277" t="s">
        <v>16</v>
      </c>
      <c r="E136" s="1" t="s">
        <v>206</v>
      </c>
      <c r="F136" s="1"/>
      <c r="G136" s="1"/>
      <c r="H136" s="1" t="s">
        <v>16</v>
      </c>
    </row>
    <row r="137" spans="1:10" hidden="1" x14ac:dyDescent="0.3">
      <c r="A137" s="263" t="s">
        <v>207</v>
      </c>
      <c r="B137" s="265" t="s">
        <v>203</v>
      </c>
      <c r="C137" s="263" t="s">
        <v>13</v>
      </c>
      <c r="D137" s="265" t="s">
        <v>14</v>
      </c>
      <c r="E137" s="263" t="s">
        <v>208</v>
      </c>
      <c r="F137" s="1"/>
      <c r="G137" s="1"/>
      <c r="H137" s="1"/>
    </row>
    <row r="138" spans="1:10" hidden="1" x14ac:dyDescent="0.3">
      <c r="A138" s="149" t="s">
        <v>209</v>
      </c>
      <c r="B138" s="3" t="s">
        <v>203</v>
      </c>
      <c r="C138" s="1" t="s">
        <v>13</v>
      </c>
      <c r="D138" s="3" t="s">
        <v>35</v>
      </c>
      <c r="E138" s="1"/>
      <c r="F138" s="1"/>
      <c r="G138" s="1"/>
      <c r="H138" s="1"/>
    </row>
    <row r="139" spans="1:10" hidden="1" x14ac:dyDescent="0.3">
      <c r="A139" s="149" t="s">
        <v>210</v>
      </c>
      <c r="B139" s="6" t="s">
        <v>203</v>
      </c>
      <c r="C139" s="1" t="s">
        <v>20</v>
      </c>
      <c r="D139" s="3" t="s">
        <v>24</v>
      </c>
      <c r="E139" s="1"/>
      <c r="F139" s="1"/>
      <c r="G139" s="1"/>
      <c r="H139" s="1"/>
    </row>
    <row r="140" spans="1:10" x14ac:dyDescent="0.3">
      <c r="D140" s="5"/>
    </row>
    <row r="141" spans="1:10" ht="21" x14ac:dyDescent="0.4">
      <c r="A141" s="128" t="s">
        <v>211</v>
      </c>
      <c r="B141" s="129"/>
      <c r="C141" s="130"/>
      <c r="D141" s="260">
        <f>+COUNTIF(D3:D139,"OK")</f>
        <v>37</v>
      </c>
      <c r="E141" s="131"/>
    </row>
    <row r="142" spans="1:10" x14ac:dyDescent="0.3">
      <c r="A142" s="9"/>
      <c r="B142" s="19"/>
      <c r="C142" s="9"/>
      <c r="D142" s="14"/>
      <c r="E142" s="9"/>
      <c r="F142" s="9"/>
    </row>
    <row r="143" spans="1:10" x14ac:dyDescent="0.3">
      <c r="D143" s="5"/>
      <c r="J143">
        <f>58-8</f>
        <v>50</v>
      </c>
    </row>
    <row r="145" spans="3:5" x14ac:dyDescent="0.3">
      <c r="D145">
        <f>44-9</f>
        <v>35</v>
      </c>
    </row>
    <row r="147" spans="3:5" x14ac:dyDescent="0.3">
      <c r="D147" s="196"/>
    </row>
    <row r="149" spans="3:5" x14ac:dyDescent="0.3">
      <c r="C149">
        <f>10/6</f>
        <v>1.6666666666666667</v>
      </c>
      <c r="D149">
        <f>58-2</f>
        <v>56</v>
      </c>
      <c r="E149">
        <f>19+18</f>
        <v>37</v>
      </c>
    </row>
    <row r="150" spans="3:5" x14ac:dyDescent="0.3">
      <c r="C150">
        <v>1</v>
      </c>
      <c r="D150">
        <v>2</v>
      </c>
      <c r="E150">
        <f>37+5+5</f>
        <v>47</v>
      </c>
    </row>
    <row r="151" spans="3:5" x14ac:dyDescent="0.3">
      <c r="C151">
        <v>1</v>
      </c>
      <c r="D151">
        <v>2</v>
      </c>
    </row>
    <row r="152" spans="3:5" x14ac:dyDescent="0.3">
      <c r="C152">
        <v>1</v>
      </c>
      <c r="D152">
        <v>2</v>
      </c>
    </row>
    <row r="153" spans="3:5" x14ac:dyDescent="0.3">
      <c r="C153">
        <v>1</v>
      </c>
      <c r="D153">
        <v>2</v>
      </c>
    </row>
    <row r="154" spans="3:5" x14ac:dyDescent="0.3">
      <c r="C154">
        <v>1</v>
      </c>
      <c r="D154">
        <v>1</v>
      </c>
    </row>
    <row r="155" spans="3:5" x14ac:dyDescent="0.3">
      <c r="C155">
        <v>1</v>
      </c>
      <c r="D155">
        <v>1</v>
      </c>
    </row>
  </sheetData>
  <autoFilter ref="A2:H139" xr:uid="{80F8C0D2-914A-459C-8135-E4A9AA743823}">
    <filterColumn colId="3">
      <filters>
        <filter val="OK"/>
      </filters>
    </filterColumn>
    <sortState xmlns:xlrd2="http://schemas.microsoft.com/office/spreadsheetml/2017/richdata2" ref="A5:H136">
      <sortCondition ref="B2:B139"/>
    </sortState>
  </autoFilter>
  <mergeCells count="1">
    <mergeCell ref="B1:E1"/>
  </mergeCells>
  <conditionalFormatting sqref="A32 B38:B43 B45:B46 B48:B49 B51:B53">
    <cfRule type="expression" dxfId="154" priority="64">
      <formula>COUNTIF($B32:Y32, "A")</formula>
    </cfRule>
    <cfRule type="expression" dxfId="153" priority="63">
      <formula>COUNTIF($B32:Y32, "M")</formula>
    </cfRule>
    <cfRule type="expression" dxfId="152" priority="62">
      <formula>COUNTIF($B32:Y32, "Q")</formula>
    </cfRule>
    <cfRule type="expression" dxfId="151" priority="61">
      <formula>COUNTIF($B32:Y32, "C")</formula>
    </cfRule>
  </conditionalFormatting>
  <conditionalFormatting sqref="A32:A46 B34:B43 B45:B46 A48:B49 A51:B53">
    <cfRule type="expression" dxfId="150" priority="65">
      <formula>COUNTIF($A32:Y32, "NI")</formula>
    </cfRule>
  </conditionalFormatting>
  <conditionalFormatting sqref="A104:A106 A134:A138">
    <cfRule type="expression" dxfId="149" priority="56">
      <formula>COUNTIF($B104:Y104, "C")</formula>
    </cfRule>
    <cfRule type="expression" dxfId="148" priority="59">
      <formula>COUNTIF($B104:Y104, "A")</formula>
    </cfRule>
    <cfRule type="expression" dxfId="147" priority="58">
      <formula>COUNTIF($B104:Y104, "M")</formula>
    </cfRule>
    <cfRule type="expression" dxfId="146" priority="57">
      <formula>COUNTIF($B104:Y104, "Q")</formula>
    </cfRule>
    <cfRule type="expression" dxfId="145" priority="60">
      <formula>COUNTIF($A104:Y104, "NI")</formula>
    </cfRule>
  </conditionalFormatting>
  <conditionalFormatting sqref="A3:B3">
    <cfRule type="expression" dxfId="144" priority="30">
      <formula>COUNTIF($A3:Y3, "NI")</formula>
    </cfRule>
    <cfRule type="expression" dxfId="143" priority="29">
      <formula>COUNTIF($B3:Y3, "A")</formula>
    </cfRule>
    <cfRule type="expression" dxfId="142" priority="28">
      <formula>COUNTIF($B3:Y3, "M")</formula>
    </cfRule>
    <cfRule type="expression" dxfId="141" priority="27">
      <formula>COUNTIF($B3:Y3, "Q")</formula>
    </cfRule>
    <cfRule type="expression" dxfId="140" priority="26">
      <formula>COUNTIF($B3:Y3, "C")</formula>
    </cfRule>
  </conditionalFormatting>
  <conditionalFormatting sqref="A5:B5">
    <cfRule type="expression" dxfId="139" priority="40">
      <formula>COUNTIF($A5:Y5, "NI")</formula>
    </cfRule>
    <cfRule type="expression" dxfId="138" priority="36">
      <formula>COUNTIF($B5:Y5, "C")</formula>
    </cfRule>
    <cfRule type="expression" dxfId="137" priority="38">
      <formula>COUNTIF($B5:Y5, "M")</formula>
    </cfRule>
    <cfRule type="expression" dxfId="136" priority="37">
      <formula>COUNTIF($B5:Y5, "Q")</formula>
    </cfRule>
    <cfRule type="expression" dxfId="135" priority="39">
      <formula>COUNTIF($B5:Y5, "A")</formula>
    </cfRule>
  </conditionalFormatting>
  <conditionalFormatting sqref="A9:B9">
    <cfRule type="expression" dxfId="134" priority="45">
      <formula>COUNTIF($A9:Y9, "NI")</formula>
    </cfRule>
    <cfRule type="expression" dxfId="133" priority="44">
      <formula>COUNTIF($B9:Y9, "A")</formula>
    </cfRule>
    <cfRule type="expression" dxfId="132" priority="43">
      <formula>COUNTIF($B9:Y9, "M")</formula>
    </cfRule>
    <cfRule type="expression" dxfId="131" priority="41">
      <formula>COUNTIF($B9:Y9, "C")</formula>
    </cfRule>
    <cfRule type="expression" dxfId="130" priority="42">
      <formula>COUNTIF($B9:Y9, "Q")</formula>
    </cfRule>
  </conditionalFormatting>
  <conditionalFormatting sqref="A19:B19">
    <cfRule type="expression" dxfId="129" priority="23">
      <formula>COUNTIF($B19:Y19, "M")</formula>
    </cfRule>
    <cfRule type="expression" dxfId="128" priority="24">
      <formula>COUNTIF($B19:Y19, "A")</formula>
    </cfRule>
    <cfRule type="expression" dxfId="127" priority="25">
      <formula>COUNTIF($A19:Y19, "NI")</formula>
    </cfRule>
    <cfRule type="expression" dxfId="126" priority="22">
      <formula>COUNTIF($B19:Y19, "Q")</formula>
    </cfRule>
    <cfRule type="expression" dxfId="125" priority="21">
      <formula>COUNTIF($B19:Y19, "C")</formula>
    </cfRule>
  </conditionalFormatting>
  <conditionalFormatting sqref="A23:B23">
    <cfRule type="expression" dxfId="124" priority="81">
      <formula>COUNTIF($A23:G23, "NI")</formula>
    </cfRule>
  </conditionalFormatting>
  <conditionalFormatting sqref="A31:B31 A79:A80">
    <cfRule type="expression" dxfId="123" priority="80">
      <formula>COUNTIF($A31:Y31, "NI")</formula>
    </cfRule>
  </conditionalFormatting>
  <conditionalFormatting sqref="A47:B47">
    <cfRule type="expression" dxfId="122" priority="2">
      <formula>COUNTIF($B47:Y47, "Q")</formula>
    </cfRule>
    <cfRule type="expression" dxfId="121" priority="3">
      <formula>COUNTIF($B47:Y47, "M")</formula>
    </cfRule>
    <cfRule type="expression" dxfId="120" priority="1">
      <formula>COUNTIF($B47:Y47, "C")</formula>
    </cfRule>
    <cfRule type="expression" dxfId="119" priority="5">
      <formula>COUNTIF($A47:Y47, "NI")</formula>
    </cfRule>
    <cfRule type="expression" dxfId="118" priority="4">
      <formula>COUNTIF($B47:Y47, "A")</formula>
    </cfRule>
  </conditionalFormatting>
  <conditionalFormatting sqref="A50:B50">
    <cfRule type="expression" dxfId="117" priority="33">
      <formula>COUNTIF($B50:Y50, "M")</formula>
    </cfRule>
    <cfRule type="expression" dxfId="116" priority="31">
      <formula>COUNTIF($B50:Y50, "C")</formula>
    </cfRule>
    <cfRule type="expression" dxfId="115" priority="32">
      <formula>COUNTIF($B50:Y50, "Q")</formula>
    </cfRule>
    <cfRule type="expression" dxfId="114" priority="34">
      <formula>COUNTIF($B50:Y50, "A")</formula>
    </cfRule>
    <cfRule type="expression" dxfId="113" priority="35">
      <formula>COUNTIF($A50:Y50, "NI")</formula>
    </cfRule>
  </conditionalFormatting>
  <conditionalFormatting sqref="A60:B61">
    <cfRule type="expression" dxfId="112" priority="11">
      <formula>COUNTIF($B60:Y60, "C")</formula>
    </cfRule>
    <cfRule type="expression" dxfId="111" priority="15">
      <formula>COUNTIF($A60:Y60, "NI")</formula>
    </cfRule>
    <cfRule type="expression" dxfId="110" priority="14">
      <formula>COUNTIF($B60:Y60, "A")</formula>
    </cfRule>
    <cfRule type="expression" dxfId="109" priority="13">
      <formula>COUNTIF($B60:Y60, "M")</formula>
    </cfRule>
    <cfRule type="expression" dxfId="108" priority="12">
      <formula>COUNTIF($B60:Y60, "Q")</formula>
    </cfRule>
  </conditionalFormatting>
  <conditionalFormatting sqref="A65:B65">
    <cfRule type="expression" dxfId="107" priority="20">
      <formula>COUNTIF($A65:Y65, "NI")</formula>
    </cfRule>
    <cfRule type="expression" dxfId="106" priority="19">
      <formula>COUNTIF($B65:Y65, "A")</formula>
    </cfRule>
    <cfRule type="expression" dxfId="105" priority="18">
      <formula>COUNTIF($B65:Y65, "M")</formula>
    </cfRule>
    <cfRule type="expression" dxfId="104" priority="17">
      <formula>COUNTIF($B65:Y65, "Q")</formula>
    </cfRule>
    <cfRule type="expression" dxfId="103" priority="16">
      <formula>COUNTIF($B65:Y65, "C")</formula>
    </cfRule>
  </conditionalFormatting>
  <conditionalFormatting sqref="A102:B102">
    <cfRule type="expression" dxfId="102" priority="48">
      <formula>COUNTIF($B102:Y102, "M")</formula>
    </cfRule>
    <cfRule type="expression" dxfId="101" priority="46">
      <formula>COUNTIF($B102:Y102, "C")</formula>
    </cfRule>
    <cfRule type="expression" dxfId="100" priority="47">
      <formula>COUNTIF($B102:Y102, "Q")</formula>
    </cfRule>
    <cfRule type="expression" dxfId="99" priority="49">
      <formula>COUNTIF($B102:Y102, "A")</formula>
    </cfRule>
    <cfRule type="expression" dxfId="98" priority="50">
      <formula>COUNTIF($A102:Y102, "NI")</formula>
    </cfRule>
  </conditionalFormatting>
  <conditionalFormatting sqref="A109:B109">
    <cfRule type="expression" dxfId="97" priority="10">
      <formula>COUNTIF($A109:Y109, "NI")</formula>
    </cfRule>
    <cfRule type="expression" dxfId="96" priority="9">
      <formula>COUNTIF($B109:Y109, "A")</formula>
    </cfRule>
  </conditionalFormatting>
  <conditionalFormatting sqref="A122:B122">
    <cfRule type="expression" dxfId="95" priority="54">
      <formula>COUNTIF($B122:Y122, "A")</formula>
    </cfRule>
    <cfRule type="expression" dxfId="94" priority="55">
      <formula>COUNTIF($A122:Y122, "NI")</formula>
    </cfRule>
  </conditionalFormatting>
  <conditionalFormatting sqref="B23">
    <cfRule type="expression" dxfId="93" priority="85">
      <formula>COUNTIF($B23:G23, "A")</formula>
    </cfRule>
    <cfRule type="expression" dxfId="92" priority="82">
      <formula>COUNTIF($B23:G23, "C")</formula>
    </cfRule>
    <cfRule type="expression" dxfId="91" priority="83">
      <formula>COUNTIF($B23:G23, "Q")</formula>
    </cfRule>
    <cfRule type="expression" dxfId="90" priority="84">
      <formula>COUNTIF($B23:G23, "M")</formula>
    </cfRule>
  </conditionalFormatting>
  <conditionalFormatting sqref="B31">
    <cfRule type="expression" dxfId="89" priority="76">
      <formula>COUNTIF($B31:Z31, "C")</formula>
    </cfRule>
    <cfRule type="expression" dxfId="88" priority="77">
      <formula>COUNTIF($B31:Z31, "Q")</formula>
    </cfRule>
    <cfRule type="expression" dxfId="87" priority="78">
      <formula>COUNTIF($B31:Z31, "M")</formula>
    </cfRule>
    <cfRule type="expression" dxfId="86" priority="79">
      <formula>COUNTIF($B31:Z31, "A")</formula>
    </cfRule>
  </conditionalFormatting>
  <conditionalFormatting sqref="B34:B37 A44">
    <cfRule type="expression" dxfId="85" priority="73">
      <formula>COUNTIF($B34:Y34, "Q")</formula>
    </cfRule>
    <cfRule type="expression" dxfId="84" priority="74">
      <formula>COUNTIF($B34:Y34, "M")</formula>
    </cfRule>
    <cfRule type="expression" dxfId="83" priority="75">
      <formula>COUNTIF($B34:Y34, "A")</formula>
    </cfRule>
    <cfRule type="expression" dxfId="82" priority="72">
      <formula>COUNTIF($B34:Y34, "C")</formula>
    </cfRule>
  </conditionalFormatting>
  <conditionalFormatting sqref="B109">
    <cfRule type="expression" dxfId="81" priority="6">
      <formula>COUNTIF($B109:Z109, "C")</formula>
    </cfRule>
    <cfRule type="expression" dxfId="80" priority="7">
      <formula>COUNTIF($B109:Z109, "Q")</formula>
    </cfRule>
    <cfRule type="expression" dxfId="79" priority="8">
      <formula>COUNTIF($B109:Z109, "M")</formula>
    </cfRule>
  </conditionalFormatting>
  <conditionalFormatting sqref="B122">
    <cfRule type="expression" dxfId="78" priority="52">
      <formula>COUNTIF($B122:Z122, "Q")</formula>
    </cfRule>
    <cfRule type="expression" dxfId="77" priority="51">
      <formula>COUNTIF($B122:Z122, "C")</formula>
    </cfRule>
    <cfRule type="expression" dxfId="76" priority="53">
      <formula>COUNTIF($B122:Z122, "M")</formula>
    </cfRule>
  </conditionalFormatting>
  <conditionalFormatting sqref="G78:G79 A84">
    <cfRule type="expression" dxfId="75" priority="71">
      <formula>COUNTIF($A78:Z78, "NI")</formula>
    </cfRule>
  </conditionalFormatting>
  <conditionalFormatting sqref="G80:G81 A85:A86">
    <cfRule type="expression" dxfId="74" priority="67">
      <formula>COUNTIF($B80:Y80, "Q")</formula>
    </cfRule>
    <cfRule type="expression" dxfId="73" priority="68">
      <formula>COUNTIF($B80:Y80, "M")</formula>
    </cfRule>
    <cfRule type="expression" dxfId="72" priority="69">
      <formula>COUNTIF($B80:Y80, "A")</formula>
    </cfRule>
    <cfRule type="expression" dxfId="71" priority="70">
      <formula>COUNTIF($A80:Y80, "NI")</formula>
    </cfRule>
    <cfRule type="expression" dxfId="70" priority="66">
      <formula>COUNTIF($B80:Y80, "C")</formula>
    </cfRule>
  </conditionalFormatting>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8237-E438-4A3E-832D-558CC599399D}">
  <dimension ref="A1:Z319"/>
  <sheetViews>
    <sheetView tabSelected="1" zoomScaleNormal="90" workbookViewId="0">
      <pane xSplit="1" ySplit="1" topLeftCell="M2" activePane="bottomRight" state="frozen"/>
      <selection pane="topRight" activeCell="B1" sqref="B1"/>
      <selection pane="bottomLeft" activeCell="A2" sqref="A2"/>
      <selection pane="bottomRight" activeCell="A319" sqref="A1:Z319"/>
    </sheetView>
  </sheetViews>
  <sheetFormatPr baseColWidth="10" defaultColWidth="11.44140625" defaultRowHeight="14.4" x14ac:dyDescent="0.3"/>
  <cols>
    <col min="1" max="1" width="39.109375" customWidth="1"/>
    <col min="2" max="25" width="11.44140625" style="26" customWidth="1"/>
    <col min="26" max="26" width="11.44140625" style="26"/>
  </cols>
  <sheetData>
    <row r="1" spans="1:26" s="4" customFormat="1" x14ac:dyDescent="0.3">
      <c r="A1" s="2" t="s">
        <v>212</v>
      </c>
      <c r="B1" s="2" t="s">
        <v>213</v>
      </c>
      <c r="C1" s="2" t="s">
        <v>214</v>
      </c>
      <c r="D1" s="2" t="s">
        <v>215</v>
      </c>
      <c r="E1" s="2" t="s">
        <v>216</v>
      </c>
      <c r="F1" s="2" t="s">
        <v>217</v>
      </c>
      <c r="G1" s="2" t="s">
        <v>218</v>
      </c>
      <c r="H1" s="2" t="s">
        <v>219</v>
      </c>
      <c r="I1" s="2" t="s">
        <v>220</v>
      </c>
      <c r="J1" s="2" t="s">
        <v>221</v>
      </c>
      <c r="K1" s="2" t="s">
        <v>222</v>
      </c>
      <c r="L1" s="2" t="s">
        <v>223</v>
      </c>
      <c r="M1" s="2" t="s">
        <v>224</v>
      </c>
      <c r="N1" s="2" t="s">
        <v>225</v>
      </c>
      <c r="O1" s="2" t="s">
        <v>226</v>
      </c>
      <c r="P1" s="2" t="s">
        <v>227</v>
      </c>
      <c r="Q1" s="2" t="s">
        <v>228</v>
      </c>
      <c r="R1" s="2" t="s">
        <v>229</v>
      </c>
      <c r="S1" s="2" t="s">
        <v>230</v>
      </c>
      <c r="T1" s="2" t="s">
        <v>231</v>
      </c>
      <c r="U1" s="2" t="s">
        <v>232</v>
      </c>
      <c r="V1" s="2" t="s">
        <v>233</v>
      </c>
      <c r="W1" s="2" t="s">
        <v>234</v>
      </c>
      <c r="X1" s="2" t="s">
        <v>48</v>
      </c>
      <c r="Y1" s="2" t="s">
        <v>235</v>
      </c>
      <c r="Z1" s="2" t="s">
        <v>236</v>
      </c>
    </row>
    <row r="2" spans="1:26" x14ac:dyDescent="0.3">
      <c r="A2" s="1" t="s">
        <v>237</v>
      </c>
      <c r="B2" s="6">
        <v>4</v>
      </c>
      <c r="C2" s="6" t="s">
        <v>238</v>
      </c>
      <c r="D2" s="6" t="s">
        <v>238</v>
      </c>
      <c r="E2" s="6" t="s">
        <v>238</v>
      </c>
      <c r="F2" s="6" t="s">
        <v>239</v>
      </c>
      <c r="G2" s="6" t="s">
        <v>238</v>
      </c>
      <c r="H2" s="6" t="s">
        <v>238</v>
      </c>
      <c r="I2" s="6" t="s">
        <v>238</v>
      </c>
      <c r="J2" s="6" t="s">
        <v>238</v>
      </c>
      <c r="K2" s="6" t="s">
        <v>238</v>
      </c>
      <c r="L2" s="6" t="s">
        <v>238</v>
      </c>
      <c r="M2" s="6" t="s">
        <v>238</v>
      </c>
      <c r="N2" s="6" t="s">
        <v>238</v>
      </c>
      <c r="O2" s="6" t="s">
        <v>238</v>
      </c>
      <c r="P2" s="6"/>
      <c r="Q2" s="6"/>
      <c r="R2" s="6"/>
      <c r="S2" s="6"/>
      <c r="T2" s="6"/>
      <c r="U2" s="6"/>
      <c r="V2" s="6"/>
      <c r="W2" s="6"/>
      <c r="X2" s="6"/>
      <c r="Y2" s="6"/>
      <c r="Z2" s="6"/>
    </row>
    <row r="3" spans="1:26" x14ac:dyDescent="0.3">
      <c r="A3" s="1" t="s">
        <v>240</v>
      </c>
      <c r="B3" s="6">
        <v>4</v>
      </c>
      <c r="C3" s="6" t="s">
        <v>238</v>
      </c>
      <c r="D3" s="6" t="s">
        <v>238</v>
      </c>
      <c r="E3" s="6" t="s">
        <v>238</v>
      </c>
      <c r="F3" s="6" t="s">
        <v>239</v>
      </c>
      <c r="G3" s="6" t="s">
        <v>238</v>
      </c>
      <c r="H3" s="6" t="s">
        <v>238</v>
      </c>
      <c r="I3" s="6" t="s">
        <v>238</v>
      </c>
      <c r="J3" s="6" t="s">
        <v>238</v>
      </c>
      <c r="K3" s="6" t="s">
        <v>238</v>
      </c>
      <c r="L3" s="6" t="s">
        <v>241</v>
      </c>
      <c r="M3" s="6" t="s">
        <v>238</v>
      </c>
      <c r="N3" s="6" t="s">
        <v>238</v>
      </c>
      <c r="O3" s="6" t="s">
        <v>238</v>
      </c>
      <c r="P3" s="6"/>
      <c r="Q3" s="6"/>
      <c r="R3" s="6"/>
      <c r="S3" s="6"/>
      <c r="T3" s="6"/>
      <c r="U3" s="6"/>
      <c r="V3" s="6"/>
      <c r="W3" s="6"/>
      <c r="X3" s="6"/>
      <c r="Y3" s="6"/>
      <c r="Z3" s="6"/>
    </row>
    <row r="4" spans="1:26" x14ac:dyDescent="0.3">
      <c r="A4" s="1" t="s">
        <v>242</v>
      </c>
      <c r="B4" s="6">
        <v>4</v>
      </c>
      <c r="C4" s="6" t="s">
        <v>238</v>
      </c>
      <c r="D4" s="6" t="s">
        <v>238</v>
      </c>
      <c r="E4" s="6" t="s">
        <v>238</v>
      </c>
      <c r="F4" s="6" t="s">
        <v>239</v>
      </c>
      <c r="G4" s="6" t="s">
        <v>238</v>
      </c>
      <c r="H4" s="6" t="s">
        <v>238</v>
      </c>
      <c r="I4" s="6" t="s">
        <v>238</v>
      </c>
      <c r="J4" s="6" t="s">
        <v>238</v>
      </c>
      <c r="K4" s="6" t="s">
        <v>238</v>
      </c>
      <c r="L4" s="6" t="s">
        <v>238</v>
      </c>
      <c r="M4" s="6" t="s">
        <v>238</v>
      </c>
      <c r="N4" s="6" t="s">
        <v>238</v>
      </c>
      <c r="O4" s="6" t="s">
        <v>238</v>
      </c>
      <c r="P4" s="6"/>
      <c r="Q4" s="6"/>
      <c r="R4" s="6"/>
      <c r="S4" s="6"/>
      <c r="T4" s="6"/>
      <c r="U4" s="6"/>
      <c r="V4" s="6"/>
      <c r="W4" s="6"/>
      <c r="X4" s="6"/>
      <c r="Y4" s="6"/>
      <c r="Z4" s="6"/>
    </row>
    <row r="5" spans="1:26" x14ac:dyDescent="0.3">
      <c r="A5" s="1" t="s">
        <v>243</v>
      </c>
      <c r="B5" s="6">
        <v>4</v>
      </c>
      <c r="C5" s="6" t="s">
        <v>238</v>
      </c>
      <c r="D5" s="6" t="s">
        <v>238</v>
      </c>
      <c r="E5" s="6" t="s">
        <v>238</v>
      </c>
      <c r="F5" s="6" t="s">
        <v>244</v>
      </c>
      <c r="G5" s="6" t="s">
        <v>238</v>
      </c>
      <c r="H5" s="6" t="s">
        <v>238</v>
      </c>
      <c r="I5" s="6" t="s">
        <v>238</v>
      </c>
      <c r="J5" s="6" t="s">
        <v>245</v>
      </c>
      <c r="K5" s="6" t="s">
        <v>245</v>
      </c>
      <c r="L5" s="6" t="s">
        <v>245</v>
      </c>
      <c r="M5" s="6" t="s">
        <v>245</v>
      </c>
      <c r="N5" s="6" t="s">
        <v>245</v>
      </c>
      <c r="O5" s="6" t="s">
        <v>245</v>
      </c>
      <c r="P5" s="6"/>
      <c r="Q5" s="6"/>
      <c r="R5" s="6"/>
      <c r="S5" s="6" t="s">
        <v>245</v>
      </c>
      <c r="T5" s="6" t="s">
        <v>245</v>
      </c>
      <c r="U5" s="6" t="s">
        <v>245</v>
      </c>
      <c r="V5" s="6"/>
      <c r="W5" s="6"/>
      <c r="X5" s="6"/>
      <c r="Y5" s="6"/>
      <c r="Z5" s="6"/>
    </row>
    <row r="6" spans="1:26" x14ac:dyDescent="0.3">
      <c r="A6" s="1" t="s">
        <v>246</v>
      </c>
      <c r="B6" s="6">
        <v>4</v>
      </c>
      <c r="C6" s="6" t="s">
        <v>238</v>
      </c>
      <c r="D6" s="6" t="s">
        <v>238</v>
      </c>
      <c r="E6" s="6" t="s">
        <v>238</v>
      </c>
      <c r="F6" s="6" t="s">
        <v>241</v>
      </c>
      <c r="G6" s="6" t="s">
        <v>239</v>
      </c>
      <c r="H6" s="6" t="s">
        <v>238</v>
      </c>
      <c r="I6" s="6" t="s">
        <v>238</v>
      </c>
      <c r="J6" s="6" t="s">
        <v>238</v>
      </c>
      <c r="K6" s="6" t="s">
        <v>238</v>
      </c>
      <c r="L6" s="6" t="s">
        <v>238</v>
      </c>
      <c r="M6" s="6" t="s">
        <v>238</v>
      </c>
      <c r="N6" s="6" t="s">
        <v>238</v>
      </c>
      <c r="O6" s="6" t="s">
        <v>238</v>
      </c>
      <c r="P6" s="6"/>
      <c r="Q6" s="6"/>
      <c r="R6" s="6"/>
      <c r="S6" s="6"/>
      <c r="T6" s="6"/>
      <c r="U6" s="6"/>
      <c r="V6" s="6"/>
      <c r="W6" s="6"/>
      <c r="X6" s="6"/>
      <c r="Y6" s="6"/>
      <c r="Z6" s="6"/>
    </row>
    <row r="7" spans="1:26" x14ac:dyDescent="0.3">
      <c r="A7" s="1" t="s">
        <v>247</v>
      </c>
      <c r="B7" s="6">
        <v>4</v>
      </c>
      <c r="C7" s="6" t="s">
        <v>238</v>
      </c>
      <c r="D7" s="6" t="s">
        <v>238</v>
      </c>
      <c r="E7" s="6" t="s">
        <v>238</v>
      </c>
      <c r="F7" s="6" t="s">
        <v>238</v>
      </c>
      <c r="G7" s="6" t="s">
        <v>245</v>
      </c>
      <c r="H7" s="6" t="s">
        <v>245</v>
      </c>
      <c r="I7" s="6" t="s">
        <v>245</v>
      </c>
      <c r="J7" s="6" t="s">
        <v>238</v>
      </c>
      <c r="K7" s="6" t="s">
        <v>245</v>
      </c>
      <c r="L7" s="6" t="s">
        <v>245</v>
      </c>
      <c r="M7" s="6" t="s">
        <v>245</v>
      </c>
      <c r="N7" s="6" t="s">
        <v>245</v>
      </c>
      <c r="O7" s="6" t="s">
        <v>244</v>
      </c>
      <c r="P7" s="6"/>
      <c r="Q7" s="6"/>
      <c r="R7" s="6"/>
      <c r="S7" s="6"/>
      <c r="T7" s="6"/>
      <c r="U7" s="6"/>
      <c r="V7" s="6"/>
      <c r="W7" s="6"/>
      <c r="X7" s="6"/>
      <c r="Y7" s="6"/>
      <c r="Z7" s="6"/>
    </row>
    <row r="8" spans="1:26" x14ac:dyDescent="0.3">
      <c r="A8" s="1" t="s">
        <v>248</v>
      </c>
      <c r="B8" s="6">
        <v>4</v>
      </c>
      <c r="C8" s="6" t="s">
        <v>238</v>
      </c>
      <c r="D8" s="6" t="s">
        <v>238</v>
      </c>
      <c r="E8" s="6" t="s">
        <v>238</v>
      </c>
      <c r="F8" s="6" t="s">
        <v>238</v>
      </c>
      <c r="G8" s="6" t="s">
        <v>238</v>
      </c>
      <c r="H8" s="6" t="s">
        <v>238</v>
      </c>
      <c r="I8" s="6" t="s">
        <v>238</v>
      </c>
      <c r="J8" s="6" t="s">
        <v>238</v>
      </c>
      <c r="K8" s="6" t="s">
        <v>239</v>
      </c>
      <c r="L8" s="6" t="s">
        <v>238</v>
      </c>
      <c r="M8" s="6" t="s">
        <v>238</v>
      </c>
      <c r="N8" s="6" t="s">
        <v>238</v>
      </c>
      <c r="O8" s="6" t="s">
        <v>238</v>
      </c>
      <c r="P8" s="6"/>
      <c r="Q8" s="6"/>
      <c r="R8" s="6"/>
      <c r="S8" s="6"/>
      <c r="T8" s="6"/>
      <c r="U8" s="6"/>
      <c r="V8" s="6"/>
      <c r="W8" s="6"/>
      <c r="X8" s="6"/>
      <c r="Y8" s="6"/>
      <c r="Z8" s="6"/>
    </row>
    <row r="9" spans="1:26" x14ac:dyDescent="0.3">
      <c r="A9" s="1" t="s">
        <v>92</v>
      </c>
      <c r="B9" s="6">
        <v>4</v>
      </c>
      <c r="C9" s="6" t="s">
        <v>238</v>
      </c>
      <c r="D9" s="6" t="s">
        <v>238</v>
      </c>
      <c r="E9" s="6" t="s">
        <v>238</v>
      </c>
      <c r="F9" s="6" t="s">
        <v>239</v>
      </c>
      <c r="G9" s="6" t="s">
        <v>238</v>
      </c>
      <c r="H9" s="6" t="s">
        <v>238</v>
      </c>
      <c r="I9" s="6" t="s">
        <v>238</v>
      </c>
      <c r="J9" s="6" t="s">
        <v>239</v>
      </c>
      <c r="K9" s="6" t="s">
        <v>238</v>
      </c>
      <c r="L9" s="6" t="s">
        <v>238</v>
      </c>
      <c r="M9" s="6" t="s">
        <v>238</v>
      </c>
      <c r="N9" s="6" t="s">
        <v>238</v>
      </c>
      <c r="O9" s="6" t="s">
        <v>238</v>
      </c>
      <c r="P9" s="6" t="s">
        <v>241</v>
      </c>
      <c r="Q9" s="6" t="s">
        <v>241</v>
      </c>
      <c r="R9" s="6"/>
      <c r="S9" s="6"/>
      <c r="T9" s="6"/>
      <c r="U9" s="6"/>
      <c r="V9" s="6"/>
      <c r="W9" s="6"/>
      <c r="X9" s="6"/>
      <c r="Y9" s="6"/>
      <c r="Z9" s="6"/>
    </row>
    <row r="10" spans="1:26" x14ac:dyDescent="0.3">
      <c r="A10" s="1" t="s">
        <v>249</v>
      </c>
      <c r="B10" s="6">
        <v>5</v>
      </c>
      <c r="C10" s="6" t="s">
        <v>238</v>
      </c>
      <c r="D10" s="6" t="s">
        <v>238</v>
      </c>
      <c r="E10" s="6" t="s">
        <v>238</v>
      </c>
      <c r="F10" s="6" t="s">
        <v>238</v>
      </c>
      <c r="G10" s="6" t="s">
        <v>239</v>
      </c>
      <c r="H10" s="6" t="s">
        <v>238</v>
      </c>
      <c r="I10" s="6" t="s">
        <v>238</v>
      </c>
      <c r="J10" s="6" t="s">
        <v>238</v>
      </c>
      <c r="K10" s="6" t="s">
        <v>238</v>
      </c>
      <c r="L10" s="6" t="s">
        <v>244</v>
      </c>
      <c r="M10" s="6" t="s">
        <v>238</v>
      </c>
      <c r="N10" s="6" t="s">
        <v>238</v>
      </c>
      <c r="O10" s="6" t="s">
        <v>238</v>
      </c>
      <c r="P10" s="6"/>
      <c r="Q10" s="6"/>
      <c r="R10" s="6"/>
      <c r="S10" s="6"/>
      <c r="T10" s="6"/>
      <c r="U10" s="6"/>
      <c r="V10" s="6"/>
      <c r="W10" s="6" t="s">
        <v>241</v>
      </c>
      <c r="X10" s="6"/>
      <c r="Y10" s="6"/>
      <c r="Z10" s="6"/>
    </row>
    <row r="11" spans="1:26" x14ac:dyDescent="0.3">
      <c r="A11" s="1" t="s">
        <v>250</v>
      </c>
      <c r="B11" s="6">
        <v>5</v>
      </c>
      <c r="C11" s="6" t="s">
        <v>238</v>
      </c>
      <c r="D11" s="6" t="s">
        <v>238</v>
      </c>
      <c r="E11" s="6" t="s">
        <v>238</v>
      </c>
      <c r="F11" s="6" t="s">
        <v>241</v>
      </c>
      <c r="G11" s="6" t="s">
        <v>116</v>
      </c>
      <c r="H11" s="6" t="s">
        <v>238</v>
      </c>
      <c r="I11" s="6" t="s">
        <v>238</v>
      </c>
      <c r="J11" s="6" t="s">
        <v>238</v>
      </c>
      <c r="K11" s="6" t="s">
        <v>238</v>
      </c>
      <c r="L11" s="6" t="s">
        <v>238</v>
      </c>
      <c r="M11" s="6" t="s">
        <v>238</v>
      </c>
      <c r="N11" s="6" t="s">
        <v>238</v>
      </c>
      <c r="O11" s="6" t="s">
        <v>238</v>
      </c>
      <c r="P11" s="6"/>
      <c r="Q11" s="6"/>
      <c r="R11" s="6"/>
      <c r="S11" s="6"/>
      <c r="T11" s="6"/>
      <c r="U11" s="6"/>
      <c r="V11" s="6"/>
      <c r="W11" s="6"/>
      <c r="X11" s="6"/>
      <c r="Y11" s="6"/>
      <c r="Z11" s="6"/>
    </row>
    <row r="12" spans="1:26" x14ac:dyDescent="0.3">
      <c r="A12" s="1" t="s">
        <v>251</v>
      </c>
      <c r="B12" s="6">
        <v>5</v>
      </c>
      <c r="C12" s="6" t="s">
        <v>244</v>
      </c>
      <c r="D12" s="6" t="s">
        <v>238</v>
      </c>
      <c r="E12" s="6" t="s">
        <v>238</v>
      </c>
      <c r="F12" s="6"/>
      <c r="G12" s="6" t="s">
        <v>238</v>
      </c>
      <c r="H12" s="6" t="s">
        <v>238</v>
      </c>
      <c r="I12" s="6" t="s">
        <v>238</v>
      </c>
      <c r="J12" s="6" t="s">
        <v>116</v>
      </c>
      <c r="K12" s="6" t="s">
        <v>238</v>
      </c>
      <c r="L12" s="6" t="s">
        <v>238</v>
      </c>
      <c r="M12" s="6" t="s">
        <v>238</v>
      </c>
      <c r="N12" s="6" t="s">
        <v>238</v>
      </c>
      <c r="O12" s="6" t="s">
        <v>238</v>
      </c>
      <c r="P12" s="6"/>
      <c r="Q12" s="6"/>
      <c r="R12" s="6"/>
      <c r="S12" s="6"/>
      <c r="T12" s="6"/>
      <c r="U12" s="6"/>
      <c r="V12" s="6"/>
      <c r="W12" s="6"/>
      <c r="X12" s="6"/>
      <c r="Y12" s="6"/>
      <c r="Z12" s="6"/>
    </row>
    <row r="13" spans="1:26" x14ac:dyDescent="0.3">
      <c r="A13" s="1" t="s">
        <v>34</v>
      </c>
      <c r="B13" s="6">
        <v>5</v>
      </c>
      <c r="C13" s="6" t="s">
        <v>238</v>
      </c>
      <c r="D13" s="6" t="s">
        <v>238</v>
      </c>
      <c r="E13" s="6" t="s">
        <v>238</v>
      </c>
      <c r="F13" s="6" t="s">
        <v>241</v>
      </c>
      <c r="G13" s="6" t="s">
        <v>238</v>
      </c>
      <c r="H13" s="6" t="s">
        <v>238</v>
      </c>
      <c r="I13" s="6" t="s">
        <v>238</v>
      </c>
      <c r="J13" s="6" t="s">
        <v>239</v>
      </c>
      <c r="K13" s="6" t="s">
        <v>238</v>
      </c>
      <c r="L13" s="6" t="s">
        <v>238</v>
      </c>
      <c r="M13" s="6" t="s">
        <v>238</v>
      </c>
      <c r="N13" s="6" t="s">
        <v>241</v>
      </c>
      <c r="O13" s="6" t="s">
        <v>238</v>
      </c>
      <c r="P13" s="6"/>
      <c r="Q13" s="6"/>
      <c r="R13" s="6"/>
      <c r="S13" s="6"/>
      <c r="T13" s="6"/>
      <c r="U13" s="6"/>
      <c r="V13" s="6"/>
      <c r="W13" s="6"/>
      <c r="X13" s="6"/>
      <c r="Y13" s="6"/>
      <c r="Z13" s="6"/>
    </row>
    <row r="14" spans="1:26" ht="15" customHeight="1" x14ac:dyDescent="0.3">
      <c r="A14" s="1" t="s">
        <v>252</v>
      </c>
      <c r="B14" s="6">
        <v>5</v>
      </c>
      <c r="C14" s="6" t="s">
        <v>238</v>
      </c>
      <c r="D14" s="6" t="s">
        <v>238</v>
      </c>
      <c r="E14" s="6" t="s">
        <v>238</v>
      </c>
      <c r="F14" s="6"/>
      <c r="G14" s="6" t="s">
        <v>238</v>
      </c>
      <c r="H14" s="6" t="s">
        <v>238</v>
      </c>
      <c r="I14" s="6" t="s">
        <v>238</v>
      </c>
      <c r="J14" s="6" t="s">
        <v>238</v>
      </c>
      <c r="K14" s="6" t="s">
        <v>238</v>
      </c>
      <c r="L14" s="6" t="s">
        <v>238</v>
      </c>
      <c r="M14" s="6" t="s">
        <v>238</v>
      </c>
      <c r="N14" s="6" t="s">
        <v>238</v>
      </c>
      <c r="O14" s="6" t="s">
        <v>116</v>
      </c>
      <c r="P14" s="6"/>
      <c r="Q14" s="6"/>
      <c r="R14" s="6"/>
      <c r="S14" s="6"/>
      <c r="T14" s="6"/>
      <c r="U14" s="6"/>
      <c r="V14" s="6"/>
      <c r="W14" s="6"/>
      <c r="X14" s="6"/>
      <c r="Y14" s="6"/>
      <c r="Z14" s="6"/>
    </row>
    <row r="15" spans="1:26" x14ac:dyDescent="0.3">
      <c r="A15" s="1" t="s">
        <v>253</v>
      </c>
      <c r="B15" s="6">
        <v>6</v>
      </c>
      <c r="C15" s="6" t="s">
        <v>238</v>
      </c>
      <c r="D15" s="6" t="s">
        <v>244</v>
      </c>
      <c r="E15" s="6" t="s">
        <v>244</v>
      </c>
      <c r="F15" s="6" t="s">
        <v>238</v>
      </c>
      <c r="G15" s="6" t="s">
        <v>238</v>
      </c>
      <c r="H15" s="6" t="s">
        <v>238</v>
      </c>
      <c r="I15" s="6" t="s">
        <v>238</v>
      </c>
      <c r="J15" s="6" t="s">
        <v>238</v>
      </c>
      <c r="K15" s="6" t="s">
        <v>238</v>
      </c>
      <c r="L15" s="6" t="s">
        <v>238</v>
      </c>
      <c r="M15" s="6" t="s">
        <v>238</v>
      </c>
      <c r="N15" s="6" t="s">
        <v>238</v>
      </c>
      <c r="O15" s="6" t="s">
        <v>238</v>
      </c>
      <c r="P15" s="6"/>
      <c r="Q15" s="6"/>
      <c r="R15" s="6"/>
      <c r="S15" s="6"/>
      <c r="T15" s="6" t="s">
        <v>241</v>
      </c>
      <c r="U15" s="6" t="s">
        <v>245</v>
      </c>
      <c r="V15" s="6" t="s">
        <v>245</v>
      </c>
      <c r="W15" s="6" t="s">
        <v>245</v>
      </c>
      <c r="X15" s="6" t="s">
        <v>245</v>
      </c>
      <c r="Y15" s="6"/>
      <c r="Z15" s="6"/>
    </row>
    <row r="16" spans="1:26" x14ac:dyDescent="0.3">
      <c r="A16" s="1" t="s">
        <v>254</v>
      </c>
      <c r="B16" s="6">
        <v>6</v>
      </c>
      <c r="C16" s="6" t="s">
        <v>238</v>
      </c>
      <c r="D16" s="6" t="s">
        <v>239</v>
      </c>
      <c r="E16" s="6" t="s">
        <v>239</v>
      </c>
      <c r="F16" s="6" t="s">
        <v>238</v>
      </c>
      <c r="G16" s="6" t="s">
        <v>238</v>
      </c>
      <c r="H16" s="6" t="s">
        <v>238</v>
      </c>
      <c r="I16" s="6" t="s">
        <v>244</v>
      </c>
      <c r="J16" s="6" t="s">
        <v>238</v>
      </c>
      <c r="K16" s="6" t="s">
        <v>238</v>
      </c>
      <c r="L16" s="6" t="s">
        <v>238</v>
      </c>
      <c r="M16" s="6" t="s">
        <v>245</v>
      </c>
      <c r="N16" s="6" t="s">
        <v>245</v>
      </c>
      <c r="O16" s="6" t="s">
        <v>245</v>
      </c>
      <c r="P16" s="6"/>
      <c r="Q16" s="6" t="s">
        <v>245</v>
      </c>
      <c r="R16" s="6" t="s">
        <v>245</v>
      </c>
      <c r="S16" s="6" t="s">
        <v>245</v>
      </c>
      <c r="T16" s="6" t="s">
        <v>245</v>
      </c>
      <c r="U16" s="6" t="s">
        <v>245</v>
      </c>
      <c r="V16" s="6" t="s">
        <v>245</v>
      </c>
      <c r="W16" s="6" t="s">
        <v>245</v>
      </c>
      <c r="X16" s="6"/>
      <c r="Y16" s="6"/>
      <c r="Z16" s="6"/>
    </row>
    <row r="17" spans="1:26" x14ac:dyDescent="0.3">
      <c r="A17" s="1" t="s">
        <v>255</v>
      </c>
      <c r="B17" s="6">
        <v>7</v>
      </c>
      <c r="C17" s="6" t="s">
        <v>238</v>
      </c>
      <c r="D17" s="6" t="s">
        <v>238</v>
      </c>
      <c r="E17" s="6" t="s">
        <v>238</v>
      </c>
      <c r="F17" s="6" t="s">
        <v>238</v>
      </c>
      <c r="G17" s="6" t="s">
        <v>238</v>
      </c>
      <c r="H17" s="6" t="s">
        <v>238</v>
      </c>
      <c r="I17" s="6" t="s">
        <v>241</v>
      </c>
      <c r="J17" s="6" t="s">
        <v>241</v>
      </c>
      <c r="K17" s="6"/>
      <c r="L17" s="6" t="s">
        <v>239</v>
      </c>
      <c r="M17" s="6" t="s">
        <v>238</v>
      </c>
      <c r="N17" s="6" t="s">
        <v>238</v>
      </c>
      <c r="O17" s="6" t="s">
        <v>238</v>
      </c>
      <c r="P17" s="6" t="s">
        <v>241</v>
      </c>
      <c r="Q17" s="6"/>
      <c r="R17" s="6"/>
      <c r="S17" s="6"/>
      <c r="T17" s="6"/>
      <c r="U17" s="6" t="s">
        <v>239</v>
      </c>
      <c r="V17" s="6"/>
      <c r="W17" s="6"/>
      <c r="X17" s="6"/>
      <c r="Y17" s="6"/>
      <c r="Z17" s="6"/>
    </row>
    <row r="18" spans="1:26" x14ac:dyDescent="0.3">
      <c r="A18" s="1" t="s">
        <v>256</v>
      </c>
      <c r="B18" s="6">
        <v>7</v>
      </c>
      <c r="C18" s="6" t="s">
        <v>238</v>
      </c>
      <c r="D18" s="6" t="s">
        <v>238</v>
      </c>
      <c r="E18" s="6" t="s">
        <v>238</v>
      </c>
      <c r="F18" s="6" t="s">
        <v>238</v>
      </c>
      <c r="G18" s="6" t="s">
        <v>238</v>
      </c>
      <c r="H18" s="6" t="s">
        <v>238</v>
      </c>
      <c r="I18" s="6" t="s">
        <v>238</v>
      </c>
      <c r="J18" s="6" t="s">
        <v>238</v>
      </c>
      <c r="K18" s="6" t="s">
        <v>238</v>
      </c>
      <c r="L18" s="6" t="s">
        <v>239</v>
      </c>
      <c r="M18" s="6" t="s">
        <v>238</v>
      </c>
      <c r="N18" s="6" t="s">
        <v>238</v>
      </c>
      <c r="O18" s="6" t="s">
        <v>238</v>
      </c>
      <c r="P18" s="6"/>
      <c r="Q18" s="6"/>
      <c r="R18" s="6"/>
      <c r="S18" s="6"/>
      <c r="T18" s="6"/>
      <c r="U18" s="6"/>
      <c r="V18" s="6"/>
      <c r="W18" s="6"/>
      <c r="X18" s="6"/>
      <c r="Y18" s="6"/>
      <c r="Z18" s="6"/>
    </row>
    <row r="19" spans="1:26" x14ac:dyDescent="0.3">
      <c r="A19" s="1" t="s">
        <v>257</v>
      </c>
      <c r="B19" s="6">
        <v>7</v>
      </c>
      <c r="C19" s="6" t="s">
        <v>238</v>
      </c>
      <c r="D19" s="6" t="s">
        <v>238</v>
      </c>
      <c r="E19" s="6" t="s">
        <v>238</v>
      </c>
      <c r="F19" s="6" t="s">
        <v>238</v>
      </c>
      <c r="G19" s="6" t="s">
        <v>238</v>
      </c>
      <c r="H19" s="6" t="s">
        <v>238</v>
      </c>
      <c r="I19" s="6" t="s">
        <v>238</v>
      </c>
      <c r="J19" s="6" t="s">
        <v>238</v>
      </c>
      <c r="K19" s="6" t="s">
        <v>238</v>
      </c>
      <c r="L19" s="6" t="s">
        <v>238</v>
      </c>
      <c r="M19" s="6" t="s">
        <v>238</v>
      </c>
      <c r="N19" s="6" t="s">
        <v>238</v>
      </c>
      <c r="O19" s="6" t="s">
        <v>116</v>
      </c>
      <c r="P19" s="6"/>
      <c r="Q19" s="6"/>
      <c r="R19" s="6"/>
      <c r="S19" s="6"/>
      <c r="T19" s="6"/>
      <c r="U19" s="6"/>
      <c r="V19" s="6"/>
      <c r="W19" s="6"/>
      <c r="X19" s="6"/>
      <c r="Y19" s="6"/>
      <c r="Z19" s="6"/>
    </row>
    <row r="20" spans="1:26" x14ac:dyDescent="0.3">
      <c r="A20" s="1" t="s">
        <v>258</v>
      </c>
      <c r="B20" s="6">
        <v>7</v>
      </c>
      <c r="C20" s="6" t="s">
        <v>238</v>
      </c>
      <c r="D20" s="6" t="s">
        <v>238</v>
      </c>
      <c r="E20" s="6" t="s">
        <v>238</v>
      </c>
      <c r="F20" s="6" t="s">
        <v>238</v>
      </c>
      <c r="G20" s="6" t="s">
        <v>238</v>
      </c>
      <c r="H20" s="6" t="s">
        <v>238</v>
      </c>
      <c r="I20" s="6" t="s">
        <v>241</v>
      </c>
      <c r="J20" s="6" t="s">
        <v>241</v>
      </c>
      <c r="K20" s="6" t="s">
        <v>238</v>
      </c>
      <c r="L20" s="6" t="s">
        <v>238</v>
      </c>
      <c r="M20" s="6" t="s">
        <v>238</v>
      </c>
      <c r="N20" s="6" t="s">
        <v>238</v>
      </c>
      <c r="O20" s="6" t="s">
        <v>241</v>
      </c>
      <c r="P20" s="6"/>
      <c r="Q20" s="6"/>
      <c r="R20" s="6"/>
      <c r="S20" s="6" t="s">
        <v>241</v>
      </c>
      <c r="T20" s="6"/>
      <c r="U20" s="6"/>
      <c r="V20" s="6"/>
      <c r="W20" s="6" t="s">
        <v>241</v>
      </c>
      <c r="X20" s="6"/>
      <c r="Y20" s="6"/>
      <c r="Z20" s="6"/>
    </row>
    <row r="21" spans="1:26" x14ac:dyDescent="0.3">
      <c r="A21" s="1" t="s">
        <v>259</v>
      </c>
      <c r="B21" s="6">
        <v>7</v>
      </c>
      <c r="C21" s="6" t="s">
        <v>238</v>
      </c>
      <c r="D21" s="6" t="s">
        <v>238</v>
      </c>
      <c r="E21" s="6" t="s">
        <v>238</v>
      </c>
      <c r="F21" s="6" t="s">
        <v>238</v>
      </c>
      <c r="G21" s="6" t="s">
        <v>238</v>
      </c>
      <c r="H21" s="6" t="s">
        <v>238</v>
      </c>
      <c r="I21" s="6" t="s">
        <v>238</v>
      </c>
      <c r="J21" s="6" t="s">
        <v>238</v>
      </c>
      <c r="K21" s="6" t="s">
        <v>238</v>
      </c>
      <c r="L21" s="6" t="s">
        <v>238</v>
      </c>
      <c r="M21" s="6" t="s">
        <v>238</v>
      </c>
      <c r="N21" s="6" t="s">
        <v>238</v>
      </c>
      <c r="O21" s="6" t="s">
        <v>116</v>
      </c>
      <c r="P21" s="6"/>
      <c r="Q21" s="6"/>
      <c r="R21" s="6"/>
      <c r="S21" s="6"/>
      <c r="T21" s="6"/>
      <c r="U21" s="6"/>
      <c r="V21" s="6"/>
      <c r="W21" s="6"/>
      <c r="X21" s="6"/>
      <c r="Y21" s="6"/>
      <c r="Z21" s="6"/>
    </row>
    <row r="22" spans="1:26" x14ac:dyDescent="0.3">
      <c r="A22" s="1" t="s">
        <v>260</v>
      </c>
      <c r="B22" s="6">
        <v>7</v>
      </c>
      <c r="C22" s="6" t="s">
        <v>238</v>
      </c>
      <c r="D22" s="6" t="s">
        <v>238</v>
      </c>
      <c r="E22" s="6" t="s">
        <v>238</v>
      </c>
      <c r="F22" s="6" t="s">
        <v>238</v>
      </c>
      <c r="G22" s="6" t="s">
        <v>238</v>
      </c>
      <c r="H22" s="6" t="s">
        <v>238</v>
      </c>
      <c r="I22" s="6" t="s">
        <v>241</v>
      </c>
      <c r="J22" s="6" t="s">
        <v>241</v>
      </c>
      <c r="K22" s="6" t="s">
        <v>238</v>
      </c>
      <c r="L22" s="6" t="s">
        <v>238</v>
      </c>
      <c r="M22" s="6" t="s">
        <v>238</v>
      </c>
      <c r="N22" s="6" t="s">
        <v>238</v>
      </c>
      <c r="O22" s="6" t="s">
        <v>238</v>
      </c>
      <c r="P22" s="6"/>
      <c r="Q22" s="6"/>
      <c r="R22" s="6"/>
      <c r="S22" s="6"/>
      <c r="T22" s="6"/>
      <c r="U22" s="6"/>
      <c r="V22" s="6"/>
      <c r="W22" s="6"/>
      <c r="X22" s="6"/>
      <c r="Y22" s="6"/>
      <c r="Z22" s="6"/>
    </row>
    <row r="23" spans="1:26" x14ac:dyDescent="0.3">
      <c r="A23" s="1" t="s">
        <v>261</v>
      </c>
      <c r="B23" s="6">
        <v>7</v>
      </c>
      <c r="C23" s="6" t="s">
        <v>238</v>
      </c>
      <c r="D23" s="6" t="s">
        <v>238</v>
      </c>
      <c r="E23" s="6" t="s">
        <v>238</v>
      </c>
      <c r="F23" s="6" t="s">
        <v>238</v>
      </c>
      <c r="G23" s="6" t="s">
        <v>238</v>
      </c>
      <c r="H23" s="6" t="s">
        <v>238</v>
      </c>
      <c r="I23" s="6" t="s">
        <v>238</v>
      </c>
      <c r="J23" s="6" t="s">
        <v>239</v>
      </c>
      <c r="K23" s="6" t="s">
        <v>238</v>
      </c>
      <c r="L23" s="6" t="s">
        <v>238</v>
      </c>
      <c r="M23" s="6" t="s">
        <v>238</v>
      </c>
      <c r="N23" s="6" t="s">
        <v>239</v>
      </c>
      <c r="O23" s="6" t="s">
        <v>238</v>
      </c>
      <c r="P23" s="6"/>
      <c r="Q23" s="6"/>
      <c r="R23" s="6" t="s">
        <v>245</v>
      </c>
      <c r="S23" s="6" t="s">
        <v>245</v>
      </c>
      <c r="T23" s="6" t="s">
        <v>245</v>
      </c>
      <c r="U23" s="6" t="s">
        <v>245</v>
      </c>
      <c r="V23" s="6" t="s">
        <v>245</v>
      </c>
      <c r="W23" s="6"/>
      <c r="X23" s="6"/>
      <c r="Y23" s="6"/>
      <c r="Z23" s="6"/>
    </row>
    <row r="24" spans="1:26" x14ac:dyDescent="0.3">
      <c r="A24" s="1" t="s">
        <v>36</v>
      </c>
      <c r="B24" s="6">
        <v>7</v>
      </c>
      <c r="C24" s="6" t="s">
        <v>238</v>
      </c>
      <c r="D24" s="6" t="s">
        <v>238</v>
      </c>
      <c r="E24" s="6" t="s">
        <v>238</v>
      </c>
      <c r="F24" s="6" t="s">
        <v>238</v>
      </c>
      <c r="G24" s="6" t="s">
        <v>238</v>
      </c>
      <c r="H24" s="6" t="s">
        <v>238</v>
      </c>
      <c r="I24" s="6" t="s">
        <v>239</v>
      </c>
      <c r="J24" s="6" t="s">
        <v>238</v>
      </c>
      <c r="K24" s="6" t="s">
        <v>241</v>
      </c>
      <c r="L24" s="6" t="s">
        <v>238</v>
      </c>
      <c r="M24" s="6" t="s">
        <v>239</v>
      </c>
      <c r="N24" s="6" t="s">
        <v>238</v>
      </c>
      <c r="O24" s="6" t="s">
        <v>238</v>
      </c>
      <c r="P24" s="6"/>
      <c r="Q24" s="6" t="s">
        <v>245</v>
      </c>
      <c r="R24" s="6"/>
      <c r="S24" s="6"/>
      <c r="T24" s="6"/>
      <c r="U24" s="6"/>
      <c r="V24" s="6"/>
      <c r="W24" s="6" t="s">
        <v>241</v>
      </c>
      <c r="X24" s="6"/>
      <c r="Y24" s="6"/>
      <c r="Z24" s="6"/>
    </row>
    <row r="25" spans="1:26" x14ac:dyDescent="0.3">
      <c r="A25" s="1" t="s">
        <v>262</v>
      </c>
      <c r="B25" s="6">
        <v>8</v>
      </c>
      <c r="C25" s="6" t="s">
        <v>238</v>
      </c>
      <c r="D25" s="6" t="s">
        <v>238</v>
      </c>
      <c r="E25" s="6" t="s">
        <v>238</v>
      </c>
      <c r="F25" s="6" t="s">
        <v>238</v>
      </c>
      <c r="G25" s="6" t="s">
        <v>238</v>
      </c>
      <c r="H25" s="6" t="s">
        <v>238</v>
      </c>
      <c r="I25" s="6" t="s">
        <v>238</v>
      </c>
      <c r="J25" s="6" t="s">
        <v>238</v>
      </c>
      <c r="K25" s="6" t="s">
        <v>238</v>
      </c>
      <c r="L25" s="6" t="s">
        <v>238</v>
      </c>
      <c r="M25" s="6" t="s">
        <v>238</v>
      </c>
      <c r="N25" s="6" t="s">
        <v>238</v>
      </c>
      <c r="O25" s="6" t="s">
        <v>116</v>
      </c>
      <c r="P25" s="6"/>
      <c r="Q25" s="6"/>
      <c r="R25" s="6"/>
      <c r="S25" s="6"/>
      <c r="T25" s="6"/>
      <c r="U25" s="6"/>
      <c r="V25" s="6"/>
      <c r="W25" s="6"/>
      <c r="X25" s="6"/>
      <c r="Y25" s="6"/>
      <c r="Z25" s="6"/>
    </row>
    <row r="26" spans="1:26" x14ac:dyDescent="0.3">
      <c r="A26" s="1" t="s">
        <v>263</v>
      </c>
      <c r="B26" s="6">
        <v>8</v>
      </c>
      <c r="C26" s="6" t="s">
        <v>238</v>
      </c>
      <c r="D26" s="6" t="s">
        <v>238</v>
      </c>
      <c r="E26" s="6" t="s">
        <v>238</v>
      </c>
      <c r="F26" s="6" t="s">
        <v>238</v>
      </c>
      <c r="G26" s="6" t="s">
        <v>238</v>
      </c>
      <c r="H26" s="6" t="s">
        <v>238</v>
      </c>
      <c r="I26" s="6" t="s">
        <v>238</v>
      </c>
      <c r="J26" s="6" t="s">
        <v>238</v>
      </c>
      <c r="K26" s="6" t="s">
        <v>238</v>
      </c>
      <c r="L26" s="6" t="s">
        <v>238</v>
      </c>
      <c r="M26" s="6" t="s">
        <v>238</v>
      </c>
      <c r="N26" s="6" t="s">
        <v>238</v>
      </c>
      <c r="O26" s="6" t="s">
        <v>238</v>
      </c>
      <c r="P26" s="6"/>
      <c r="Q26" s="6"/>
      <c r="R26" s="6"/>
      <c r="S26" s="6"/>
      <c r="T26" s="6"/>
      <c r="U26" s="6"/>
      <c r="V26" s="6"/>
      <c r="W26" s="6"/>
      <c r="X26" s="6"/>
      <c r="Y26" s="6"/>
      <c r="Z26" s="6"/>
    </row>
    <row r="27" spans="1:26" x14ac:dyDescent="0.3">
      <c r="A27" s="1" t="s">
        <v>25</v>
      </c>
      <c r="B27" s="6">
        <v>8</v>
      </c>
      <c r="C27" s="6" t="s">
        <v>238</v>
      </c>
      <c r="D27" s="6" t="s">
        <v>238</v>
      </c>
      <c r="E27" s="6" t="s">
        <v>238</v>
      </c>
      <c r="F27" s="6" t="s">
        <v>238</v>
      </c>
      <c r="G27" s="6" t="s">
        <v>238</v>
      </c>
      <c r="H27" s="6" t="s">
        <v>238</v>
      </c>
      <c r="I27" s="6" t="s">
        <v>238</v>
      </c>
      <c r="J27" s="6" t="s">
        <v>238</v>
      </c>
      <c r="K27" s="6" t="s">
        <v>238</v>
      </c>
      <c r="L27" s="6" t="s">
        <v>238</v>
      </c>
      <c r="M27" s="6" t="s">
        <v>238</v>
      </c>
      <c r="N27" s="6" t="s">
        <v>238</v>
      </c>
      <c r="O27" s="6" t="s">
        <v>238</v>
      </c>
      <c r="P27" s="6" t="s">
        <v>239</v>
      </c>
      <c r="Q27" s="6"/>
      <c r="R27" s="6"/>
      <c r="S27" s="6"/>
      <c r="T27" s="6"/>
      <c r="U27" s="6"/>
      <c r="V27" s="6"/>
      <c r="W27" s="6"/>
      <c r="X27" s="6"/>
      <c r="Y27" s="6"/>
      <c r="Z27" s="6"/>
    </row>
    <row r="28" spans="1:26" x14ac:dyDescent="0.3">
      <c r="A28" s="1" t="s">
        <v>264</v>
      </c>
      <c r="B28" s="6">
        <v>8</v>
      </c>
      <c r="C28" s="6" t="s">
        <v>238</v>
      </c>
      <c r="D28" s="6" t="s">
        <v>238</v>
      </c>
      <c r="E28" s="6" t="s">
        <v>238</v>
      </c>
      <c r="F28" s="6" t="s">
        <v>238</v>
      </c>
      <c r="G28" s="6" t="s">
        <v>238</v>
      </c>
      <c r="H28" s="6" t="s">
        <v>238</v>
      </c>
      <c r="I28" s="6" t="s">
        <v>238</v>
      </c>
      <c r="J28" s="6" t="s">
        <v>238</v>
      </c>
      <c r="K28" s="6" t="s">
        <v>238</v>
      </c>
      <c r="L28" s="6" t="s">
        <v>238</v>
      </c>
      <c r="M28" s="6" t="s">
        <v>238</v>
      </c>
      <c r="N28" s="6" t="s">
        <v>238</v>
      </c>
      <c r="O28" s="6" t="s">
        <v>238</v>
      </c>
      <c r="P28" s="6"/>
      <c r="Q28" s="6"/>
      <c r="R28" s="6"/>
      <c r="S28" s="6"/>
      <c r="T28" s="6"/>
      <c r="U28" s="6"/>
      <c r="V28" s="6"/>
      <c r="W28" s="6"/>
      <c r="X28" s="6"/>
      <c r="Y28" s="6"/>
      <c r="Z28" s="6"/>
    </row>
    <row r="29" spans="1:26" x14ac:dyDescent="0.3">
      <c r="A29" s="1" t="s">
        <v>265</v>
      </c>
      <c r="B29" s="6">
        <v>8</v>
      </c>
      <c r="C29" s="6" t="s">
        <v>238</v>
      </c>
      <c r="D29" s="6" t="s">
        <v>238</v>
      </c>
      <c r="E29" s="6" t="s">
        <v>238</v>
      </c>
      <c r="F29" s="6" t="s">
        <v>238</v>
      </c>
      <c r="G29" s="6" t="s">
        <v>238</v>
      </c>
      <c r="H29" s="6" t="s">
        <v>238</v>
      </c>
      <c r="I29" s="6" t="s">
        <v>238</v>
      </c>
      <c r="J29" s="6" t="s">
        <v>238</v>
      </c>
      <c r="K29" s="6" t="s">
        <v>238</v>
      </c>
      <c r="L29" s="6" t="s">
        <v>238</v>
      </c>
      <c r="M29" s="6" t="s">
        <v>238</v>
      </c>
      <c r="N29" s="6" t="s">
        <v>238</v>
      </c>
      <c r="O29" s="6" t="s">
        <v>116</v>
      </c>
      <c r="P29" s="6"/>
      <c r="Q29" s="6"/>
      <c r="R29" s="6"/>
      <c r="S29" s="6"/>
      <c r="T29" s="6"/>
      <c r="U29" s="6"/>
      <c r="V29" s="6"/>
      <c r="W29" s="6"/>
      <c r="X29" s="6"/>
      <c r="Y29" s="6"/>
      <c r="Z29" s="6"/>
    </row>
    <row r="30" spans="1:26" x14ac:dyDescent="0.3">
      <c r="A30" s="1" t="s">
        <v>266</v>
      </c>
      <c r="B30" s="6">
        <v>8</v>
      </c>
      <c r="C30" s="6" t="s">
        <v>238</v>
      </c>
      <c r="D30" s="6" t="s">
        <v>238</v>
      </c>
      <c r="E30" s="6" t="s">
        <v>238</v>
      </c>
      <c r="F30" s="6" t="s">
        <v>238</v>
      </c>
      <c r="G30" s="6" t="s">
        <v>238</v>
      </c>
      <c r="H30" s="6" t="s">
        <v>238</v>
      </c>
      <c r="I30" s="6" t="s">
        <v>238</v>
      </c>
      <c r="J30" s="6" t="s">
        <v>239</v>
      </c>
      <c r="K30" s="6" t="s">
        <v>238</v>
      </c>
      <c r="L30" s="6" t="s">
        <v>238</v>
      </c>
      <c r="M30" s="6" t="s">
        <v>238</v>
      </c>
      <c r="N30" s="6" t="s">
        <v>238</v>
      </c>
      <c r="O30" s="6" t="s">
        <v>238</v>
      </c>
      <c r="P30" s="6"/>
      <c r="Q30" s="6"/>
      <c r="R30" s="6"/>
      <c r="S30" s="6"/>
      <c r="T30" s="6"/>
      <c r="U30" s="6"/>
      <c r="V30" s="6"/>
      <c r="W30" s="6"/>
      <c r="X30" s="6"/>
      <c r="Y30" s="6"/>
      <c r="Z30" s="6"/>
    </row>
    <row r="31" spans="1:26" x14ac:dyDescent="0.3">
      <c r="A31" s="1" t="s">
        <v>267</v>
      </c>
      <c r="B31" s="6">
        <v>8</v>
      </c>
      <c r="C31" s="6" t="s">
        <v>238</v>
      </c>
      <c r="D31" s="6" t="s">
        <v>238</v>
      </c>
      <c r="E31" s="6" t="s">
        <v>238</v>
      </c>
      <c r="F31" s="6" t="s">
        <v>238</v>
      </c>
      <c r="G31" s="6" t="s">
        <v>238</v>
      </c>
      <c r="H31" s="6" t="s">
        <v>238</v>
      </c>
      <c r="I31" s="6" t="s">
        <v>238</v>
      </c>
      <c r="J31" s="6" t="s">
        <v>238</v>
      </c>
      <c r="K31" s="6" t="s">
        <v>238</v>
      </c>
      <c r="L31" s="6" t="s">
        <v>238</v>
      </c>
      <c r="M31" s="6" t="s">
        <v>238</v>
      </c>
      <c r="N31" s="6" t="s">
        <v>238</v>
      </c>
      <c r="O31" s="6" t="s">
        <v>238</v>
      </c>
      <c r="P31" s="6"/>
      <c r="Q31" s="6"/>
      <c r="R31" s="6"/>
      <c r="S31" s="6"/>
      <c r="T31" s="6"/>
      <c r="U31" s="6"/>
      <c r="V31" s="6"/>
      <c r="W31" s="6"/>
      <c r="X31" s="6"/>
      <c r="Y31" s="6"/>
      <c r="Z31" s="6"/>
    </row>
    <row r="32" spans="1:26" x14ac:dyDescent="0.3">
      <c r="A32" s="1" t="s">
        <v>43</v>
      </c>
      <c r="B32" s="6">
        <v>8</v>
      </c>
      <c r="C32" s="6" t="s">
        <v>238</v>
      </c>
      <c r="D32" s="6" t="s">
        <v>238</v>
      </c>
      <c r="E32" s="6" t="s">
        <v>238</v>
      </c>
      <c r="F32" s="6" t="s">
        <v>239</v>
      </c>
      <c r="G32" s="6" t="s">
        <v>238</v>
      </c>
      <c r="H32" s="6" t="s">
        <v>238</v>
      </c>
      <c r="I32" s="6" t="s">
        <v>238</v>
      </c>
      <c r="J32" s="6" t="s">
        <v>244</v>
      </c>
      <c r="K32" s="6" t="s">
        <v>238</v>
      </c>
      <c r="L32" s="6" t="s">
        <v>238</v>
      </c>
      <c r="M32" s="6" t="s">
        <v>238</v>
      </c>
      <c r="N32" s="6" t="s">
        <v>238</v>
      </c>
      <c r="O32" s="6" t="s">
        <v>238</v>
      </c>
      <c r="P32" s="6" t="s">
        <v>241</v>
      </c>
      <c r="Q32" s="6" t="s">
        <v>245</v>
      </c>
      <c r="R32" s="6"/>
      <c r="S32" s="6"/>
      <c r="T32" s="6"/>
      <c r="U32" s="6"/>
      <c r="V32" s="6"/>
      <c r="W32" s="6" t="s">
        <v>241</v>
      </c>
      <c r="X32" s="6"/>
      <c r="Y32" s="6"/>
      <c r="Z32" s="6"/>
    </row>
    <row r="33" spans="1:26" x14ac:dyDescent="0.3">
      <c r="A33" s="1" t="s">
        <v>22</v>
      </c>
      <c r="B33" s="6">
        <v>8</v>
      </c>
      <c r="C33" s="6" t="s">
        <v>238</v>
      </c>
      <c r="D33" s="6" t="s">
        <v>238</v>
      </c>
      <c r="E33" s="6" t="s">
        <v>238</v>
      </c>
      <c r="F33" s="6" t="s">
        <v>239</v>
      </c>
      <c r="G33" s="6" t="s">
        <v>238</v>
      </c>
      <c r="H33" s="6" t="s">
        <v>238</v>
      </c>
      <c r="I33" s="6" t="s">
        <v>238</v>
      </c>
      <c r="J33" s="6" t="s">
        <v>238</v>
      </c>
      <c r="K33" s="6" t="s">
        <v>238</v>
      </c>
      <c r="L33" s="6" t="s">
        <v>238</v>
      </c>
      <c r="M33" s="6" t="s">
        <v>238</v>
      </c>
      <c r="N33" s="6" t="s">
        <v>241</v>
      </c>
      <c r="O33" s="6" t="s">
        <v>238</v>
      </c>
      <c r="P33" s="6" t="s">
        <v>244</v>
      </c>
      <c r="Q33" s="6"/>
      <c r="R33" s="6"/>
      <c r="S33" s="6"/>
      <c r="T33" s="6"/>
      <c r="U33" s="6"/>
      <c r="V33" s="6"/>
      <c r="W33" s="6"/>
      <c r="X33" s="6"/>
      <c r="Y33" s="6"/>
      <c r="Z33" s="6"/>
    </row>
    <row r="34" spans="1:26" x14ac:dyDescent="0.3">
      <c r="A34" s="1" t="s">
        <v>268</v>
      </c>
      <c r="B34" s="6">
        <v>9</v>
      </c>
      <c r="C34" s="6" t="s">
        <v>238</v>
      </c>
      <c r="D34" s="6" t="s">
        <v>238</v>
      </c>
      <c r="E34" s="6" t="s">
        <v>238</v>
      </c>
      <c r="F34" s="6" t="s">
        <v>238</v>
      </c>
      <c r="G34" s="6" t="s">
        <v>238</v>
      </c>
      <c r="H34" s="6" t="s">
        <v>238</v>
      </c>
      <c r="I34" s="6" t="s">
        <v>238</v>
      </c>
      <c r="J34" s="6" t="s">
        <v>238</v>
      </c>
      <c r="K34" s="6" t="s">
        <v>238</v>
      </c>
      <c r="L34" s="6" t="s">
        <v>241</v>
      </c>
      <c r="M34" s="6" t="s">
        <v>238</v>
      </c>
      <c r="N34" s="6" t="s">
        <v>241</v>
      </c>
      <c r="O34" s="6" t="s">
        <v>238</v>
      </c>
      <c r="P34" s="6"/>
      <c r="Q34" s="6"/>
      <c r="R34" s="6"/>
      <c r="S34" s="6"/>
      <c r="T34" s="6"/>
      <c r="U34" s="6"/>
      <c r="V34" s="6"/>
      <c r="W34" s="6"/>
      <c r="X34" s="6"/>
      <c r="Y34" s="6"/>
      <c r="Z34" s="6"/>
    </row>
    <row r="35" spans="1:26" x14ac:dyDescent="0.3">
      <c r="A35" s="1" t="s">
        <v>269</v>
      </c>
      <c r="B35" s="6">
        <v>9</v>
      </c>
      <c r="C35" s="6" t="s">
        <v>238</v>
      </c>
      <c r="D35" s="6" t="s">
        <v>238</v>
      </c>
      <c r="E35" s="6" t="s">
        <v>238</v>
      </c>
      <c r="F35" s="6" t="s">
        <v>238</v>
      </c>
      <c r="G35" s="6" t="s">
        <v>238</v>
      </c>
      <c r="H35" s="6" t="s">
        <v>238</v>
      </c>
      <c r="I35" s="6" t="s">
        <v>238</v>
      </c>
      <c r="J35" s="6" t="s">
        <v>238</v>
      </c>
      <c r="K35" s="6" t="s">
        <v>238</v>
      </c>
      <c r="L35" s="6" t="s">
        <v>116</v>
      </c>
      <c r="M35" s="6" t="s">
        <v>238</v>
      </c>
      <c r="N35" s="6" t="s">
        <v>238</v>
      </c>
      <c r="O35" s="6" t="s">
        <v>238</v>
      </c>
      <c r="P35" s="6"/>
      <c r="Q35" s="6"/>
      <c r="R35" s="6"/>
      <c r="S35" s="6"/>
      <c r="T35" s="6"/>
      <c r="U35" s="6"/>
      <c r="V35" s="6"/>
      <c r="W35" s="6"/>
      <c r="X35" s="6"/>
      <c r="Y35" s="6"/>
      <c r="Z35" s="6"/>
    </row>
    <row r="36" spans="1:26" x14ac:dyDescent="0.3">
      <c r="A36" s="327" t="s">
        <v>270</v>
      </c>
      <c r="B36" s="6">
        <v>9</v>
      </c>
      <c r="C36" s="6" t="s">
        <v>238</v>
      </c>
      <c r="D36" s="6" t="s">
        <v>238</v>
      </c>
      <c r="E36" s="6" t="s">
        <v>238</v>
      </c>
      <c r="F36" s="6" t="s">
        <v>238</v>
      </c>
      <c r="G36" s="6" t="s">
        <v>238</v>
      </c>
      <c r="H36" s="6" t="s">
        <v>238</v>
      </c>
      <c r="I36" s="6" t="s">
        <v>238</v>
      </c>
      <c r="J36" s="6" t="s">
        <v>238</v>
      </c>
      <c r="K36" s="6" t="s">
        <v>238</v>
      </c>
      <c r="L36" s="6" t="s">
        <v>241</v>
      </c>
      <c r="M36" s="6" t="s">
        <v>238</v>
      </c>
      <c r="N36" s="6" t="s">
        <v>238</v>
      </c>
      <c r="O36" s="6" t="s">
        <v>116</v>
      </c>
      <c r="P36" s="6"/>
      <c r="Q36" s="6"/>
      <c r="R36" s="6"/>
      <c r="S36" s="6"/>
      <c r="T36" s="6"/>
      <c r="U36" s="6"/>
      <c r="V36" s="6"/>
      <c r="W36" s="6"/>
      <c r="X36" s="6"/>
      <c r="Y36" s="6"/>
      <c r="Z36" s="6"/>
    </row>
    <row r="37" spans="1:26" x14ac:dyDescent="0.3">
      <c r="A37" s="1" t="s">
        <v>271</v>
      </c>
      <c r="B37" s="6">
        <v>9</v>
      </c>
      <c r="C37" s="6" t="s">
        <v>238</v>
      </c>
      <c r="D37" s="6" t="s">
        <v>238</v>
      </c>
      <c r="E37" s="6" t="s">
        <v>238</v>
      </c>
      <c r="F37" s="6" t="s">
        <v>238</v>
      </c>
      <c r="G37" s="6" t="s">
        <v>244</v>
      </c>
      <c r="H37" s="6" t="s">
        <v>238</v>
      </c>
      <c r="I37" s="6" t="s">
        <v>238</v>
      </c>
      <c r="J37" s="6" t="s">
        <v>238</v>
      </c>
      <c r="K37" s="6" t="s">
        <v>238</v>
      </c>
      <c r="L37" s="6" t="s">
        <v>245</v>
      </c>
      <c r="M37" s="6">
        <v>0</v>
      </c>
      <c r="N37" s="6" t="s">
        <v>245</v>
      </c>
      <c r="O37" s="6" t="s">
        <v>245</v>
      </c>
      <c r="P37" s="6"/>
      <c r="Q37" s="6"/>
      <c r="R37" s="6"/>
      <c r="S37" s="6"/>
      <c r="T37" s="6"/>
      <c r="U37" s="6"/>
      <c r="V37" s="6"/>
      <c r="W37" s="6"/>
      <c r="X37" s="6"/>
      <c r="Y37" s="6"/>
      <c r="Z37" s="6"/>
    </row>
    <row r="38" spans="1:26" x14ac:dyDescent="0.3">
      <c r="A38" s="1" t="s">
        <v>272</v>
      </c>
      <c r="B38" s="6">
        <v>9</v>
      </c>
      <c r="C38" s="6" t="s">
        <v>238</v>
      </c>
      <c r="D38" s="6" t="s">
        <v>238</v>
      </c>
      <c r="E38" s="6" t="s">
        <v>238</v>
      </c>
      <c r="F38" s="6" t="s">
        <v>238</v>
      </c>
      <c r="G38" s="6" t="s">
        <v>238</v>
      </c>
      <c r="H38" s="6" t="s">
        <v>238</v>
      </c>
      <c r="I38" s="6" t="s">
        <v>238</v>
      </c>
      <c r="J38" s="6" t="s">
        <v>238</v>
      </c>
      <c r="K38" s="6" t="s">
        <v>238</v>
      </c>
      <c r="L38" s="6" t="s">
        <v>239</v>
      </c>
      <c r="M38" s="6" t="s">
        <v>238</v>
      </c>
      <c r="N38" s="6" t="s">
        <v>238</v>
      </c>
      <c r="O38" s="6" t="s">
        <v>238</v>
      </c>
      <c r="P38" s="6"/>
      <c r="Q38" s="6"/>
      <c r="R38" s="6"/>
      <c r="S38" s="6"/>
      <c r="T38" s="6"/>
      <c r="U38" s="6"/>
      <c r="V38" s="6"/>
      <c r="W38" s="6"/>
      <c r="X38" s="6"/>
      <c r="Y38" s="6"/>
      <c r="Z38" s="6"/>
    </row>
    <row r="39" spans="1:26" x14ac:dyDescent="0.3">
      <c r="A39" s="1" t="s">
        <v>273</v>
      </c>
      <c r="B39" s="6">
        <v>10</v>
      </c>
      <c r="C39" s="6" t="s">
        <v>238</v>
      </c>
      <c r="D39" s="6" t="s">
        <v>238</v>
      </c>
      <c r="E39" s="6" t="s">
        <v>238</v>
      </c>
      <c r="F39" s="6" t="s">
        <v>238</v>
      </c>
      <c r="G39" s="6" t="s">
        <v>238</v>
      </c>
      <c r="H39" s="6" t="s">
        <v>238</v>
      </c>
      <c r="I39" s="6" t="s">
        <v>238</v>
      </c>
      <c r="J39" s="6" t="s">
        <v>238</v>
      </c>
      <c r="K39" s="6" t="s">
        <v>238</v>
      </c>
      <c r="L39" s="6" t="s">
        <v>238</v>
      </c>
      <c r="M39" s="6" t="s">
        <v>239</v>
      </c>
      <c r="N39" s="6" t="s">
        <v>238</v>
      </c>
      <c r="O39" s="6" t="s">
        <v>238</v>
      </c>
      <c r="P39" s="6"/>
      <c r="Q39" s="6"/>
      <c r="R39" s="6"/>
      <c r="S39" s="6"/>
      <c r="T39" s="6"/>
      <c r="U39" s="6"/>
      <c r="V39" s="6"/>
      <c r="W39" s="6"/>
      <c r="X39" s="6"/>
      <c r="Y39" s="6"/>
      <c r="Z39" s="6"/>
    </row>
    <row r="40" spans="1:26" x14ac:dyDescent="0.3">
      <c r="A40" s="1" t="s">
        <v>274</v>
      </c>
      <c r="B40" s="6">
        <v>10</v>
      </c>
      <c r="C40" s="6" t="s">
        <v>238</v>
      </c>
      <c r="D40" s="6" t="s">
        <v>238</v>
      </c>
      <c r="E40" s="6" t="s">
        <v>238</v>
      </c>
      <c r="F40" s="6" t="s">
        <v>238</v>
      </c>
      <c r="G40" s="6" t="s">
        <v>238</v>
      </c>
      <c r="H40" s="6" t="s">
        <v>238</v>
      </c>
      <c r="I40" s="6" t="s">
        <v>238</v>
      </c>
      <c r="J40" s="6" t="s">
        <v>238</v>
      </c>
      <c r="K40" s="6" t="s">
        <v>116</v>
      </c>
      <c r="L40" s="6" t="s">
        <v>238</v>
      </c>
      <c r="M40" s="6" t="s">
        <v>238</v>
      </c>
      <c r="N40" s="6" t="s">
        <v>238</v>
      </c>
      <c r="O40" s="6" t="s">
        <v>238</v>
      </c>
      <c r="P40" s="6"/>
      <c r="Q40" s="6"/>
      <c r="R40" s="6"/>
      <c r="S40" s="6"/>
      <c r="T40" s="6"/>
      <c r="U40" s="6"/>
      <c r="V40" s="6"/>
      <c r="W40" s="6"/>
      <c r="X40" s="6"/>
      <c r="Y40" s="6"/>
      <c r="Z40" s="6"/>
    </row>
    <row r="41" spans="1:26" x14ac:dyDescent="0.3">
      <c r="A41" s="1" t="s">
        <v>275</v>
      </c>
      <c r="B41" s="6">
        <v>10</v>
      </c>
      <c r="C41" s="6" t="s">
        <v>238</v>
      </c>
      <c r="D41" s="6" t="s">
        <v>238</v>
      </c>
      <c r="E41" s="6" t="s">
        <v>238</v>
      </c>
      <c r="F41" s="6" t="s">
        <v>238</v>
      </c>
      <c r="G41" s="6" t="s">
        <v>238</v>
      </c>
      <c r="H41" s="6" t="s">
        <v>238</v>
      </c>
      <c r="I41" s="6" t="s">
        <v>238</v>
      </c>
      <c r="J41" s="6" t="s">
        <v>238</v>
      </c>
      <c r="K41" s="6" t="s">
        <v>238</v>
      </c>
      <c r="L41" s="6" t="s">
        <v>238</v>
      </c>
      <c r="M41" s="6" t="s">
        <v>238</v>
      </c>
      <c r="N41" s="6" t="s">
        <v>238</v>
      </c>
      <c r="O41" s="6" t="s">
        <v>116</v>
      </c>
      <c r="P41" s="6"/>
      <c r="Q41" s="6"/>
      <c r="R41" s="6"/>
      <c r="S41" s="6"/>
      <c r="T41" s="6"/>
      <c r="U41" s="6"/>
      <c r="V41" s="6"/>
      <c r="W41" s="6"/>
      <c r="X41" s="6"/>
      <c r="Y41" s="6"/>
      <c r="Z41" s="6"/>
    </row>
    <row r="42" spans="1:26" x14ac:dyDescent="0.3">
      <c r="A42" s="1" t="s">
        <v>29</v>
      </c>
      <c r="B42" s="6">
        <v>10</v>
      </c>
      <c r="C42" s="6" t="s">
        <v>238</v>
      </c>
      <c r="D42" s="6" t="s">
        <v>238</v>
      </c>
      <c r="E42" s="6" t="s">
        <v>238</v>
      </c>
      <c r="F42" s="6" t="s">
        <v>238</v>
      </c>
      <c r="G42" s="6" t="s">
        <v>238</v>
      </c>
      <c r="H42" s="6" t="s">
        <v>238</v>
      </c>
      <c r="I42" s="6" t="s">
        <v>238</v>
      </c>
      <c r="J42" s="6" t="s">
        <v>238</v>
      </c>
      <c r="K42" s="6" t="s">
        <v>238</v>
      </c>
      <c r="L42" s="6" t="s">
        <v>238</v>
      </c>
      <c r="M42" s="6" t="s">
        <v>238</v>
      </c>
      <c r="N42" s="6" t="s">
        <v>238</v>
      </c>
      <c r="O42" s="6" t="s">
        <v>241</v>
      </c>
      <c r="P42" s="6"/>
      <c r="Q42" s="6"/>
      <c r="R42" s="6"/>
      <c r="S42" s="6"/>
      <c r="T42" s="6"/>
      <c r="U42" s="6"/>
      <c r="V42" s="6"/>
      <c r="W42" s="6"/>
      <c r="X42" s="6"/>
      <c r="Y42" s="6"/>
      <c r="Z42" s="6"/>
    </row>
    <row r="43" spans="1:26" x14ac:dyDescent="0.3">
      <c r="A43" s="1" t="s">
        <v>31</v>
      </c>
      <c r="B43" s="6">
        <v>10</v>
      </c>
      <c r="C43" s="6" t="s">
        <v>238</v>
      </c>
      <c r="D43" s="6" t="s">
        <v>238</v>
      </c>
      <c r="E43" s="6" t="s">
        <v>238</v>
      </c>
      <c r="F43" s="6" t="s">
        <v>238</v>
      </c>
      <c r="G43" s="6" t="s">
        <v>238</v>
      </c>
      <c r="H43" s="6" t="s">
        <v>238</v>
      </c>
      <c r="I43" s="6" t="s">
        <v>238</v>
      </c>
      <c r="J43" s="6" t="s">
        <v>238</v>
      </c>
      <c r="K43" s="6" t="s">
        <v>238</v>
      </c>
      <c r="L43" s="6" t="s">
        <v>238</v>
      </c>
      <c r="M43" s="6" t="s">
        <v>238</v>
      </c>
      <c r="N43" s="6" t="s">
        <v>238</v>
      </c>
      <c r="O43" s="6" t="s">
        <v>238</v>
      </c>
      <c r="P43" s="6"/>
      <c r="Q43" s="6"/>
      <c r="R43" s="6"/>
      <c r="S43" s="6"/>
      <c r="T43" s="6"/>
      <c r="U43" s="6"/>
      <c r="V43" s="6"/>
      <c r="W43" s="6"/>
      <c r="X43" s="6"/>
      <c r="Y43" s="6"/>
      <c r="Z43" s="6"/>
    </row>
    <row r="44" spans="1:26" x14ac:dyDescent="0.3">
      <c r="A44" s="1" t="s">
        <v>276</v>
      </c>
      <c r="B44" s="6">
        <v>10</v>
      </c>
      <c r="C44" s="6" t="s">
        <v>238</v>
      </c>
      <c r="D44" s="6" t="s">
        <v>238</v>
      </c>
      <c r="E44" s="6" t="s">
        <v>238</v>
      </c>
      <c r="F44" s="6" t="s">
        <v>238</v>
      </c>
      <c r="G44" s="6" t="s">
        <v>238</v>
      </c>
      <c r="H44" s="6" t="s">
        <v>238</v>
      </c>
      <c r="I44" s="6" t="s">
        <v>238</v>
      </c>
      <c r="J44" s="6" t="s">
        <v>238</v>
      </c>
      <c r="K44" s="6" t="s">
        <v>238</v>
      </c>
      <c r="L44" s="6" t="s">
        <v>238</v>
      </c>
      <c r="M44" s="6" t="s">
        <v>238</v>
      </c>
      <c r="N44" s="6" t="s">
        <v>238</v>
      </c>
      <c r="O44" s="6" t="s">
        <v>116</v>
      </c>
      <c r="P44" s="6"/>
      <c r="Q44" s="6"/>
      <c r="R44" s="6"/>
      <c r="S44" s="6"/>
      <c r="T44" s="6"/>
      <c r="U44" s="6"/>
      <c r="V44" s="6"/>
      <c r="W44" s="6"/>
      <c r="X44" s="6"/>
      <c r="Y44" s="6"/>
      <c r="Z44" s="6"/>
    </row>
    <row r="45" spans="1:26" x14ac:dyDescent="0.3">
      <c r="A45" s="1" t="s">
        <v>32</v>
      </c>
      <c r="B45" s="6">
        <v>10</v>
      </c>
      <c r="C45" s="6" t="s">
        <v>238</v>
      </c>
      <c r="D45" s="6" t="s">
        <v>238</v>
      </c>
      <c r="E45" s="6" t="s">
        <v>238</v>
      </c>
      <c r="F45" s="6" t="s">
        <v>238</v>
      </c>
      <c r="G45" s="6" t="s">
        <v>238</v>
      </c>
      <c r="H45" s="6" t="s">
        <v>238</v>
      </c>
      <c r="I45" s="6" t="s">
        <v>238</v>
      </c>
      <c r="J45" s="6" t="s">
        <v>238</v>
      </c>
      <c r="K45" s="6" t="s">
        <v>238</v>
      </c>
      <c r="L45" s="6" t="s">
        <v>238</v>
      </c>
      <c r="M45" s="6" t="s">
        <v>238</v>
      </c>
      <c r="N45" s="6" t="s">
        <v>238</v>
      </c>
      <c r="O45" s="6" t="s">
        <v>238</v>
      </c>
      <c r="P45" s="6" t="s">
        <v>241</v>
      </c>
      <c r="Q45" s="6"/>
      <c r="R45" s="6"/>
      <c r="S45" s="6"/>
      <c r="T45" s="6"/>
      <c r="U45" s="6"/>
      <c r="V45" s="6"/>
      <c r="W45" s="6"/>
      <c r="X45" s="6"/>
      <c r="Y45" s="6"/>
      <c r="Z45" s="6"/>
    </row>
    <row r="46" spans="1:26" x14ac:dyDescent="0.3">
      <c r="A46" s="1" t="s">
        <v>277</v>
      </c>
      <c r="B46" s="6">
        <v>10</v>
      </c>
      <c r="C46" s="6" t="s">
        <v>238</v>
      </c>
      <c r="D46" s="6" t="s">
        <v>238</v>
      </c>
      <c r="E46" s="6" t="s">
        <v>238</v>
      </c>
      <c r="F46" s="6" t="s">
        <v>238</v>
      </c>
      <c r="G46" s="6" t="s">
        <v>238</v>
      </c>
      <c r="H46" s="6" t="s">
        <v>238</v>
      </c>
      <c r="I46" s="6" t="s">
        <v>238</v>
      </c>
      <c r="J46" s="6" t="s">
        <v>238</v>
      </c>
      <c r="K46" s="6" t="s">
        <v>238</v>
      </c>
      <c r="L46" s="6" t="s">
        <v>241</v>
      </c>
      <c r="M46" s="6"/>
      <c r="N46" s="6" t="s">
        <v>238</v>
      </c>
      <c r="O46" s="6" t="s">
        <v>239</v>
      </c>
      <c r="P46" s="6"/>
      <c r="Q46" s="6"/>
      <c r="R46" s="6"/>
      <c r="S46" s="6"/>
      <c r="T46" s="6"/>
      <c r="U46" s="6"/>
      <c r="V46" s="6"/>
      <c r="W46" s="6"/>
      <c r="X46" s="6"/>
      <c r="Y46" s="6"/>
      <c r="Z46" s="6"/>
    </row>
    <row r="47" spans="1:26" x14ac:dyDescent="0.3">
      <c r="A47" s="1" t="s">
        <v>278</v>
      </c>
      <c r="B47" s="6">
        <v>10</v>
      </c>
      <c r="C47" s="6" t="s">
        <v>238</v>
      </c>
      <c r="D47" s="6" t="s">
        <v>238</v>
      </c>
      <c r="E47" s="6" t="s">
        <v>238</v>
      </c>
      <c r="F47" s="6" t="s">
        <v>238</v>
      </c>
      <c r="G47" s="6" t="s">
        <v>238</v>
      </c>
      <c r="H47" s="6" t="s">
        <v>238</v>
      </c>
      <c r="I47" s="6" t="s">
        <v>238</v>
      </c>
      <c r="J47" s="6" t="s">
        <v>238</v>
      </c>
      <c r="K47" s="6" t="s">
        <v>238</v>
      </c>
      <c r="L47" s="6" t="s">
        <v>241</v>
      </c>
      <c r="M47" s="6"/>
      <c r="N47" s="6" t="s">
        <v>238</v>
      </c>
      <c r="O47" s="6" t="s">
        <v>238</v>
      </c>
      <c r="P47" s="6"/>
      <c r="Q47" s="6"/>
      <c r="R47" s="6"/>
      <c r="S47" s="6" t="s">
        <v>239</v>
      </c>
      <c r="T47" s="6"/>
      <c r="U47" s="6"/>
      <c r="V47" s="6"/>
      <c r="W47" s="6" t="s">
        <v>245</v>
      </c>
      <c r="X47" s="6"/>
      <c r="Y47" s="6"/>
      <c r="Z47" s="6"/>
    </row>
    <row r="48" spans="1:26" x14ac:dyDescent="0.3">
      <c r="A48" s="1" t="s">
        <v>279</v>
      </c>
      <c r="B48" s="6">
        <v>10</v>
      </c>
      <c r="C48" s="6" t="s">
        <v>238</v>
      </c>
      <c r="D48" s="6" t="s">
        <v>238</v>
      </c>
      <c r="E48" s="6" t="s">
        <v>238</v>
      </c>
      <c r="F48" s="6" t="s">
        <v>238</v>
      </c>
      <c r="G48" s="6" t="s">
        <v>238</v>
      </c>
      <c r="H48" s="6" t="s">
        <v>238</v>
      </c>
      <c r="I48" s="6" t="s">
        <v>238</v>
      </c>
      <c r="J48" s="6" t="s">
        <v>238</v>
      </c>
      <c r="K48" s="6" t="s">
        <v>238</v>
      </c>
      <c r="L48" s="6" t="s">
        <v>239</v>
      </c>
      <c r="M48" s="6"/>
      <c r="N48" s="6" t="s">
        <v>238</v>
      </c>
      <c r="O48" s="6" t="s">
        <v>238</v>
      </c>
      <c r="P48" s="6"/>
      <c r="Q48" s="6"/>
      <c r="R48" s="6"/>
      <c r="S48" s="6"/>
      <c r="T48" s="6"/>
      <c r="U48" s="6"/>
      <c r="V48" s="6"/>
      <c r="W48" s="6"/>
      <c r="X48" s="6"/>
      <c r="Y48" s="6"/>
      <c r="Z48" s="6"/>
    </row>
    <row r="49" spans="1:26" x14ac:dyDescent="0.3">
      <c r="A49" s="1" t="s">
        <v>280</v>
      </c>
      <c r="B49" s="6">
        <v>10</v>
      </c>
      <c r="C49" s="6" t="s">
        <v>238</v>
      </c>
      <c r="D49" s="6" t="s">
        <v>238</v>
      </c>
      <c r="E49" s="6" t="s">
        <v>238</v>
      </c>
      <c r="F49" s="6" t="s">
        <v>238</v>
      </c>
      <c r="G49" s="6" t="s">
        <v>238</v>
      </c>
      <c r="H49" s="6" t="s">
        <v>238</v>
      </c>
      <c r="I49" s="6" t="s">
        <v>238</v>
      </c>
      <c r="J49" s="6" t="s">
        <v>238</v>
      </c>
      <c r="K49" s="6" t="s">
        <v>238</v>
      </c>
      <c r="L49" s="6" t="s">
        <v>241</v>
      </c>
      <c r="M49" s="6"/>
      <c r="N49" s="6" t="s">
        <v>238</v>
      </c>
      <c r="O49" s="6" t="s">
        <v>239</v>
      </c>
      <c r="P49" s="6"/>
      <c r="Q49" s="6"/>
      <c r="R49" s="6"/>
      <c r="S49" s="6"/>
      <c r="T49" s="6" t="s">
        <v>244</v>
      </c>
      <c r="U49" s="6"/>
      <c r="V49" s="6"/>
      <c r="W49" s="6"/>
      <c r="X49" s="6" t="s">
        <v>245</v>
      </c>
      <c r="Y49" s="6"/>
      <c r="Z49" s="6"/>
    </row>
    <row r="50" spans="1:26" x14ac:dyDescent="0.3">
      <c r="A50" s="1" t="s">
        <v>281</v>
      </c>
      <c r="B50" s="6">
        <v>10</v>
      </c>
      <c r="C50" s="6" t="s">
        <v>238</v>
      </c>
      <c r="D50" s="6" t="s">
        <v>238</v>
      </c>
      <c r="E50" s="6" t="s">
        <v>238</v>
      </c>
      <c r="F50" s="6" t="s">
        <v>238</v>
      </c>
      <c r="G50" s="6" t="s">
        <v>238</v>
      </c>
      <c r="H50" s="6" t="s">
        <v>238</v>
      </c>
      <c r="I50" s="6" t="s">
        <v>238</v>
      </c>
      <c r="J50" s="6" t="s">
        <v>238</v>
      </c>
      <c r="K50" s="6" t="s">
        <v>238</v>
      </c>
      <c r="L50" s="6" t="s">
        <v>238</v>
      </c>
      <c r="M50" s="6"/>
      <c r="N50" s="6" t="s">
        <v>238</v>
      </c>
      <c r="O50" s="6" t="s">
        <v>239</v>
      </c>
      <c r="P50" s="6"/>
      <c r="Q50" s="6"/>
      <c r="R50" s="6"/>
      <c r="S50" s="6"/>
      <c r="T50" s="6"/>
      <c r="U50" s="6"/>
      <c r="V50" s="6"/>
      <c r="W50" s="6"/>
      <c r="X50" s="6"/>
      <c r="Y50" s="6"/>
      <c r="Z50" s="6"/>
    </row>
    <row r="51" spans="1:26" x14ac:dyDescent="0.3">
      <c r="A51" s="1" t="s">
        <v>38</v>
      </c>
      <c r="B51" s="6">
        <v>11</v>
      </c>
      <c r="C51" s="6" t="s">
        <v>238</v>
      </c>
      <c r="D51" s="6" t="s">
        <v>238</v>
      </c>
      <c r="E51" s="6" t="s">
        <v>238</v>
      </c>
      <c r="F51" s="6" t="s">
        <v>238</v>
      </c>
      <c r="G51" s="6" t="s">
        <v>238</v>
      </c>
      <c r="H51" s="6" t="s">
        <v>238</v>
      </c>
      <c r="I51" s="6" t="s">
        <v>238</v>
      </c>
      <c r="J51" s="6" t="s">
        <v>238</v>
      </c>
      <c r="K51" s="6" t="s">
        <v>238</v>
      </c>
      <c r="L51" s="6" t="s">
        <v>238</v>
      </c>
      <c r="M51" s="6" t="s">
        <v>239</v>
      </c>
      <c r="N51" s="6" t="s">
        <v>238</v>
      </c>
      <c r="O51" s="6" t="s">
        <v>238</v>
      </c>
      <c r="P51" s="6"/>
      <c r="Q51" s="6"/>
      <c r="R51" s="6" t="s">
        <v>244</v>
      </c>
      <c r="S51" s="6"/>
      <c r="T51" s="6"/>
      <c r="U51" s="6"/>
      <c r="V51" s="6"/>
      <c r="W51" s="6"/>
      <c r="X51" s="6"/>
      <c r="Y51" s="6"/>
      <c r="Z51" s="6"/>
    </row>
    <row r="52" spans="1:26" x14ac:dyDescent="0.3">
      <c r="A52" s="1" t="s">
        <v>41</v>
      </c>
      <c r="B52" s="6">
        <v>11</v>
      </c>
      <c r="C52" s="6" t="s">
        <v>238</v>
      </c>
      <c r="D52" s="6" t="s">
        <v>238</v>
      </c>
      <c r="E52" s="6" t="s">
        <v>238</v>
      </c>
      <c r="F52" s="6" t="s">
        <v>238</v>
      </c>
      <c r="G52" s="6" t="s">
        <v>238</v>
      </c>
      <c r="H52" s="6" t="s">
        <v>238</v>
      </c>
      <c r="I52" s="6" t="s">
        <v>238</v>
      </c>
      <c r="J52" s="6" t="s">
        <v>238</v>
      </c>
      <c r="K52" s="6" t="s">
        <v>238</v>
      </c>
      <c r="L52" s="6" t="s">
        <v>238</v>
      </c>
      <c r="M52" s="6" t="s">
        <v>241</v>
      </c>
      <c r="N52" s="6" t="s">
        <v>238</v>
      </c>
      <c r="O52" s="6" t="s">
        <v>239</v>
      </c>
      <c r="P52" s="6"/>
      <c r="Q52" s="6"/>
      <c r="R52" s="6"/>
      <c r="S52" s="6"/>
      <c r="T52" s="6" t="s">
        <v>241</v>
      </c>
      <c r="U52" s="6"/>
      <c r="V52" s="6"/>
      <c r="W52" s="6"/>
      <c r="X52" s="6"/>
      <c r="Y52" s="6"/>
      <c r="Z52" s="6"/>
    </row>
    <row r="53" spans="1:26" x14ac:dyDescent="0.3">
      <c r="A53" s="1" t="s">
        <v>282</v>
      </c>
      <c r="B53" s="6">
        <v>11</v>
      </c>
      <c r="C53" s="6" t="s">
        <v>238</v>
      </c>
      <c r="D53" s="6" t="s">
        <v>238</v>
      </c>
      <c r="E53" s="6" t="s">
        <v>238</v>
      </c>
      <c r="F53" s="6" t="s">
        <v>238</v>
      </c>
      <c r="G53" s="6" t="s">
        <v>238</v>
      </c>
      <c r="H53" s="6" t="s">
        <v>238</v>
      </c>
      <c r="I53" s="6" t="s">
        <v>238</v>
      </c>
      <c r="J53" s="6" t="s">
        <v>238</v>
      </c>
      <c r="K53" s="6" t="s">
        <v>238</v>
      </c>
      <c r="L53" s="6" t="s">
        <v>238</v>
      </c>
      <c r="M53" s="6" t="s">
        <v>116</v>
      </c>
      <c r="N53" s="6" t="s">
        <v>238</v>
      </c>
      <c r="O53" s="6" t="s">
        <v>238</v>
      </c>
      <c r="P53" s="6"/>
      <c r="Q53" s="6"/>
      <c r="R53" s="6"/>
      <c r="S53" s="6"/>
      <c r="T53" s="6"/>
      <c r="U53" s="6"/>
      <c r="V53" s="6"/>
      <c r="W53" s="6"/>
      <c r="X53" s="6"/>
      <c r="Y53" s="6"/>
      <c r="Z53" s="6"/>
    </row>
    <row r="54" spans="1:26" x14ac:dyDescent="0.3">
      <c r="A54" s="1" t="s">
        <v>283</v>
      </c>
      <c r="B54" s="6">
        <v>11</v>
      </c>
      <c r="C54" s="6" t="s">
        <v>238</v>
      </c>
      <c r="D54" s="6" t="s">
        <v>238</v>
      </c>
      <c r="E54" s="6" t="s">
        <v>238</v>
      </c>
      <c r="F54" s="6" t="s">
        <v>238</v>
      </c>
      <c r="G54" s="6" t="s">
        <v>238</v>
      </c>
      <c r="H54" s="6" t="s">
        <v>238</v>
      </c>
      <c r="I54" s="6" t="s">
        <v>238</v>
      </c>
      <c r="J54" s="6" t="s">
        <v>238</v>
      </c>
      <c r="K54" s="6" t="s">
        <v>238</v>
      </c>
      <c r="L54" s="6" t="s">
        <v>238</v>
      </c>
      <c r="M54" s="6" t="s">
        <v>241</v>
      </c>
      <c r="N54" s="6" t="s">
        <v>238</v>
      </c>
      <c r="O54" s="6" t="s">
        <v>238</v>
      </c>
      <c r="P54" s="6"/>
      <c r="Q54" s="6"/>
      <c r="R54" s="6"/>
      <c r="S54" s="6"/>
      <c r="T54" s="6"/>
      <c r="U54" s="6"/>
      <c r="V54" s="6"/>
      <c r="W54" s="6"/>
      <c r="X54" s="6"/>
      <c r="Y54" s="6"/>
      <c r="Z54" s="6"/>
    </row>
    <row r="55" spans="1:26" x14ac:dyDescent="0.3">
      <c r="A55" s="1" t="s">
        <v>53</v>
      </c>
      <c r="B55" s="6">
        <v>11</v>
      </c>
      <c r="C55" s="6" t="s">
        <v>238</v>
      </c>
      <c r="D55" s="6" t="s">
        <v>238</v>
      </c>
      <c r="E55" s="6" t="s">
        <v>238</v>
      </c>
      <c r="F55" s="6" t="s">
        <v>238</v>
      </c>
      <c r="G55" s="6" t="s">
        <v>238</v>
      </c>
      <c r="H55" s="6" t="s">
        <v>238</v>
      </c>
      <c r="I55" s="6" t="s">
        <v>238</v>
      </c>
      <c r="J55" s="6" t="s">
        <v>238</v>
      </c>
      <c r="K55" s="6" t="s">
        <v>238</v>
      </c>
      <c r="L55" s="6" t="s">
        <v>238</v>
      </c>
      <c r="M55" s="6" t="s">
        <v>239</v>
      </c>
      <c r="N55" s="6" t="s">
        <v>238</v>
      </c>
      <c r="O55" s="6" t="s">
        <v>238</v>
      </c>
      <c r="P55" s="6"/>
      <c r="Q55" s="6"/>
      <c r="R55" s="6" t="s">
        <v>239</v>
      </c>
      <c r="S55" s="6"/>
      <c r="T55" s="6"/>
      <c r="U55" s="6"/>
      <c r="V55" s="6"/>
      <c r="W55" s="6" t="s">
        <v>241</v>
      </c>
      <c r="X55" s="6"/>
      <c r="Y55" s="6"/>
      <c r="Z55" s="6"/>
    </row>
    <row r="56" spans="1:26" x14ac:dyDescent="0.3">
      <c r="A56" s="1" t="s">
        <v>284</v>
      </c>
      <c r="B56" s="6">
        <v>11</v>
      </c>
      <c r="C56" s="6" t="s">
        <v>238</v>
      </c>
      <c r="D56" s="6" t="s">
        <v>238</v>
      </c>
      <c r="E56" s="6" t="s">
        <v>238</v>
      </c>
      <c r="F56" s="6" t="s">
        <v>238</v>
      </c>
      <c r="G56" s="6" t="s">
        <v>238</v>
      </c>
      <c r="H56" s="6" t="s">
        <v>238</v>
      </c>
      <c r="I56" s="6" t="s">
        <v>239</v>
      </c>
      <c r="J56" s="6" t="s">
        <v>238</v>
      </c>
      <c r="K56" s="6" t="s">
        <v>238</v>
      </c>
      <c r="L56" s="6" t="s">
        <v>238</v>
      </c>
      <c r="M56" s="6" t="s">
        <v>244</v>
      </c>
      <c r="N56" s="6" t="s">
        <v>238</v>
      </c>
      <c r="O56" s="6" t="s">
        <v>238</v>
      </c>
      <c r="P56" s="6"/>
      <c r="Q56" s="6"/>
      <c r="R56" s="6" t="s">
        <v>241</v>
      </c>
      <c r="S56" s="6"/>
      <c r="T56" s="6"/>
      <c r="U56" s="6"/>
      <c r="V56" s="6"/>
      <c r="W56" s="6"/>
      <c r="X56" s="6"/>
      <c r="Y56" s="6"/>
      <c r="Z56" s="6"/>
    </row>
    <row r="57" spans="1:26" x14ac:dyDescent="0.3">
      <c r="A57" s="1" t="s">
        <v>285</v>
      </c>
      <c r="B57" s="6">
        <v>11</v>
      </c>
      <c r="C57" s="6" t="s">
        <v>238</v>
      </c>
      <c r="D57" s="6" t="s">
        <v>238</v>
      </c>
      <c r="E57" s="6" t="s">
        <v>238</v>
      </c>
      <c r="F57" s="6" t="s">
        <v>238</v>
      </c>
      <c r="G57" s="6" t="s">
        <v>238</v>
      </c>
      <c r="H57" s="6" t="s">
        <v>238</v>
      </c>
      <c r="I57" s="6" t="s">
        <v>238</v>
      </c>
      <c r="J57" s="6" t="s">
        <v>238</v>
      </c>
      <c r="K57" s="6" t="s">
        <v>238</v>
      </c>
      <c r="L57" s="6" t="s">
        <v>238</v>
      </c>
      <c r="M57" s="6" t="s">
        <v>116</v>
      </c>
      <c r="N57" s="6" t="s">
        <v>238</v>
      </c>
      <c r="O57" s="6" t="s">
        <v>238</v>
      </c>
      <c r="P57" s="6"/>
      <c r="Q57" s="6"/>
      <c r="R57" s="6"/>
      <c r="S57" s="6"/>
      <c r="T57" s="6"/>
      <c r="U57" s="6"/>
      <c r="V57" s="6"/>
      <c r="W57" s="6"/>
      <c r="X57" s="6"/>
      <c r="Y57" s="6"/>
      <c r="Z57" s="6"/>
    </row>
    <row r="58" spans="1:26" x14ac:dyDescent="0.3">
      <c r="A58" s="1" t="s">
        <v>39</v>
      </c>
      <c r="B58" s="6">
        <v>11</v>
      </c>
      <c r="C58" s="6" t="s">
        <v>238</v>
      </c>
      <c r="D58" s="6" t="s">
        <v>238</v>
      </c>
      <c r="E58" s="6" t="s">
        <v>238</v>
      </c>
      <c r="F58" s="6" t="s">
        <v>238</v>
      </c>
      <c r="G58" s="6" t="s">
        <v>238</v>
      </c>
      <c r="H58" s="6" t="s">
        <v>238</v>
      </c>
      <c r="I58" s="6" t="s">
        <v>238</v>
      </c>
      <c r="J58" s="6" t="s">
        <v>238</v>
      </c>
      <c r="K58" s="6" t="s">
        <v>238</v>
      </c>
      <c r="L58" s="6" t="s">
        <v>238</v>
      </c>
      <c r="M58" s="6" t="s">
        <v>241</v>
      </c>
      <c r="N58" s="6" t="s">
        <v>238</v>
      </c>
      <c r="O58" s="6" t="s">
        <v>238</v>
      </c>
      <c r="P58" s="6"/>
      <c r="Q58" s="6"/>
      <c r="R58" s="6"/>
      <c r="S58" s="6"/>
      <c r="T58" s="6"/>
      <c r="U58" s="6"/>
      <c r="V58" s="6"/>
      <c r="W58" s="6"/>
      <c r="X58" s="6"/>
      <c r="Y58" s="6"/>
      <c r="Z58" s="6"/>
    </row>
    <row r="59" spans="1:26" x14ac:dyDescent="0.3">
      <c r="A59" s="1" t="s">
        <v>42</v>
      </c>
      <c r="B59" s="6">
        <v>11</v>
      </c>
      <c r="C59" s="6" t="s">
        <v>238</v>
      </c>
      <c r="D59" s="6" t="s">
        <v>238</v>
      </c>
      <c r="E59" s="6" t="s">
        <v>238</v>
      </c>
      <c r="F59" s="6" t="s">
        <v>238</v>
      </c>
      <c r="G59" s="6" t="s">
        <v>238</v>
      </c>
      <c r="H59" s="6" t="s">
        <v>238</v>
      </c>
      <c r="I59" s="6" t="s">
        <v>238</v>
      </c>
      <c r="J59" s="6" t="s">
        <v>238</v>
      </c>
      <c r="K59" s="6" t="s">
        <v>238</v>
      </c>
      <c r="L59" s="6" t="s">
        <v>238</v>
      </c>
      <c r="M59" s="6" t="s">
        <v>241</v>
      </c>
      <c r="N59" s="6" t="s">
        <v>238</v>
      </c>
      <c r="O59" s="6" t="s">
        <v>238</v>
      </c>
      <c r="P59" s="6"/>
      <c r="Q59" s="6"/>
      <c r="R59" s="6"/>
      <c r="S59" s="6"/>
      <c r="T59" s="6"/>
      <c r="U59" s="6"/>
      <c r="V59" s="6"/>
      <c r="W59" s="6"/>
      <c r="X59" s="6"/>
      <c r="Y59" s="6"/>
      <c r="Z59" s="6"/>
    </row>
    <row r="60" spans="1:26" x14ac:dyDescent="0.3">
      <c r="A60" s="1" t="s">
        <v>286</v>
      </c>
      <c r="B60" s="6">
        <v>11</v>
      </c>
      <c r="C60" s="6" t="s">
        <v>238</v>
      </c>
      <c r="D60" s="6" t="s">
        <v>238</v>
      </c>
      <c r="E60" s="6" t="s">
        <v>238</v>
      </c>
      <c r="F60" s="6" t="s">
        <v>238</v>
      </c>
      <c r="G60" s="6" t="s">
        <v>238</v>
      </c>
      <c r="H60" s="6" t="s">
        <v>238</v>
      </c>
      <c r="I60" s="6" t="s">
        <v>238</v>
      </c>
      <c r="J60" s="6" t="s">
        <v>238</v>
      </c>
      <c r="K60" s="6" t="s">
        <v>238</v>
      </c>
      <c r="L60" s="6" t="s">
        <v>238</v>
      </c>
      <c r="M60" s="6" t="s">
        <v>241</v>
      </c>
      <c r="N60" s="6" t="s">
        <v>238</v>
      </c>
      <c r="O60" s="6" t="s">
        <v>116</v>
      </c>
      <c r="P60" s="6"/>
      <c r="Q60" s="6"/>
      <c r="R60" s="6"/>
      <c r="S60" s="6"/>
      <c r="T60" s="6"/>
      <c r="U60" s="6"/>
      <c r="V60" s="6"/>
      <c r="W60" s="6"/>
      <c r="X60" s="6"/>
      <c r="Y60" s="6"/>
      <c r="Z60" s="6"/>
    </row>
    <row r="61" spans="1:26" x14ac:dyDescent="0.3">
      <c r="A61" s="1" t="s">
        <v>68</v>
      </c>
      <c r="B61" s="6">
        <v>11</v>
      </c>
      <c r="C61" s="6" t="s">
        <v>238</v>
      </c>
      <c r="D61" s="6" t="s">
        <v>238</v>
      </c>
      <c r="E61" s="6" t="s">
        <v>238</v>
      </c>
      <c r="F61" s="6" t="s">
        <v>238</v>
      </c>
      <c r="G61" s="6" t="s">
        <v>238</v>
      </c>
      <c r="H61" s="6" t="s">
        <v>238</v>
      </c>
      <c r="I61" s="6" t="s">
        <v>238</v>
      </c>
      <c r="J61" s="6" t="s">
        <v>238</v>
      </c>
      <c r="K61" s="6" t="s">
        <v>238</v>
      </c>
      <c r="L61" s="6" t="s">
        <v>238</v>
      </c>
      <c r="M61" s="6" t="s">
        <v>239</v>
      </c>
      <c r="N61" s="6" t="s">
        <v>238</v>
      </c>
      <c r="O61" s="6" t="s">
        <v>238</v>
      </c>
      <c r="P61" s="6"/>
      <c r="Q61" s="6"/>
      <c r="R61" s="6"/>
      <c r="S61" s="6"/>
      <c r="T61" s="6" t="s">
        <v>241</v>
      </c>
      <c r="U61" s="6"/>
      <c r="V61" s="6"/>
      <c r="W61" s="6" t="s">
        <v>241</v>
      </c>
      <c r="X61" s="6" t="s">
        <v>241</v>
      </c>
      <c r="Y61" s="6"/>
      <c r="Z61" s="6"/>
    </row>
    <row r="62" spans="1:26" x14ac:dyDescent="0.3">
      <c r="A62" s="1" t="s">
        <v>287</v>
      </c>
      <c r="B62" s="6">
        <v>11</v>
      </c>
      <c r="C62" s="6" t="s">
        <v>238</v>
      </c>
      <c r="D62" s="6" t="s">
        <v>238</v>
      </c>
      <c r="E62" s="6" t="s">
        <v>238</v>
      </c>
      <c r="F62" s="6" t="s">
        <v>238</v>
      </c>
      <c r="G62" s="6" t="s">
        <v>238</v>
      </c>
      <c r="H62" s="6" t="s">
        <v>238</v>
      </c>
      <c r="I62" s="6" t="s">
        <v>238</v>
      </c>
      <c r="J62" s="6" t="s">
        <v>238</v>
      </c>
      <c r="K62" s="6" t="s">
        <v>238</v>
      </c>
      <c r="L62" s="6" t="s">
        <v>238</v>
      </c>
      <c r="M62" s="6" t="s">
        <v>241</v>
      </c>
      <c r="N62" s="6" t="s">
        <v>238</v>
      </c>
      <c r="O62" s="6" t="s">
        <v>238</v>
      </c>
      <c r="P62" s="6"/>
      <c r="Q62" s="6" t="s">
        <v>241</v>
      </c>
      <c r="R62" s="6" t="s">
        <v>241</v>
      </c>
      <c r="S62" s="6" t="s">
        <v>241</v>
      </c>
      <c r="T62" s="6"/>
      <c r="U62" s="6" t="s">
        <v>241</v>
      </c>
      <c r="V62" s="6" t="s">
        <v>241</v>
      </c>
      <c r="W62" s="6"/>
      <c r="X62" s="6"/>
      <c r="Y62" s="6"/>
      <c r="Z62" s="6"/>
    </row>
    <row r="63" spans="1:26" x14ac:dyDescent="0.3">
      <c r="A63" s="1" t="s">
        <v>288</v>
      </c>
      <c r="B63" s="6">
        <v>11</v>
      </c>
      <c r="C63" s="6" t="s">
        <v>238</v>
      </c>
      <c r="D63" s="6" t="s">
        <v>238</v>
      </c>
      <c r="E63" s="6" t="s">
        <v>238</v>
      </c>
      <c r="F63" s="6" t="s">
        <v>238</v>
      </c>
      <c r="G63" s="6" t="s">
        <v>238</v>
      </c>
      <c r="H63" s="6" t="s">
        <v>238</v>
      </c>
      <c r="I63" s="6" t="s">
        <v>238</v>
      </c>
      <c r="J63" s="6" t="s">
        <v>238</v>
      </c>
      <c r="K63" s="6" t="s">
        <v>238</v>
      </c>
      <c r="L63" s="6" t="s">
        <v>238</v>
      </c>
      <c r="M63" s="6" t="s">
        <v>238</v>
      </c>
      <c r="N63" s="6" t="s">
        <v>238</v>
      </c>
      <c r="O63" s="6" t="s">
        <v>116</v>
      </c>
      <c r="P63" s="6"/>
      <c r="Q63" s="6"/>
      <c r="R63" s="6"/>
      <c r="S63" s="6"/>
      <c r="T63" s="6"/>
      <c r="U63" s="6"/>
      <c r="V63" s="6"/>
      <c r="W63" s="6"/>
      <c r="X63" s="6"/>
      <c r="Y63" s="6"/>
      <c r="Z63" s="6"/>
    </row>
    <row r="64" spans="1:26" x14ac:dyDescent="0.3">
      <c r="A64" s="1" t="s">
        <v>289</v>
      </c>
      <c r="B64" s="6">
        <v>11</v>
      </c>
      <c r="C64" s="6" t="s">
        <v>238</v>
      </c>
      <c r="D64" s="6" t="s">
        <v>238</v>
      </c>
      <c r="E64" s="6" t="s">
        <v>238</v>
      </c>
      <c r="F64" s="6" t="s">
        <v>238</v>
      </c>
      <c r="G64" s="6" t="s">
        <v>238</v>
      </c>
      <c r="H64" s="6" t="s">
        <v>238</v>
      </c>
      <c r="I64" s="6" t="s">
        <v>238</v>
      </c>
      <c r="J64" s="6" t="s">
        <v>238</v>
      </c>
      <c r="K64" s="6" t="s">
        <v>238</v>
      </c>
      <c r="L64" s="6" t="s">
        <v>238</v>
      </c>
      <c r="M64" s="6" t="s">
        <v>241</v>
      </c>
      <c r="N64" s="6" t="s">
        <v>238</v>
      </c>
      <c r="O64" s="6" t="s">
        <v>116</v>
      </c>
      <c r="P64" s="6"/>
      <c r="Q64" s="6"/>
      <c r="R64" s="6"/>
      <c r="S64" s="6"/>
      <c r="T64" s="6"/>
      <c r="U64" s="6"/>
      <c r="V64" s="6"/>
      <c r="W64" s="6"/>
      <c r="X64" s="6"/>
      <c r="Y64" s="6"/>
      <c r="Z64" s="6"/>
    </row>
    <row r="65" spans="1:26" x14ac:dyDescent="0.3">
      <c r="A65" s="1" t="s">
        <v>290</v>
      </c>
      <c r="B65" s="6">
        <v>11</v>
      </c>
      <c r="C65" s="6" t="s">
        <v>238</v>
      </c>
      <c r="D65" s="6" t="s">
        <v>238</v>
      </c>
      <c r="E65" s="6" t="s">
        <v>238</v>
      </c>
      <c r="F65" s="6" t="s">
        <v>238</v>
      </c>
      <c r="G65" s="6" t="s">
        <v>238</v>
      </c>
      <c r="H65" s="6" t="s">
        <v>238</v>
      </c>
      <c r="I65" s="6" t="s">
        <v>238</v>
      </c>
      <c r="J65" s="6" t="s">
        <v>238</v>
      </c>
      <c r="K65" s="6" t="s">
        <v>238</v>
      </c>
      <c r="L65" s="6" t="s">
        <v>238</v>
      </c>
      <c r="M65" s="6" t="s">
        <v>238</v>
      </c>
      <c r="N65" s="6" t="s">
        <v>238</v>
      </c>
      <c r="O65" s="6" t="s">
        <v>116</v>
      </c>
      <c r="P65" s="6"/>
      <c r="Q65" s="6"/>
      <c r="R65" s="6"/>
      <c r="S65" s="6"/>
      <c r="T65" s="6"/>
      <c r="U65" s="6"/>
      <c r="V65" s="6"/>
      <c r="W65" s="6"/>
      <c r="X65" s="6"/>
      <c r="Y65" s="6"/>
      <c r="Z65" s="6"/>
    </row>
    <row r="66" spans="1:26" x14ac:dyDescent="0.3">
      <c r="A66" s="1" t="s">
        <v>291</v>
      </c>
      <c r="B66" s="6">
        <v>12</v>
      </c>
      <c r="C66" s="6" t="s">
        <v>238</v>
      </c>
      <c r="D66" s="6" t="s">
        <v>238</v>
      </c>
      <c r="E66" s="6" t="s">
        <v>238</v>
      </c>
      <c r="F66" s="6" t="s">
        <v>238</v>
      </c>
      <c r="G66" s="6" t="s">
        <v>238</v>
      </c>
      <c r="H66" s="6" t="s">
        <v>238</v>
      </c>
      <c r="I66" s="6" t="s">
        <v>238</v>
      </c>
      <c r="J66" s="6" t="s">
        <v>238</v>
      </c>
      <c r="K66" s="6" t="s">
        <v>238</v>
      </c>
      <c r="L66" s="6" t="s">
        <v>238</v>
      </c>
      <c r="M66" s="6" t="s">
        <v>238</v>
      </c>
      <c r="N66" s="6" t="s">
        <v>238</v>
      </c>
      <c r="O66" s="6" t="s">
        <v>238</v>
      </c>
      <c r="P66" s="6"/>
      <c r="Q66" s="6"/>
      <c r="R66" s="6"/>
      <c r="S66" s="6"/>
      <c r="T66" s="6"/>
      <c r="U66" s="6"/>
      <c r="V66" s="6"/>
      <c r="W66" s="6"/>
      <c r="X66" s="6"/>
      <c r="Y66" s="6"/>
      <c r="Z66" s="6"/>
    </row>
    <row r="67" spans="1:26" x14ac:dyDescent="0.3">
      <c r="A67" s="1" t="s">
        <v>292</v>
      </c>
      <c r="B67" s="6">
        <v>12</v>
      </c>
      <c r="C67" s="6" t="s">
        <v>238</v>
      </c>
      <c r="D67" s="6" t="s">
        <v>238</v>
      </c>
      <c r="E67" s="6" t="s">
        <v>238</v>
      </c>
      <c r="F67" s="6" t="s">
        <v>238</v>
      </c>
      <c r="G67" s="6" t="s">
        <v>238</v>
      </c>
      <c r="H67" s="6" t="s">
        <v>238</v>
      </c>
      <c r="I67" s="6" t="s">
        <v>238</v>
      </c>
      <c r="J67" s="6" t="s">
        <v>238</v>
      </c>
      <c r="K67" s="6" t="s">
        <v>238</v>
      </c>
      <c r="L67" s="6" t="s">
        <v>238</v>
      </c>
      <c r="M67" s="6" t="s">
        <v>238</v>
      </c>
      <c r="N67" s="6" t="s">
        <v>244</v>
      </c>
      <c r="O67" s="6" t="s">
        <v>238</v>
      </c>
      <c r="P67" s="6"/>
      <c r="Q67" s="6"/>
      <c r="R67" s="6"/>
      <c r="S67" s="6"/>
      <c r="T67" s="6"/>
      <c r="U67" s="6"/>
      <c r="V67" s="6" t="s">
        <v>241</v>
      </c>
      <c r="W67" s="6" t="s">
        <v>245</v>
      </c>
      <c r="X67" s="6" t="s">
        <v>245</v>
      </c>
      <c r="Y67" s="6"/>
      <c r="Z67" s="6"/>
    </row>
    <row r="68" spans="1:26" x14ac:dyDescent="0.3">
      <c r="A68" s="1" t="s">
        <v>293</v>
      </c>
      <c r="B68" s="6">
        <v>12</v>
      </c>
      <c r="C68" s="6" t="s">
        <v>238</v>
      </c>
      <c r="D68" s="6" t="s">
        <v>238</v>
      </c>
      <c r="E68" s="6" t="s">
        <v>238</v>
      </c>
      <c r="F68" s="6" t="s">
        <v>238</v>
      </c>
      <c r="G68" s="6" t="s">
        <v>238</v>
      </c>
      <c r="H68" s="6" t="s">
        <v>238</v>
      </c>
      <c r="I68" s="6" t="s">
        <v>238</v>
      </c>
      <c r="J68" s="6" t="s">
        <v>238</v>
      </c>
      <c r="K68" s="6" t="s">
        <v>238</v>
      </c>
      <c r="L68" s="6" t="s">
        <v>238</v>
      </c>
      <c r="M68" s="6" t="s">
        <v>238</v>
      </c>
      <c r="N68" s="6" t="s">
        <v>239</v>
      </c>
      <c r="O68" s="6" t="s">
        <v>238</v>
      </c>
      <c r="P68" s="6"/>
      <c r="Q68" s="6"/>
      <c r="R68" s="6"/>
      <c r="S68" s="6" t="s">
        <v>241</v>
      </c>
      <c r="T68" s="6"/>
      <c r="U68" s="6"/>
      <c r="V68" s="6"/>
      <c r="W68" s="6" t="s">
        <v>241</v>
      </c>
      <c r="X68" s="6"/>
      <c r="Y68" s="6"/>
      <c r="Z68" s="6"/>
    </row>
    <row r="69" spans="1:26" x14ac:dyDescent="0.3">
      <c r="A69" s="1" t="s">
        <v>294</v>
      </c>
      <c r="B69" s="6">
        <v>12</v>
      </c>
      <c r="C69" s="6" t="s">
        <v>238</v>
      </c>
      <c r="D69" s="6" t="s">
        <v>238</v>
      </c>
      <c r="E69" s="6" t="s">
        <v>238</v>
      </c>
      <c r="F69" s="6" t="s">
        <v>238</v>
      </c>
      <c r="G69" s="6" t="s">
        <v>238</v>
      </c>
      <c r="H69" s="6" t="s">
        <v>238</v>
      </c>
      <c r="I69" s="6" t="s">
        <v>238</v>
      </c>
      <c r="J69" s="6" t="s">
        <v>238</v>
      </c>
      <c r="K69" s="6" t="s">
        <v>238</v>
      </c>
      <c r="L69" s="6" t="s">
        <v>238</v>
      </c>
      <c r="M69" s="6" t="s">
        <v>238</v>
      </c>
      <c r="N69" s="6" t="s">
        <v>238</v>
      </c>
      <c r="O69" s="6" t="s">
        <v>116</v>
      </c>
      <c r="P69" s="6"/>
      <c r="Q69" s="6"/>
      <c r="R69" s="6"/>
      <c r="S69" s="6"/>
      <c r="T69" s="6"/>
      <c r="U69" s="6"/>
      <c r="V69" s="6"/>
      <c r="W69" s="6"/>
      <c r="X69" s="6"/>
      <c r="Y69" s="6"/>
      <c r="Z69" s="6"/>
    </row>
    <row r="70" spans="1:26" x14ac:dyDescent="0.3">
      <c r="A70" s="1" t="s">
        <v>295</v>
      </c>
      <c r="B70" s="6">
        <v>12</v>
      </c>
      <c r="C70" s="6" t="s">
        <v>238</v>
      </c>
      <c r="D70" s="6" t="s">
        <v>238</v>
      </c>
      <c r="E70" s="6" t="s">
        <v>238</v>
      </c>
      <c r="F70" s="6" t="s">
        <v>238</v>
      </c>
      <c r="G70" s="6" t="s">
        <v>238</v>
      </c>
      <c r="H70" s="6" t="s">
        <v>238</v>
      </c>
      <c r="I70" s="6" t="s">
        <v>238</v>
      </c>
      <c r="J70" s="6" t="s">
        <v>238</v>
      </c>
      <c r="K70" s="6" t="s">
        <v>238</v>
      </c>
      <c r="L70" s="6" t="s">
        <v>238</v>
      </c>
      <c r="M70" s="6" t="s">
        <v>238</v>
      </c>
      <c r="N70" s="6" t="s">
        <v>238</v>
      </c>
      <c r="O70" s="6" t="s">
        <v>239</v>
      </c>
      <c r="P70" s="6"/>
      <c r="Q70" s="6"/>
      <c r="R70" s="6"/>
      <c r="S70" s="6" t="s">
        <v>241</v>
      </c>
      <c r="T70" s="6"/>
      <c r="U70" s="6"/>
      <c r="V70" s="6"/>
      <c r="W70" s="6"/>
      <c r="X70" s="6"/>
      <c r="Y70" s="6"/>
      <c r="Z70" s="6"/>
    </row>
    <row r="71" spans="1:26" x14ac:dyDescent="0.3">
      <c r="A71" s="1" t="s">
        <v>45</v>
      </c>
      <c r="B71" s="6">
        <v>12</v>
      </c>
      <c r="C71" s="6" t="s">
        <v>238</v>
      </c>
      <c r="D71" s="6" t="s">
        <v>238</v>
      </c>
      <c r="E71" s="6" t="s">
        <v>238</v>
      </c>
      <c r="F71" s="6" t="s">
        <v>238</v>
      </c>
      <c r="G71" s="6" t="s">
        <v>238</v>
      </c>
      <c r="H71" s="6" t="s">
        <v>238</v>
      </c>
      <c r="I71" s="6" t="s">
        <v>238</v>
      </c>
      <c r="J71" s="6" t="s">
        <v>238</v>
      </c>
      <c r="K71" s="6" t="s">
        <v>238</v>
      </c>
      <c r="L71" s="6" t="s">
        <v>238</v>
      </c>
      <c r="M71" s="6" t="s">
        <v>238</v>
      </c>
      <c r="N71" s="6" t="s">
        <v>238</v>
      </c>
      <c r="O71" s="6" t="s">
        <v>238</v>
      </c>
      <c r="P71" s="6"/>
      <c r="Q71" s="6"/>
      <c r="R71" s="6"/>
      <c r="S71" s="6"/>
      <c r="T71" s="6"/>
      <c r="U71" s="6"/>
      <c r="V71" s="6"/>
      <c r="W71" s="6"/>
      <c r="X71" s="6"/>
      <c r="Y71" s="6"/>
      <c r="Z71" s="6"/>
    </row>
    <row r="72" spans="1:26" x14ac:dyDescent="0.3">
      <c r="A72" s="1" t="s">
        <v>296</v>
      </c>
      <c r="B72" s="6">
        <v>12</v>
      </c>
      <c r="C72" s="6" t="s">
        <v>238</v>
      </c>
      <c r="D72" s="6" t="s">
        <v>238</v>
      </c>
      <c r="E72" s="6" t="s">
        <v>238</v>
      </c>
      <c r="F72" s="6" t="s">
        <v>238</v>
      </c>
      <c r="G72" s="6" t="s">
        <v>238</v>
      </c>
      <c r="H72" s="6" t="s">
        <v>238</v>
      </c>
      <c r="I72" s="6" t="s">
        <v>238</v>
      </c>
      <c r="J72" s="6" t="s">
        <v>238</v>
      </c>
      <c r="K72" s="6" t="s">
        <v>238</v>
      </c>
      <c r="L72" s="6" t="s">
        <v>238</v>
      </c>
      <c r="M72" s="6" t="s">
        <v>238</v>
      </c>
      <c r="N72" s="6" t="s">
        <v>238</v>
      </c>
      <c r="O72" s="6" t="s">
        <v>116</v>
      </c>
      <c r="P72" s="6"/>
      <c r="Q72" s="6"/>
      <c r="R72" s="6"/>
      <c r="S72" s="6"/>
      <c r="T72" s="6"/>
      <c r="U72" s="6"/>
      <c r="V72" s="6"/>
      <c r="W72" s="6"/>
      <c r="X72" s="6"/>
      <c r="Y72" s="6"/>
      <c r="Z72" s="6"/>
    </row>
    <row r="73" spans="1:26" x14ac:dyDescent="0.3">
      <c r="A73" s="1" t="s">
        <v>49</v>
      </c>
      <c r="B73" s="6">
        <v>12</v>
      </c>
      <c r="C73" s="6" t="s">
        <v>238</v>
      </c>
      <c r="D73" s="6" t="s">
        <v>238</v>
      </c>
      <c r="E73" s="6" t="s">
        <v>238</v>
      </c>
      <c r="F73" s="6" t="s">
        <v>238</v>
      </c>
      <c r="G73" s="6" t="s">
        <v>238</v>
      </c>
      <c r="H73" s="6" t="s">
        <v>238</v>
      </c>
      <c r="I73" s="6" t="s">
        <v>238</v>
      </c>
      <c r="J73" s="6" t="s">
        <v>238</v>
      </c>
      <c r="K73" s="6" t="s">
        <v>238</v>
      </c>
      <c r="L73" s="6" t="s">
        <v>238</v>
      </c>
      <c r="M73" s="6" t="s">
        <v>238</v>
      </c>
      <c r="N73" s="6" t="s">
        <v>238</v>
      </c>
      <c r="O73" s="6" t="s">
        <v>116</v>
      </c>
      <c r="P73" s="6"/>
      <c r="Q73" s="6"/>
      <c r="R73" s="6"/>
      <c r="S73" s="6"/>
      <c r="T73" s="6"/>
      <c r="U73" s="6"/>
      <c r="V73" s="6"/>
      <c r="W73" s="6"/>
      <c r="X73" s="6"/>
      <c r="Y73" s="6"/>
      <c r="Z73" s="6"/>
    </row>
    <row r="74" spans="1:26" x14ac:dyDescent="0.3">
      <c r="A74" s="1" t="s">
        <v>297</v>
      </c>
      <c r="B74" s="6">
        <v>12</v>
      </c>
      <c r="C74" s="6" t="s">
        <v>238</v>
      </c>
      <c r="D74" s="6" t="s">
        <v>238</v>
      </c>
      <c r="E74" s="6" t="s">
        <v>238</v>
      </c>
      <c r="F74" s="6" t="s">
        <v>238</v>
      </c>
      <c r="G74" s="6" t="s">
        <v>238</v>
      </c>
      <c r="H74" s="6" t="s">
        <v>238</v>
      </c>
      <c r="I74" s="6" t="s">
        <v>238</v>
      </c>
      <c r="J74" s="6" t="s">
        <v>238</v>
      </c>
      <c r="K74" s="6" t="s">
        <v>238</v>
      </c>
      <c r="L74" s="6" t="s">
        <v>238</v>
      </c>
      <c r="M74" s="6" t="s">
        <v>238</v>
      </c>
      <c r="N74" s="6" t="s">
        <v>238</v>
      </c>
      <c r="O74" s="6" t="s">
        <v>238</v>
      </c>
      <c r="P74" s="6"/>
      <c r="Q74" s="6"/>
      <c r="R74" s="6"/>
      <c r="S74" s="6"/>
      <c r="T74" s="6"/>
      <c r="U74" s="6"/>
      <c r="V74" s="6"/>
      <c r="W74" s="6"/>
      <c r="X74" s="6"/>
      <c r="Y74" s="6"/>
      <c r="Z74" s="6"/>
    </row>
    <row r="75" spans="1:26" x14ac:dyDescent="0.3">
      <c r="A75" s="1" t="s">
        <v>298</v>
      </c>
      <c r="B75" s="6">
        <v>12</v>
      </c>
      <c r="C75" s="6" t="s">
        <v>238</v>
      </c>
      <c r="D75" s="6" t="s">
        <v>238</v>
      </c>
      <c r="E75" s="6" t="s">
        <v>238</v>
      </c>
      <c r="F75" s="6" t="s">
        <v>238</v>
      </c>
      <c r="G75" s="6" t="s">
        <v>238</v>
      </c>
      <c r="H75" s="6" t="s">
        <v>238</v>
      </c>
      <c r="I75" s="6" t="s">
        <v>238</v>
      </c>
      <c r="J75" s="6" t="s">
        <v>238</v>
      </c>
      <c r="K75" s="6" t="s">
        <v>238</v>
      </c>
      <c r="L75" s="6" t="s">
        <v>238</v>
      </c>
      <c r="M75" s="6" t="s">
        <v>238</v>
      </c>
      <c r="N75" s="6" t="s">
        <v>241</v>
      </c>
      <c r="O75" s="6" t="s">
        <v>238</v>
      </c>
      <c r="P75" s="6" t="s">
        <v>241</v>
      </c>
      <c r="Q75" s="6"/>
      <c r="R75" s="6"/>
      <c r="S75" s="6"/>
      <c r="T75" s="6"/>
      <c r="U75" s="6"/>
      <c r="V75" s="6"/>
      <c r="W75" s="6"/>
      <c r="X75" s="6"/>
      <c r="Y75" s="6"/>
      <c r="Z75" s="6"/>
    </row>
    <row r="76" spans="1:26" x14ac:dyDescent="0.3">
      <c r="A76" s="1" t="s">
        <v>51</v>
      </c>
      <c r="B76" s="6">
        <v>12</v>
      </c>
      <c r="C76" s="6" t="s">
        <v>238</v>
      </c>
      <c r="D76" s="6" t="s">
        <v>238</v>
      </c>
      <c r="E76" s="6" t="s">
        <v>238</v>
      </c>
      <c r="F76" s="6" t="s">
        <v>238</v>
      </c>
      <c r="G76" s="6" t="s">
        <v>238</v>
      </c>
      <c r="H76" s="6" t="s">
        <v>238</v>
      </c>
      <c r="I76" s="6" t="s">
        <v>238</v>
      </c>
      <c r="J76" s="6" t="s">
        <v>238</v>
      </c>
      <c r="K76" s="6" t="s">
        <v>238</v>
      </c>
      <c r="L76" s="6" t="s">
        <v>238</v>
      </c>
      <c r="M76" s="6" t="s">
        <v>238</v>
      </c>
      <c r="N76" s="6" t="s">
        <v>241</v>
      </c>
      <c r="O76" s="6" t="s">
        <v>238</v>
      </c>
      <c r="P76" s="6" t="s">
        <v>241</v>
      </c>
      <c r="Q76" s="6"/>
      <c r="R76" s="6"/>
      <c r="S76" s="6"/>
      <c r="T76" s="6"/>
      <c r="U76" s="6"/>
      <c r="V76" s="6"/>
      <c r="W76" s="6"/>
      <c r="X76" s="6"/>
      <c r="Y76" s="6"/>
      <c r="Z76" s="6"/>
    </row>
    <row r="77" spans="1:26" x14ac:dyDescent="0.3">
      <c r="A77" s="1" t="s">
        <v>299</v>
      </c>
      <c r="B77" s="6">
        <v>12</v>
      </c>
      <c r="C77" s="6" t="s">
        <v>238</v>
      </c>
      <c r="D77" s="6" t="s">
        <v>238</v>
      </c>
      <c r="E77" s="6" t="s">
        <v>238</v>
      </c>
      <c r="F77" s="6" t="s">
        <v>238</v>
      </c>
      <c r="G77" s="6" t="s">
        <v>238</v>
      </c>
      <c r="H77" s="6" t="s">
        <v>238</v>
      </c>
      <c r="I77" s="6" t="s">
        <v>238</v>
      </c>
      <c r="J77" s="6" t="s">
        <v>238</v>
      </c>
      <c r="K77" s="6" t="s">
        <v>238</v>
      </c>
      <c r="L77" s="6" t="s">
        <v>238</v>
      </c>
      <c r="M77" s="6" t="s">
        <v>238</v>
      </c>
      <c r="N77" s="6" t="s">
        <v>238</v>
      </c>
      <c r="O77" s="6" t="s">
        <v>116</v>
      </c>
      <c r="P77" s="6"/>
      <c r="Q77" s="6"/>
      <c r="R77" s="6"/>
      <c r="S77" s="6"/>
      <c r="T77" s="6"/>
      <c r="U77" s="6"/>
      <c r="V77" s="6"/>
      <c r="W77" s="6"/>
      <c r="X77" s="6"/>
      <c r="Y77" s="6"/>
      <c r="Z77" s="6"/>
    </row>
    <row r="78" spans="1:26" x14ac:dyDescent="0.3">
      <c r="A78" s="1" t="s">
        <v>300</v>
      </c>
      <c r="B78" s="6">
        <v>12</v>
      </c>
      <c r="C78" s="6" t="s">
        <v>238</v>
      </c>
      <c r="D78" s="6" t="s">
        <v>238</v>
      </c>
      <c r="E78" s="6" t="s">
        <v>238</v>
      </c>
      <c r="F78" s="6" t="s">
        <v>238</v>
      </c>
      <c r="G78" s="6" t="s">
        <v>238</v>
      </c>
      <c r="H78" s="6" t="s">
        <v>238</v>
      </c>
      <c r="I78" s="6" t="s">
        <v>238</v>
      </c>
      <c r="J78" s="6" t="s">
        <v>238</v>
      </c>
      <c r="K78" s="6" t="s">
        <v>238</v>
      </c>
      <c r="L78" s="6" t="s">
        <v>238</v>
      </c>
      <c r="M78" s="6" t="s">
        <v>238</v>
      </c>
      <c r="N78" s="6" t="s">
        <v>238</v>
      </c>
      <c r="O78" s="6" t="s">
        <v>239</v>
      </c>
      <c r="P78" s="6"/>
      <c r="Q78" s="6"/>
      <c r="R78" s="6"/>
      <c r="S78" s="6"/>
      <c r="T78" s="6"/>
      <c r="U78" s="6"/>
      <c r="V78" s="6"/>
      <c r="W78" s="6"/>
      <c r="X78" s="6"/>
      <c r="Y78" s="6"/>
      <c r="Z78" s="6"/>
    </row>
    <row r="79" spans="1:26" x14ac:dyDescent="0.3">
      <c r="A79" s="1" t="s">
        <v>301</v>
      </c>
      <c r="B79" s="6">
        <v>12</v>
      </c>
      <c r="C79" s="6" t="s">
        <v>238</v>
      </c>
      <c r="D79" s="6" t="s">
        <v>238</v>
      </c>
      <c r="E79" s="6" t="s">
        <v>238</v>
      </c>
      <c r="F79" s="6" t="s">
        <v>238</v>
      </c>
      <c r="G79" s="6" t="s">
        <v>238</v>
      </c>
      <c r="H79" s="6" t="s">
        <v>238</v>
      </c>
      <c r="I79" s="6" t="s">
        <v>238</v>
      </c>
      <c r="J79" s="6" t="s">
        <v>238</v>
      </c>
      <c r="K79" s="6" t="s">
        <v>238</v>
      </c>
      <c r="L79" s="6" t="s">
        <v>238</v>
      </c>
      <c r="M79" s="6" t="s">
        <v>238</v>
      </c>
      <c r="N79" s="6" t="s">
        <v>241</v>
      </c>
      <c r="O79" s="6" t="s">
        <v>238</v>
      </c>
      <c r="P79" s="6"/>
      <c r="Q79" s="6" t="s">
        <v>241</v>
      </c>
      <c r="R79" s="6"/>
      <c r="S79" s="6"/>
      <c r="T79" s="6"/>
      <c r="U79" s="6"/>
      <c r="V79" s="6"/>
      <c r="W79" s="6"/>
      <c r="X79" s="6"/>
      <c r="Y79" s="6"/>
      <c r="Z79" s="6"/>
    </row>
    <row r="80" spans="1:26" x14ac:dyDescent="0.3">
      <c r="A80" s="1" t="s">
        <v>46</v>
      </c>
      <c r="B80" s="6">
        <v>12</v>
      </c>
      <c r="C80" s="6" t="s">
        <v>238</v>
      </c>
      <c r="D80" s="6" t="s">
        <v>238</v>
      </c>
      <c r="E80" s="6" t="s">
        <v>238</v>
      </c>
      <c r="F80" s="6" t="s">
        <v>238</v>
      </c>
      <c r="G80" s="6" t="s">
        <v>238</v>
      </c>
      <c r="H80" s="6" t="s">
        <v>238</v>
      </c>
      <c r="I80" s="6" t="s">
        <v>238</v>
      </c>
      <c r="J80" s="6" t="s">
        <v>238</v>
      </c>
      <c r="K80" s="6" t="s">
        <v>238</v>
      </c>
      <c r="L80" s="6" t="s">
        <v>238</v>
      </c>
      <c r="M80" s="6" t="s">
        <v>238</v>
      </c>
      <c r="N80" s="6" t="s">
        <v>238</v>
      </c>
      <c r="O80" s="6" t="s">
        <v>238</v>
      </c>
      <c r="P80" s="6"/>
      <c r="Q80" s="6"/>
      <c r="R80" s="6"/>
      <c r="S80" s="6" t="s">
        <v>241</v>
      </c>
      <c r="T80" s="6"/>
      <c r="U80" s="6"/>
      <c r="V80" s="6"/>
      <c r="W80" s="6"/>
      <c r="X80" s="6"/>
      <c r="Y80" s="6"/>
      <c r="Z80" s="6"/>
    </row>
    <row r="81" spans="1:26" x14ac:dyDescent="0.3">
      <c r="A81" s="1" t="s">
        <v>302</v>
      </c>
      <c r="B81" s="6">
        <v>12</v>
      </c>
      <c r="C81" s="6" t="s">
        <v>238</v>
      </c>
      <c r="D81" s="6" t="s">
        <v>238</v>
      </c>
      <c r="E81" s="6" t="s">
        <v>238</v>
      </c>
      <c r="F81" s="6" t="s">
        <v>238</v>
      </c>
      <c r="G81" s="6" t="s">
        <v>238</v>
      </c>
      <c r="H81" s="6" t="s">
        <v>238</v>
      </c>
      <c r="I81" s="6" t="s">
        <v>238</v>
      </c>
      <c r="J81" s="6" t="s">
        <v>238</v>
      </c>
      <c r="K81" s="6" t="s">
        <v>238</v>
      </c>
      <c r="L81" s="6" t="s">
        <v>238</v>
      </c>
      <c r="M81" s="6" t="s">
        <v>238</v>
      </c>
      <c r="N81" s="6" t="s">
        <v>238</v>
      </c>
      <c r="O81" s="6" t="s">
        <v>238</v>
      </c>
      <c r="P81" s="6"/>
      <c r="Q81" s="6"/>
      <c r="R81" s="6"/>
      <c r="S81" s="6"/>
      <c r="T81" s="6"/>
      <c r="U81" s="6"/>
      <c r="V81" s="6"/>
      <c r="W81" s="6"/>
      <c r="X81" s="6"/>
      <c r="Y81" s="6"/>
      <c r="Z81" s="6"/>
    </row>
    <row r="82" spans="1:26" x14ac:dyDescent="0.3">
      <c r="A82" s="1" t="s">
        <v>303</v>
      </c>
      <c r="B82" s="6">
        <v>12</v>
      </c>
      <c r="C82" s="6" t="s">
        <v>238</v>
      </c>
      <c r="D82" s="6" t="s">
        <v>238</v>
      </c>
      <c r="E82" s="6" t="s">
        <v>238</v>
      </c>
      <c r="F82" s="6" t="s">
        <v>238</v>
      </c>
      <c r="G82" s="6" t="s">
        <v>238</v>
      </c>
      <c r="H82" s="6" t="s">
        <v>238</v>
      </c>
      <c r="I82" s="6" t="s">
        <v>238</v>
      </c>
      <c r="J82" s="6" t="s">
        <v>238</v>
      </c>
      <c r="K82" s="6" t="s">
        <v>238</v>
      </c>
      <c r="L82" s="6" t="s">
        <v>238</v>
      </c>
      <c r="M82" s="6" t="s">
        <v>238</v>
      </c>
      <c r="N82" s="6" t="s">
        <v>238</v>
      </c>
      <c r="O82" s="6" t="s">
        <v>116</v>
      </c>
      <c r="P82" s="6"/>
      <c r="Q82" s="6"/>
      <c r="R82" s="6"/>
      <c r="S82" s="6"/>
      <c r="T82" s="6"/>
      <c r="U82" s="6"/>
      <c r="V82" s="6"/>
      <c r="W82" s="6"/>
      <c r="X82" s="6"/>
      <c r="Y82" s="6"/>
      <c r="Z82" s="6"/>
    </row>
    <row r="83" spans="1:26" x14ac:dyDescent="0.3">
      <c r="A83" s="1" t="s">
        <v>304</v>
      </c>
      <c r="B83" s="6">
        <v>12</v>
      </c>
      <c r="C83" s="6" t="s">
        <v>238</v>
      </c>
      <c r="D83" s="6" t="s">
        <v>238</v>
      </c>
      <c r="E83" s="6" t="s">
        <v>238</v>
      </c>
      <c r="F83" s="6" t="s">
        <v>238</v>
      </c>
      <c r="G83" s="6" t="s">
        <v>238</v>
      </c>
      <c r="H83" s="6" t="s">
        <v>238</v>
      </c>
      <c r="I83" s="6" t="s">
        <v>238</v>
      </c>
      <c r="J83" s="6" t="s">
        <v>238</v>
      </c>
      <c r="K83" s="6" t="s">
        <v>238</v>
      </c>
      <c r="L83" s="6" t="s">
        <v>238</v>
      </c>
      <c r="M83" s="6" t="s">
        <v>238</v>
      </c>
      <c r="N83" s="6" t="s">
        <v>238</v>
      </c>
      <c r="O83" s="6" t="s">
        <v>241</v>
      </c>
      <c r="P83" s="6" t="s">
        <v>241</v>
      </c>
      <c r="Q83" s="6"/>
      <c r="R83" s="6"/>
      <c r="S83" s="6"/>
      <c r="T83" s="6"/>
      <c r="U83" s="6"/>
      <c r="V83" s="6"/>
      <c r="W83" s="6"/>
      <c r="X83" s="6"/>
      <c r="Y83" s="6"/>
      <c r="Z83" s="6"/>
    </row>
    <row r="84" spans="1:26" x14ac:dyDescent="0.3">
      <c r="A84" s="1" t="s">
        <v>305</v>
      </c>
      <c r="B84" s="6">
        <v>13</v>
      </c>
      <c r="C84" s="6" t="s">
        <v>238</v>
      </c>
      <c r="D84" s="6" t="s">
        <v>238</v>
      </c>
      <c r="E84" s="6" t="s">
        <v>238</v>
      </c>
      <c r="F84" s="6" t="s">
        <v>238</v>
      </c>
      <c r="G84" s="6" t="s">
        <v>238</v>
      </c>
      <c r="H84" s="6" t="s">
        <v>238</v>
      </c>
      <c r="I84" s="6" t="s">
        <v>238</v>
      </c>
      <c r="J84" s="6" t="s">
        <v>238</v>
      </c>
      <c r="K84" s="6" t="s">
        <v>238</v>
      </c>
      <c r="L84" s="6" t="s">
        <v>238</v>
      </c>
      <c r="M84" s="6" t="s">
        <v>238</v>
      </c>
      <c r="N84" s="6" t="s">
        <v>238</v>
      </c>
      <c r="O84" s="6" t="s">
        <v>241</v>
      </c>
      <c r="P84" s="6"/>
      <c r="Q84" s="6" t="s">
        <v>239</v>
      </c>
      <c r="R84" s="6"/>
      <c r="S84" s="6"/>
      <c r="T84" s="6"/>
      <c r="U84" s="6"/>
      <c r="V84" s="6"/>
      <c r="W84" s="6"/>
      <c r="X84" s="6"/>
      <c r="Y84" s="6"/>
      <c r="Z84" s="6"/>
    </row>
    <row r="85" spans="1:26" x14ac:dyDescent="0.3">
      <c r="A85" s="1" t="s">
        <v>306</v>
      </c>
      <c r="B85" s="6">
        <v>13</v>
      </c>
      <c r="C85" s="6" t="s">
        <v>238</v>
      </c>
      <c r="D85" s="6" t="s">
        <v>238</v>
      </c>
      <c r="E85" s="6" t="s">
        <v>238</v>
      </c>
      <c r="F85" s="6" t="s">
        <v>238</v>
      </c>
      <c r="G85" s="6" t="s">
        <v>238</v>
      </c>
      <c r="H85" s="6" t="s">
        <v>238</v>
      </c>
      <c r="I85" s="6" t="s">
        <v>238</v>
      </c>
      <c r="J85" s="6" t="s">
        <v>238</v>
      </c>
      <c r="K85" s="6" t="s">
        <v>238</v>
      </c>
      <c r="L85" s="6" t="s">
        <v>238</v>
      </c>
      <c r="M85" s="6" t="s">
        <v>238</v>
      </c>
      <c r="N85" s="6" t="s">
        <v>238</v>
      </c>
      <c r="O85" s="6" t="s">
        <v>238</v>
      </c>
      <c r="P85" s="6"/>
      <c r="Q85" s="6" t="s">
        <v>241</v>
      </c>
      <c r="R85" s="6" t="s">
        <v>241</v>
      </c>
      <c r="S85" s="6"/>
      <c r="T85" s="6"/>
      <c r="U85" s="6"/>
      <c r="V85" s="6"/>
      <c r="W85" s="6"/>
      <c r="X85" s="6"/>
      <c r="Y85" s="6"/>
      <c r="Z85" s="6"/>
    </row>
    <row r="86" spans="1:26" x14ac:dyDescent="0.3">
      <c r="A86" s="1" t="s">
        <v>76</v>
      </c>
      <c r="B86" s="6">
        <v>13</v>
      </c>
      <c r="C86" s="6" t="s">
        <v>238</v>
      </c>
      <c r="D86" s="6" t="s">
        <v>238</v>
      </c>
      <c r="E86" s="6" t="s">
        <v>238</v>
      </c>
      <c r="F86" s="6" t="s">
        <v>238</v>
      </c>
      <c r="G86" s="6" t="s">
        <v>238</v>
      </c>
      <c r="H86" s="6" t="s">
        <v>238</v>
      </c>
      <c r="I86" s="6" t="s">
        <v>238</v>
      </c>
      <c r="J86" s="6" t="s">
        <v>238</v>
      </c>
      <c r="K86" s="6" t="s">
        <v>238</v>
      </c>
      <c r="L86" s="6" t="s">
        <v>238</v>
      </c>
      <c r="M86" s="6" t="s">
        <v>238</v>
      </c>
      <c r="N86" s="6" t="s">
        <v>238</v>
      </c>
      <c r="O86" s="6" t="s">
        <v>239</v>
      </c>
      <c r="P86" s="6"/>
      <c r="Q86" s="6"/>
      <c r="R86" s="6"/>
      <c r="S86" s="6"/>
      <c r="T86" s="6"/>
      <c r="U86" s="6"/>
      <c r="V86" s="6"/>
      <c r="W86" s="6" t="s">
        <v>241</v>
      </c>
      <c r="X86" s="6"/>
      <c r="Y86" s="6"/>
      <c r="Z86" s="6"/>
    </row>
    <row r="87" spans="1:26" x14ac:dyDescent="0.3">
      <c r="A87" s="1" t="s">
        <v>307</v>
      </c>
      <c r="B87" s="6">
        <v>13</v>
      </c>
      <c r="C87" s="6" t="s">
        <v>238</v>
      </c>
      <c r="D87" s="6" t="s">
        <v>238</v>
      </c>
      <c r="E87" s="6" t="s">
        <v>238</v>
      </c>
      <c r="F87" s="6" t="s">
        <v>238</v>
      </c>
      <c r="G87" s="6" t="s">
        <v>238</v>
      </c>
      <c r="H87" s="6" t="s">
        <v>238</v>
      </c>
      <c r="I87" s="6" t="s">
        <v>238</v>
      </c>
      <c r="J87" s="6" t="s">
        <v>238</v>
      </c>
      <c r="K87" s="6" t="s">
        <v>238</v>
      </c>
      <c r="L87" s="6" t="s">
        <v>238</v>
      </c>
      <c r="M87" s="6" t="s">
        <v>238</v>
      </c>
      <c r="N87" s="6" t="s">
        <v>238</v>
      </c>
      <c r="O87" s="6" t="s">
        <v>116</v>
      </c>
      <c r="P87" s="6"/>
      <c r="Q87" s="6"/>
      <c r="R87" s="6"/>
      <c r="S87" s="6"/>
      <c r="T87" s="6"/>
      <c r="U87" s="6"/>
      <c r="V87" s="6"/>
      <c r="W87" s="6"/>
      <c r="X87" s="6"/>
      <c r="Y87" s="6"/>
      <c r="Z87" s="6"/>
    </row>
    <row r="88" spans="1:26" x14ac:dyDescent="0.3">
      <c r="A88" s="1" t="s">
        <v>308</v>
      </c>
      <c r="B88" s="6">
        <v>13</v>
      </c>
      <c r="C88" s="6" t="s">
        <v>238</v>
      </c>
      <c r="D88" s="6" t="s">
        <v>238</v>
      </c>
      <c r="E88" s="6" t="s">
        <v>238</v>
      </c>
      <c r="F88" s="6" t="s">
        <v>238</v>
      </c>
      <c r="G88" s="6" t="s">
        <v>238</v>
      </c>
      <c r="H88" s="6" t="s">
        <v>238</v>
      </c>
      <c r="I88" s="6" t="s">
        <v>238</v>
      </c>
      <c r="J88" s="6" t="s">
        <v>238</v>
      </c>
      <c r="K88" s="6" t="s">
        <v>238</v>
      </c>
      <c r="L88" s="6" t="s">
        <v>238</v>
      </c>
      <c r="M88" s="6" t="s">
        <v>238</v>
      </c>
      <c r="N88" s="6" t="s">
        <v>238</v>
      </c>
      <c r="O88" s="6" t="s">
        <v>239</v>
      </c>
      <c r="P88" s="6"/>
      <c r="Q88" s="6"/>
      <c r="R88" s="6"/>
      <c r="S88" s="6"/>
      <c r="T88" s="6" t="s">
        <v>241</v>
      </c>
      <c r="U88" s="6"/>
      <c r="V88" s="6"/>
      <c r="W88" s="6"/>
      <c r="X88" s="6"/>
      <c r="Y88" s="6"/>
      <c r="Z88" s="6"/>
    </row>
    <row r="89" spans="1:26" x14ac:dyDescent="0.3">
      <c r="A89" s="1" t="s">
        <v>309</v>
      </c>
      <c r="B89" s="6">
        <v>13</v>
      </c>
      <c r="C89" s="6" t="s">
        <v>238</v>
      </c>
      <c r="D89" s="6" t="s">
        <v>238</v>
      </c>
      <c r="E89" s="6" t="s">
        <v>238</v>
      </c>
      <c r="F89" s="6" t="s">
        <v>238</v>
      </c>
      <c r="G89" s="6" t="s">
        <v>245</v>
      </c>
      <c r="H89" s="6" t="s">
        <v>245</v>
      </c>
      <c r="I89" s="6" t="s">
        <v>245</v>
      </c>
      <c r="J89" s="6" t="s">
        <v>238</v>
      </c>
      <c r="K89" s="6" t="s">
        <v>244</v>
      </c>
      <c r="L89" s="6" t="s">
        <v>245</v>
      </c>
      <c r="M89" s="6" t="s">
        <v>245</v>
      </c>
      <c r="N89" s="6" t="s">
        <v>238</v>
      </c>
      <c r="O89" s="6" t="s">
        <v>245</v>
      </c>
      <c r="P89" s="6"/>
      <c r="Q89" s="6"/>
      <c r="R89" s="6"/>
      <c r="S89" s="6"/>
      <c r="T89" s="6"/>
      <c r="U89" s="6"/>
      <c r="V89" s="6"/>
      <c r="W89" s="6"/>
      <c r="X89" s="6"/>
      <c r="Y89" s="6"/>
      <c r="Z89" s="6"/>
    </row>
    <row r="90" spans="1:26" x14ac:dyDescent="0.3">
      <c r="A90" s="1" t="s">
        <v>310</v>
      </c>
      <c r="B90" s="6">
        <v>13</v>
      </c>
      <c r="C90" s="6" t="s">
        <v>238</v>
      </c>
      <c r="D90" s="6" t="s">
        <v>238</v>
      </c>
      <c r="E90" s="6" t="s">
        <v>238</v>
      </c>
      <c r="F90" s="6" t="s">
        <v>238</v>
      </c>
      <c r="G90" s="6" t="s">
        <v>238</v>
      </c>
      <c r="H90" s="6" t="s">
        <v>238</v>
      </c>
      <c r="I90" s="6" t="s">
        <v>238</v>
      </c>
      <c r="J90" s="6" t="s">
        <v>238</v>
      </c>
      <c r="K90" s="6" t="s">
        <v>238</v>
      </c>
      <c r="L90" s="6" t="s">
        <v>238</v>
      </c>
      <c r="M90" s="6" t="s">
        <v>238</v>
      </c>
      <c r="N90" s="6" t="s">
        <v>238</v>
      </c>
      <c r="O90" s="6" t="s">
        <v>241</v>
      </c>
      <c r="P90" s="6"/>
      <c r="Q90" s="6"/>
      <c r="R90" s="6"/>
      <c r="S90" s="6"/>
      <c r="T90" s="6"/>
      <c r="U90" s="6"/>
      <c r="V90" s="6"/>
      <c r="W90" s="6"/>
      <c r="X90" s="6"/>
      <c r="Y90" s="6"/>
      <c r="Z90" s="6"/>
    </row>
    <row r="91" spans="1:26" x14ac:dyDescent="0.3">
      <c r="A91" s="1" t="s">
        <v>311</v>
      </c>
      <c r="B91" s="6">
        <v>13</v>
      </c>
      <c r="C91" s="6" t="s">
        <v>238</v>
      </c>
      <c r="D91" s="6" t="s">
        <v>238</v>
      </c>
      <c r="E91" s="6" t="s">
        <v>238</v>
      </c>
      <c r="F91" s="6" t="s">
        <v>238</v>
      </c>
      <c r="G91" s="6" t="s">
        <v>238</v>
      </c>
      <c r="H91" s="6" t="s">
        <v>238</v>
      </c>
      <c r="I91" s="6" t="s">
        <v>238</v>
      </c>
      <c r="J91" s="6" t="s">
        <v>238</v>
      </c>
      <c r="K91" s="6" t="s">
        <v>238</v>
      </c>
      <c r="L91" s="6" t="s">
        <v>238</v>
      </c>
      <c r="M91" s="6" t="s">
        <v>238</v>
      </c>
      <c r="N91" s="6" t="s">
        <v>238</v>
      </c>
      <c r="O91" s="6" t="s">
        <v>116</v>
      </c>
      <c r="P91" s="6"/>
      <c r="Q91" s="6"/>
      <c r="R91" s="6"/>
      <c r="S91" s="6"/>
      <c r="T91" s="6"/>
      <c r="U91" s="6"/>
      <c r="V91" s="6"/>
      <c r="W91" s="6"/>
      <c r="X91" s="6"/>
      <c r="Y91" s="6"/>
      <c r="Z91" s="6"/>
    </row>
    <row r="92" spans="1:26" x14ac:dyDescent="0.3">
      <c r="A92" s="1" t="s">
        <v>312</v>
      </c>
      <c r="B92" s="6">
        <v>13</v>
      </c>
      <c r="C92" s="6" t="s">
        <v>238</v>
      </c>
      <c r="D92" s="6" t="s">
        <v>238</v>
      </c>
      <c r="E92" s="6" t="s">
        <v>239</v>
      </c>
      <c r="F92" s="6" t="s">
        <v>238</v>
      </c>
      <c r="G92" s="6" t="s">
        <v>238</v>
      </c>
      <c r="H92" s="6" t="s">
        <v>238</v>
      </c>
      <c r="I92" s="6" t="s">
        <v>238</v>
      </c>
      <c r="J92" s="6" t="s">
        <v>241</v>
      </c>
      <c r="K92" s="6" t="s">
        <v>239</v>
      </c>
      <c r="L92" s="6" t="s">
        <v>238</v>
      </c>
      <c r="M92" s="6" t="s">
        <v>238</v>
      </c>
      <c r="N92" s="6" t="s">
        <v>238</v>
      </c>
      <c r="O92" s="6" t="s">
        <v>238</v>
      </c>
      <c r="P92" s="6"/>
      <c r="Q92" s="6" t="s">
        <v>244</v>
      </c>
      <c r="R92" s="6"/>
      <c r="S92" s="6"/>
      <c r="T92" s="6"/>
      <c r="U92" s="6"/>
      <c r="V92" s="6"/>
      <c r="W92" s="6"/>
      <c r="X92" s="6"/>
      <c r="Y92" s="6"/>
      <c r="Z92" s="6"/>
    </row>
    <row r="93" spans="1:26" x14ac:dyDescent="0.3">
      <c r="A93" s="1" t="s">
        <v>313</v>
      </c>
      <c r="B93" s="6">
        <v>13</v>
      </c>
      <c r="C93" s="6" t="s">
        <v>238</v>
      </c>
      <c r="D93" s="6" t="s">
        <v>238</v>
      </c>
      <c r="E93" s="6" t="s">
        <v>238</v>
      </c>
      <c r="F93" s="6" t="s">
        <v>238</v>
      </c>
      <c r="G93" s="6" t="s">
        <v>238</v>
      </c>
      <c r="H93" s="6" t="s">
        <v>238</v>
      </c>
      <c r="I93" s="6" t="s">
        <v>238</v>
      </c>
      <c r="J93" s="6" t="s">
        <v>238</v>
      </c>
      <c r="K93" s="6" t="s">
        <v>238</v>
      </c>
      <c r="L93" s="6" t="s">
        <v>238</v>
      </c>
      <c r="M93" s="6" t="s">
        <v>238</v>
      </c>
      <c r="N93" s="6" t="s">
        <v>238</v>
      </c>
      <c r="O93" s="6" t="s">
        <v>116</v>
      </c>
      <c r="P93" s="6"/>
      <c r="Q93" s="6"/>
      <c r="R93" s="6"/>
      <c r="S93" s="6"/>
      <c r="T93" s="6"/>
      <c r="U93" s="6"/>
      <c r="V93" s="6"/>
      <c r="W93" s="6"/>
      <c r="X93" s="6"/>
      <c r="Y93" s="6"/>
      <c r="Z93" s="6"/>
    </row>
    <row r="94" spans="1:26" x14ac:dyDescent="0.3">
      <c r="A94" s="1" t="s">
        <v>314</v>
      </c>
      <c r="B94" s="6">
        <v>13</v>
      </c>
      <c r="C94" s="6" t="s">
        <v>238</v>
      </c>
      <c r="D94" s="6" t="s">
        <v>238</v>
      </c>
      <c r="E94" s="6" t="s">
        <v>238</v>
      </c>
      <c r="F94" s="6" t="s">
        <v>238</v>
      </c>
      <c r="G94" s="6" t="s">
        <v>238</v>
      </c>
      <c r="H94" s="6" t="s">
        <v>238</v>
      </c>
      <c r="I94" s="6" t="s">
        <v>238</v>
      </c>
      <c r="J94" s="6" t="s">
        <v>238</v>
      </c>
      <c r="K94" s="6" t="s">
        <v>238</v>
      </c>
      <c r="L94" s="6" t="s">
        <v>238</v>
      </c>
      <c r="M94" s="6" t="s">
        <v>238</v>
      </c>
      <c r="N94" s="6" t="s">
        <v>238</v>
      </c>
      <c r="O94" s="6" t="s">
        <v>241</v>
      </c>
      <c r="P94" s="6"/>
      <c r="Q94" s="6"/>
      <c r="R94" s="6"/>
      <c r="S94" s="6"/>
      <c r="T94" s="6"/>
      <c r="U94" s="6"/>
      <c r="V94" s="6"/>
      <c r="W94" s="6"/>
      <c r="X94" s="6"/>
      <c r="Y94" s="6"/>
      <c r="Z94" s="6"/>
    </row>
    <row r="95" spans="1:26" x14ac:dyDescent="0.3">
      <c r="A95" s="1" t="s">
        <v>315</v>
      </c>
      <c r="B95" s="6">
        <v>13</v>
      </c>
      <c r="C95" s="6" t="s">
        <v>238</v>
      </c>
      <c r="D95" s="6" t="s">
        <v>238</v>
      </c>
      <c r="E95" s="6" t="s">
        <v>238</v>
      </c>
      <c r="F95" s="6" t="s">
        <v>238</v>
      </c>
      <c r="G95" s="6" t="s">
        <v>238</v>
      </c>
      <c r="H95" s="6" t="s">
        <v>238</v>
      </c>
      <c r="I95" s="6" t="s">
        <v>238</v>
      </c>
      <c r="J95" s="6" t="s">
        <v>238</v>
      </c>
      <c r="K95" s="6" t="s">
        <v>238</v>
      </c>
      <c r="L95" s="6" t="s">
        <v>238</v>
      </c>
      <c r="M95" s="6" t="s">
        <v>238</v>
      </c>
      <c r="N95" s="6" t="s">
        <v>238</v>
      </c>
      <c r="O95" s="6" t="s">
        <v>241</v>
      </c>
      <c r="P95" s="6"/>
      <c r="Q95" s="6"/>
      <c r="R95" s="6"/>
      <c r="S95" s="6"/>
      <c r="T95" s="6"/>
      <c r="U95" s="6"/>
      <c r="V95" s="6"/>
      <c r="W95" s="6"/>
      <c r="X95" s="6"/>
      <c r="Y95" s="6"/>
      <c r="Z95" s="6"/>
    </row>
    <row r="96" spans="1:26" x14ac:dyDescent="0.3">
      <c r="A96" s="1" t="s">
        <v>316</v>
      </c>
      <c r="B96" s="6">
        <v>13</v>
      </c>
      <c r="C96" s="6" t="s">
        <v>238</v>
      </c>
      <c r="D96" s="6" t="s">
        <v>238</v>
      </c>
      <c r="E96" s="6" t="s">
        <v>238</v>
      </c>
      <c r="F96" s="6" t="s">
        <v>238</v>
      </c>
      <c r="G96" s="6" t="s">
        <v>238</v>
      </c>
      <c r="H96" s="6" t="s">
        <v>238</v>
      </c>
      <c r="I96" s="6" t="s">
        <v>238</v>
      </c>
      <c r="J96" s="6" t="s">
        <v>238</v>
      </c>
      <c r="K96" s="6" t="s">
        <v>238</v>
      </c>
      <c r="L96" s="6" t="s">
        <v>238</v>
      </c>
      <c r="M96" s="6" t="s">
        <v>238</v>
      </c>
      <c r="N96" s="6" t="s">
        <v>238</v>
      </c>
      <c r="O96" s="6" t="s">
        <v>238</v>
      </c>
      <c r="P96" s="6"/>
      <c r="Q96" s="6"/>
      <c r="R96" s="6"/>
      <c r="S96" s="6" t="s">
        <v>116</v>
      </c>
      <c r="T96" s="6"/>
      <c r="U96" s="6"/>
      <c r="V96" s="6"/>
      <c r="W96" s="6"/>
      <c r="X96" s="6"/>
      <c r="Y96" s="6"/>
      <c r="Z96" s="6"/>
    </row>
    <row r="97" spans="1:26" x14ac:dyDescent="0.3">
      <c r="A97" s="1" t="s">
        <v>317</v>
      </c>
      <c r="B97" s="6">
        <v>13</v>
      </c>
      <c r="C97" s="6" t="s">
        <v>238</v>
      </c>
      <c r="D97" s="6" t="s">
        <v>238</v>
      </c>
      <c r="E97" s="6" t="s">
        <v>238</v>
      </c>
      <c r="F97" s="6" t="s">
        <v>238</v>
      </c>
      <c r="G97" s="6" t="s">
        <v>238</v>
      </c>
      <c r="H97" s="6" t="s">
        <v>238</v>
      </c>
      <c r="I97" s="6" t="s">
        <v>238</v>
      </c>
      <c r="J97" s="6" t="s">
        <v>238</v>
      </c>
      <c r="K97" s="6" t="s">
        <v>238</v>
      </c>
      <c r="L97" s="6" t="s">
        <v>238</v>
      </c>
      <c r="M97" s="6" t="s">
        <v>238</v>
      </c>
      <c r="N97" s="6" t="s">
        <v>238</v>
      </c>
      <c r="O97" s="6" t="s">
        <v>241</v>
      </c>
      <c r="P97" s="6"/>
      <c r="Q97" s="6" t="s">
        <v>241</v>
      </c>
      <c r="R97" s="6"/>
      <c r="S97" s="6"/>
      <c r="T97" s="6"/>
      <c r="U97" s="6"/>
      <c r="V97" s="6"/>
      <c r="W97" s="6"/>
      <c r="X97" s="6"/>
      <c r="Y97" s="6"/>
      <c r="Z97" s="6"/>
    </row>
    <row r="98" spans="1:26" x14ac:dyDescent="0.3">
      <c r="A98" s="1" t="s">
        <v>57</v>
      </c>
      <c r="B98" s="6">
        <v>13</v>
      </c>
      <c r="C98" s="6" t="s">
        <v>238</v>
      </c>
      <c r="D98" s="6" t="s">
        <v>238</v>
      </c>
      <c r="E98" s="6" t="s">
        <v>238</v>
      </c>
      <c r="F98" s="6" t="s">
        <v>238</v>
      </c>
      <c r="G98" s="6" t="s">
        <v>238</v>
      </c>
      <c r="H98" s="6" t="s">
        <v>238</v>
      </c>
      <c r="I98" s="6" t="s">
        <v>238</v>
      </c>
      <c r="J98" s="6" t="s">
        <v>238</v>
      </c>
      <c r="K98" s="6" t="s">
        <v>238</v>
      </c>
      <c r="L98" s="6" t="s">
        <v>238</v>
      </c>
      <c r="M98" s="6" t="s">
        <v>238</v>
      </c>
      <c r="N98" s="6" t="s">
        <v>238</v>
      </c>
      <c r="O98" s="6" t="s">
        <v>238</v>
      </c>
      <c r="P98" s="6"/>
      <c r="Q98" s="6" t="s">
        <v>241</v>
      </c>
      <c r="R98" s="6"/>
      <c r="S98" s="6"/>
      <c r="T98" s="6"/>
      <c r="U98" s="6"/>
      <c r="V98" s="6"/>
      <c r="W98" s="6"/>
      <c r="X98" s="6"/>
      <c r="Y98" s="6"/>
      <c r="Z98" s="6"/>
    </row>
    <row r="99" spans="1:26" x14ac:dyDescent="0.3">
      <c r="A99" s="1" t="s">
        <v>318</v>
      </c>
      <c r="B99" s="6">
        <v>13</v>
      </c>
      <c r="C99" s="6" t="s">
        <v>238</v>
      </c>
      <c r="D99" s="6" t="s">
        <v>238</v>
      </c>
      <c r="E99" s="6" t="s">
        <v>238</v>
      </c>
      <c r="F99" s="6" t="s">
        <v>238</v>
      </c>
      <c r="G99" s="6" t="s">
        <v>238</v>
      </c>
      <c r="H99" s="6" t="s">
        <v>238</v>
      </c>
      <c r="I99" s="6" t="s">
        <v>238</v>
      </c>
      <c r="J99" s="6" t="s">
        <v>238</v>
      </c>
      <c r="K99" s="6" t="s">
        <v>238</v>
      </c>
      <c r="L99" s="6" t="s">
        <v>238</v>
      </c>
      <c r="M99" s="6" t="s">
        <v>238</v>
      </c>
      <c r="N99" s="6" t="s">
        <v>238</v>
      </c>
      <c r="O99" s="6" t="s">
        <v>238</v>
      </c>
      <c r="P99" s="6" t="s">
        <v>241</v>
      </c>
      <c r="Q99" s="6"/>
      <c r="R99" s="6"/>
      <c r="S99" s="6"/>
      <c r="T99" s="6"/>
      <c r="U99" s="6"/>
      <c r="V99" s="6"/>
      <c r="W99" s="6"/>
      <c r="X99" s="6"/>
      <c r="Y99" s="6"/>
      <c r="Z99" s="6"/>
    </row>
    <row r="100" spans="1:26" x14ac:dyDescent="0.3">
      <c r="A100" s="1" t="s">
        <v>319</v>
      </c>
      <c r="B100" s="6">
        <v>13</v>
      </c>
      <c r="C100" s="6" t="s">
        <v>238</v>
      </c>
      <c r="D100" s="6" t="s">
        <v>238</v>
      </c>
      <c r="E100" s="6" t="s">
        <v>238</v>
      </c>
      <c r="F100" s="6" t="s">
        <v>238</v>
      </c>
      <c r="G100" s="6" t="s">
        <v>238</v>
      </c>
      <c r="H100" s="6" t="s">
        <v>238</v>
      </c>
      <c r="I100" s="6" t="s">
        <v>238</v>
      </c>
      <c r="J100" s="6" t="s">
        <v>238</v>
      </c>
      <c r="K100" s="6" t="s">
        <v>238</v>
      </c>
      <c r="L100" s="6" t="s">
        <v>238</v>
      </c>
      <c r="M100" s="6" t="s">
        <v>238</v>
      </c>
      <c r="N100" s="6" t="s">
        <v>238</v>
      </c>
      <c r="O100" s="6" t="s">
        <v>241</v>
      </c>
      <c r="P100" s="6"/>
      <c r="Q100" s="6"/>
      <c r="R100" s="6"/>
      <c r="S100" s="6"/>
      <c r="T100" s="6"/>
      <c r="U100" s="6" t="s">
        <v>241</v>
      </c>
      <c r="V100" s="6"/>
      <c r="W100" s="6"/>
      <c r="X100" s="6"/>
      <c r="Y100" s="6"/>
      <c r="Z100" s="6"/>
    </row>
    <row r="101" spans="1:26" x14ac:dyDescent="0.3">
      <c r="A101" s="1" t="s">
        <v>58</v>
      </c>
      <c r="B101" s="6">
        <v>13</v>
      </c>
      <c r="C101" s="6" t="s">
        <v>238</v>
      </c>
      <c r="D101" s="6" t="s">
        <v>238</v>
      </c>
      <c r="E101" s="6" t="s">
        <v>238</v>
      </c>
      <c r="F101" s="6" t="s">
        <v>238</v>
      </c>
      <c r="G101" s="6" t="s">
        <v>238</v>
      </c>
      <c r="H101" s="6" t="s">
        <v>238</v>
      </c>
      <c r="I101" s="6" t="s">
        <v>238</v>
      </c>
      <c r="J101" s="6" t="s">
        <v>238</v>
      </c>
      <c r="K101" s="6" t="s">
        <v>238</v>
      </c>
      <c r="L101" s="6" t="s">
        <v>238</v>
      </c>
      <c r="M101" s="6" t="s">
        <v>238</v>
      </c>
      <c r="N101" s="6" t="s">
        <v>238</v>
      </c>
      <c r="O101" s="6" t="s">
        <v>241</v>
      </c>
      <c r="P101" s="6"/>
      <c r="Q101" s="6"/>
      <c r="R101" s="6"/>
      <c r="S101" s="6"/>
      <c r="T101" s="6"/>
      <c r="U101" s="6"/>
      <c r="V101" s="6"/>
      <c r="W101" s="6"/>
      <c r="X101" s="6"/>
      <c r="Y101" s="6"/>
      <c r="Z101" s="6"/>
    </row>
    <row r="102" spans="1:26" x14ac:dyDescent="0.3">
      <c r="A102" s="1" t="s">
        <v>62</v>
      </c>
      <c r="B102" s="6">
        <v>13</v>
      </c>
      <c r="C102" s="6" t="s">
        <v>238</v>
      </c>
      <c r="D102" s="6" t="s">
        <v>238</v>
      </c>
      <c r="E102" s="6" t="s">
        <v>238</v>
      </c>
      <c r="F102" s="6" t="s">
        <v>238</v>
      </c>
      <c r="G102" s="6" t="s">
        <v>238</v>
      </c>
      <c r="H102" s="6" t="s">
        <v>238</v>
      </c>
      <c r="I102" s="6" t="s">
        <v>238</v>
      </c>
      <c r="J102" s="6" t="s">
        <v>238</v>
      </c>
      <c r="K102" s="6" t="s">
        <v>238</v>
      </c>
      <c r="L102" s="6" t="s">
        <v>238</v>
      </c>
      <c r="M102" s="6" t="s">
        <v>238</v>
      </c>
      <c r="N102" s="6" t="s">
        <v>238</v>
      </c>
      <c r="O102" s="6" t="s">
        <v>241</v>
      </c>
      <c r="P102" s="6" t="s">
        <v>239</v>
      </c>
      <c r="Q102" s="6"/>
      <c r="R102" s="6"/>
      <c r="S102" s="6"/>
      <c r="T102" s="6"/>
      <c r="U102" s="6" t="s">
        <v>241</v>
      </c>
      <c r="V102" s="6"/>
      <c r="W102" s="6"/>
      <c r="X102" s="6"/>
      <c r="Y102" s="6"/>
      <c r="Z102" s="6"/>
    </row>
    <row r="103" spans="1:26" x14ac:dyDescent="0.3">
      <c r="A103" s="1" t="s">
        <v>63</v>
      </c>
      <c r="B103" s="6">
        <v>13</v>
      </c>
      <c r="C103" s="6" t="s">
        <v>238</v>
      </c>
      <c r="D103" s="6" t="s">
        <v>238</v>
      </c>
      <c r="E103" s="6" t="s">
        <v>238</v>
      </c>
      <c r="F103" s="6" t="s">
        <v>238</v>
      </c>
      <c r="G103" s="6" t="s">
        <v>238</v>
      </c>
      <c r="H103" s="6" t="s">
        <v>238</v>
      </c>
      <c r="I103" s="6" t="s">
        <v>238</v>
      </c>
      <c r="J103" s="6" t="s">
        <v>238</v>
      </c>
      <c r="K103" s="6" t="s">
        <v>238</v>
      </c>
      <c r="L103" s="6" t="s">
        <v>238</v>
      </c>
      <c r="M103" s="6" t="s">
        <v>238</v>
      </c>
      <c r="N103" s="6" t="s">
        <v>238</v>
      </c>
      <c r="O103" s="6" t="s">
        <v>239</v>
      </c>
      <c r="P103" s="6"/>
      <c r="Q103" s="6"/>
      <c r="R103" s="6"/>
      <c r="S103" s="6"/>
      <c r="T103" s="6" t="s">
        <v>241</v>
      </c>
      <c r="U103" s="6"/>
      <c r="V103" s="6" t="s">
        <v>241</v>
      </c>
      <c r="W103" s="6"/>
      <c r="X103" s="6" t="s">
        <v>241</v>
      </c>
      <c r="Y103" s="6"/>
      <c r="Z103" s="6"/>
    </row>
    <row r="104" spans="1:26" x14ac:dyDescent="0.3">
      <c r="A104" s="1" t="s">
        <v>320</v>
      </c>
      <c r="B104" s="6">
        <v>13</v>
      </c>
      <c r="C104" s="6" t="s">
        <v>238</v>
      </c>
      <c r="D104" s="6" t="s">
        <v>238</v>
      </c>
      <c r="E104" s="6" t="s">
        <v>238</v>
      </c>
      <c r="F104" s="6" t="s">
        <v>238</v>
      </c>
      <c r="G104" s="6" t="s">
        <v>238</v>
      </c>
      <c r="H104" s="6" t="s">
        <v>238</v>
      </c>
      <c r="I104" s="6" t="s">
        <v>238</v>
      </c>
      <c r="J104" s="6" t="s">
        <v>238</v>
      </c>
      <c r="K104" s="6" t="s">
        <v>238</v>
      </c>
      <c r="L104" s="6" t="s">
        <v>238</v>
      </c>
      <c r="M104" s="6" t="s">
        <v>238</v>
      </c>
      <c r="N104" s="6" t="s">
        <v>238</v>
      </c>
      <c r="O104" s="6" t="s">
        <v>116</v>
      </c>
      <c r="P104" s="6"/>
      <c r="Q104" s="6"/>
      <c r="R104" s="6"/>
      <c r="S104" s="6"/>
      <c r="T104" s="6"/>
      <c r="U104" s="6"/>
      <c r="V104" s="6"/>
      <c r="W104" s="6"/>
      <c r="X104" s="6"/>
      <c r="Y104" s="6"/>
      <c r="Z104" s="6"/>
    </row>
    <row r="105" spans="1:26" x14ac:dyDescent="0.3">
      <c r="A105" s="1" t="s">
        <v>321</v>
      </c>
      <c r="B105" s="6">
        <v>13</v>
      </c>
      <c r="C105" s="6" t="s">
        <v>238</v>
      </c>
      <c r="D105" s="6" t="s">
        <v>238</v>
      </c>
      <c r="E105" s="6" t="s">
        <v>238</v>
      </c>
      <c r="F105" s="6" t="s">
        <v>238</v>
      </c>
      <c r="G105" s="6" t="s">
        <v>238</v>
      </c>
      <c r="H105" s="6" t="s">
        <v>238</v>
      </c>
      <c r="I105" s="6" t="s">
        <v>238</v>
      </c>
      <c r="J105" s="6" t="s">
        <v>238</v>
      </c>
      <c r="K105" s="6" t="s">
        <v>238</v>
      </c>
      <c r="L105" s="6" t="s">
        <v>238</v>
      </c>
      <c r="M105" s="6" t="s">
        <v>238</v>
      </c>
      <c r="N105" s="6" t="s">
        <v>238</v>
      </c>
      <c r="O105" s="6" t="s">
        <v>116</v>
      </c>
      <c r="P105" s="6"/>
      <c r="Q105" s="6"/>
      <c r="R105" s="6"/>
      <c r="S105" s="6"/>
      <c r="T105" s="6"/>
      <c r="U105" s="6"/>
      <c r="V105" s="6"/>
      <c r="W105" s="6"/>
      <c r="X105" s="6"/>
      <c r="Y105" s="6"/>
      <c r="Z105" s="6"/>
    </row>
    <row r="106" spans="1:26" x14ac:dyDescent="0.3">
      <c r="A106" s="1" t="s">
        <v>56</v>
      </c>
      <c r="B106" s="6">
        <v>13</v>
      </c>
      <c r="C106" s="6" t="s">
        <v>238</v>
      </c>
      <c r="D106" s="6" t="s">
        <v>238</v>
      </c>
      <c r="E106" s="6" t="s">
        <v>238</v>
      </c>
      <c r="F106" s="6" t="s">
        <v>238</v>
      </c>
      <c r="G106" s="6" t="s">
        <v>238</v>
      </c>
      <c r="H106" s="6" t="s">
        <v>238</v>
      </c>
      <c r="I106" s="6" t="s">
        <v>238</v>
      </c>
      <c r="J106" s="6" t="s">
        <v>238</v>
      </c>
      <c r="K106" s="6" t="s">
        <v>238</v>
      </c>
      <c r="L106" s="6" t="s">
        <v>238</v>
      </c>
      <c r="M106" s="6" t="s">
        <v>238</v>
      </c>
      <c r="N106" s="6" t="s">
        <v>238</v>
      </c>
      <c r="O106" s="6" t="s">
        <v>238</v>
      </c>
      <c r="P106" s="6"/>
      <c r="Q106" s="6"/>
      <c r="R106" s="6"/>
      <c r="S106" s="6"/>
      <c r="T106" s="6"/>
      <c r="U106" s="6"/>
      <c r="V106" s="6"/>
      <c r="W106" s="6"/>
      <c r="X106" s="6"/>
      <c r="Y106" s="6"/>
      <c r="Z106" s="6"/>
    </row>
    <row r="107" spans="1:26" x14ac:dyDescent="0.3">
      <c r="A107" s="1" t="s">
        <v>322</v>
      </c>
      <c r="B107" s="6">
        <v>14</v>
      </c>
      <c r="C107" s="6" t="s">
        <v>238</v>
      </c>
      <c r="D107" s="6" t="s">
        <v>238</v>
      </c>
      <c r="E107" s="6" t="s">
        <v>238</v>
      </c>
      <c r="F107" s="6" t="s">
        <v>238</v>
      </c>
      <c r="G107" s="6" t="s">
        <v>238</v>
      </c>
      <c r="H107" s="6" t="s">
        <v>238</v>
      </c>
      <c r="I107" s="6" t="s">
        <v>238</v>
      </c>
      <c r="J107" s="6" t="s">
        <v>238</v>
      </c>
      <c r="K107" s="6" t="s">
        <v>238</v>
      </c>
      <c r="L107" s="6" t="s">
        <v>238</v>
      </c>
      <c r="M107" s="6" t="s">
        <v>238</v>
      </c>
      <c r="N107" s="6" t="s">
        <v>238</v>
      </c>
      <c r="O107" s="6" t="s">
        <v>238</v>
      </c>
      <c r="P107" s="6"/>
      <c r="Q107" s="6"/>
      <c r="R107" s="6"/>
      <c r="S107" s="6"/>
      <c r="T107" s="6"/>
      <c r="U107" s="6"/>
      <c r="V107" s="6"/>
      <c r="W107" s="6"/>
      <c r="X107" s="6" t="s">
        <v>241</v>
      </c>
      <c r="Y107" s="6"/>
      <c r="Z107" s="6"/>
    </row>
    <row r="108" spans="1:26" x14ac:dyDescent="0.3">
      <c r="A108" s="1" t="s">
        <v>323</v>
      </c>
      <c r="B108" s="6">
        <v>14</v>
      </c>
      <c r="C108" s="6" t="s">
        <v>238</v>
      </c>
      <c r="D108" s="6" t="s">
        <v>238</v>
      </c>
      <c r="E108" s="6" t="s">
        <v>238</v>
      </c>
      <c r="F108" s="6" t="s">
        <v>238</v>
      </c>
      <c r="G108" s="6" t="s">
        <v>238</v>
      </c>
      <c r="H108" s="6" t="s">
        <v>238</v>
      </c>
      <c r="I108" s="6" t="s">
        <v>241</v>
      </c>
      <c r="J108" s="6" t="s">
        <v>238</v>
      </c>
      <c r="K108" s="6" t="s">
        <v>238</v>
      </c>
      <c r="L108" s="6" t="s">
        <v>239</v>
      </c>
      <c r="M108" s="6" t="s">
        <v>238</v>
      </c>
      <c r="N108" s="6" t="s">
        <v>238</v>
      </c>
      <c r="O108" s="6" t="s">
        <v>238</v>
      </c>
      <c r="P108" s="6"/>
      <c r="Q108" s="6" t="s">
        <v>241</v>
      </c>
      <c r="R108" s="6"/>
      <c r="S108" s="6" t="s">
        <v>241</v>
      </c>
      <c r="T108" s="6"/>
      <c r="U108" s="6"/>
      <c r="V108" s="6"/>
      <c r="W108" s="6"/>
      <c r="X108" s="6"/>
      <c r="Y108" s="6"/>
      <c r="Z108" s="6"/>
    </row>
    <row r="109" spans="1:26" x14ac:dyDescent="0.3">
      <c r="A109" s="1" t="s">
        <v>324</v>
      </c>
      <c r="B109" s="6">
        <v>14</v>
      </c>
      <c r="C109" s="6" t="s">
        <v>238</v>
      </c>
      <c r="D109" s="6" t="s">
        <v>238</v>
      </c>
      <c r="E109" s="6" t="s">
        <v>238</v>
      </c>
      <c r="F109" s="6" t="s">
        <v>238</v>
      </c>
      <c r="G109" s="6" t="s">
        <v>238</v>
      </c>
      <c r="H109" s="6" t="s">
        <v>238</v>
      </c>
      <c r="I109" s="6" t="s">
        <v>238</v>
      </c>
      <c r="J109" s="6" t="s">
        <v>238</v>
      </c>
      <c r="K109" s="6" t="s">
        <v>238</v>
      </c>
      <c r="L109" s="6" t="s">
        <v>238</v>
      </c>
      <c r="M109" s="6" t="s">
        <v>238</v>
      </c>
      <c r="N109" s="6" t="s">
        <v>238</v>
      </c>
      <c r="O109" s="6" t="s">
        <v>238</v>
      </c>
      <c r="P109" s="6" t="s">
        <v>116</v>
      </c>
      <c r="Q109" s="6"/>
      <c r="R109" s="6"/>
      <c r="S109" s="6"/>
      <c r="T109" s="6"/>
      <c r="U109" s="6"/>
      <c r="V109" s="6"/>
      <c r="W109" s="6"/>
      <c r="X109" s="6"/>
      <c r="Y109" s="6"/>
      <c r="Z109" s="6"/>
    </row>
    <row r="110" spans="1:26" x14ac:dyDescent="0.3">
      <c r="A110" s="1" t="s">
        <v>325</v>
      </c>
      <c r="B110" s="6">
        <v>14</v>
      </c>
      <c r="C110" s="6" t="s">
        <v>238</v>
      </c>
      <c r="D110" s="6" t="s">
        <v>238</v>
      </c>
      <c r="E110" s="6" t="s">
        <v>238</v>
      </c>
      <c r="F110" s="6" t="s">
        <v>238</v>
      </c>
      <c r="G110" s="6" t="s">
        <v>238</v>
      </c>
      <c r="H110" s="6" t="s">
        <v>238</v>
      </c>
      <c r="I110" s="6" t="s">
        <v>238</v>
      </c>
      <c r="J110" s="6" t="s">
        <v>238</v>
      </c>
      <c r="K110" s="6" t="s">
        <v>238</v>
      </c>
      <c r="L110" s="6" t="s">
        <v>238</v>
      </c>
      <c r="M110" s="6" t="s">
        <v>238</v>
      </c>
      <c r="N110" s="6" t="s">
        <v>238</v>
      </c>
      <c r="O110" s="6" t="s">
        <v>238</v>
      </c>
      <c r="P110" s="6"/>
      <c r="Q110" s="6"/>
      <c r="R110" s="6"/>
      <c r="S110" s="6"/>
      <c r="T110" s="6"/>
      <c r="U110" s="6"/>
      <c r="V110" s="6"/>
      <c r="W110" s="6"/>
      <c r="X110" s="6"/>
      <c r="Y110" s="6"/>
      <c r="Z110" s="6"/>
    </row>
    <row r="111" spans="1:26" x14ac:dyDescent="0.3">
      <c r="A111" s="1" t="s">
        <v>70</v>
      </c>
      <c r="B111" s="6">
        <v>14</v>
      </c>
      <c r="C111" s="6" t="s">
        <v>238</v>
      </c>
      <c r="D111" s="6" t="s">
        <v>238</v>
      </c>
      <c r="E111" s="6" t="s">
        <v>238</v>
      </c>
      <c r="F111" s="6" t="s">
        <v>238</v>
      </c>
      <c r="G111" s="6" t="s">
        <v>238</v>
      </c>
      <c r="H111" s="6" t="s">
        <v>238</v>
      </c>
      <c r="I111" s="6" t="s">
        <v>238</v>
      </c>
      <c r="J111" s="6" t="s">
        <v>238</v>
      </c>
      <c r="K111" s="6" t="s">
        <v>238</v>
      </c>
      <c r="L111" s="6" t="s">
        <v>238</v>
      </c>
      <c r="M111" s="6" t="s">
        <v>238</v>
      </c>
      <c r="N111" s="6" t="s">
        <v>238</v>
      </c>
      <c r="O111" s="6" t="s">
        <v>238</v>
      </c>
      <c r="P111" s="6"/>
      <c r="Q111" s="6"/>
      <c r="R111" s="6"/>
      <c r="S111" s="6"/>
      <c r="T111" s="6"/>
      <c r="U111" s="6"/>
      <c r="V111" s="6"/>
      <c r="W111" s="6"/>
      <c r="X111" s="6" t="s">
        <v>241</v>
      </c>
      <c r="Y111" s="6"/>
      <c r="Z111" s="6"/>
    </row>
    <row r="112" spans="1:26" x14ac:dyDescent="0.3">
      <c r="A112" s="1" t="s">
        <v>326</v>
      </c>
      <c r="B112" s="6">
        <v>14</v>
      </c>
      <c r="C112" s="6" t="s">
        <v>238</v>
      </c>
      <c r="D112" s="6" t="s">
        <v>238</v>
      </c>
      <c r="E112" s="6" t="s">
        <v>238</v>
      </c>
      <c r="F112" s="6" t="s">
        <v>238</v>
      </c>
      <c r="G112" s="6" t="s">
        <v>238</v>
      </c>
      <c r="H112" s="6" t="s">
        <v>238</v>
      </c>
      <c r="I112" s="6" t="s">
        <v>238</v>
      </c>
      <c r="J112" s="6" t="s">
        <v>238</v>
      </c>
      <c r="K112" s="6" t="s">
        <v>238</v>
      </c>
      <c r="L112" s="6" t="s">
        <v>238</v>
      </c>
      <c r="M112" s="6" t="s">
        <v>238</v>
      </c>
      <c r="N112" s="6" t="s">
        <v>238</v>
      </c>
      <c r="O112" s="6" t="s">
        <v>238</v>
      </c>
      <c r="P112" s="6"/>
      <c r="Q112" s="6"/>
      <c r="R112" s="6"/>
      <c r="S112" s="6"/>
      <c r="T112" s="6"/>
      <c r="U112" s="6"/>
      <c r="V112" s="6"/>
      <c r="W112" s="6"/>
      <c r="X112" s="6"/>
      <c r="Y112" s="6"/>
      <c r="Z112" s="6"/>
    </row>
    <row r="113" spans="1:26" x14ac:dyDescent="0.3">
      <c r="A113" s="1" t="s">
        <v>78</v>
      </c>
      <c r="B113" s="6">
        <v>14</v>
      </c>
      <c r="C113" s="6" t="s">
        <v>238</v>
      </c>
      <c r="D113" s="6" t="s">
        <v>238</v>
      </c>
      <c r="E113" s="6" t="s">
        <v>238</v>
      </c>
      <c r="F113" s="6" t="s">
        <v>238</v>
      </c>
      <c r="G113" s="6" t="s">
        <v>238</v>
      </c>
      <c r="H113" s="6" t="s">
        <v>238</v>
      </c>
      <c r="I113" s="6" t="s">
        <v>238</v>
      </c>
      <c r="J113" s="6" t="s">
        <v>238</v>
      </c>
      <c r="K113" s="6" t="s">
        <v>238</v>
      </c>
      <c r="L113" s="6" t="s">
        <v>238</v>
      </c>
      <c r="M113" s="6" t="s">
        <v>238</v>
      </c>
      <c r="N113" s="6" t="s">
        <v>238</v>
      </c>
      <c r="O113" s="6" t="s">
        <v>238</v>
      </c>
      <c r="P113" s="6"/>
      <c r="Q113" s="6"/>
      <c r="R113" s="6"/>
      <c r="S113" s="6"/>
      <c r="T113" s="6"/>
      <c r="U113" s="6"/>
      <c r="V113" s="6" t="s">
        <v>241</v>
      </c>
      <c r="W113" s="6" t="s">
        <v>241</v>
      </c>
      <c r="X113" s="6"/>
      <c r="Y113" s="6"/>
      <c r="Z113" s="6"/>
    </row>
    <row r="114" spans="1:26" x14ac:dyDescent="0.3">
      <c r="A114" s="1" t="s">
        <v>71</v>
      </c>
      <c r="B114" s="6">
        <v>14</v>
      </c>
      <c r="C114" s="6" t="s">
        <v>238</v>
      </c>
      <c r="D114" s="6" t="s">
        <v>238</v>
      </c>
      <c r="E114" s="6" t="s">
        <v>238</v>
      </c>
      <c r="F114" s="6" t="s">
        <v>238</v>
      </c>
      <c r="G114" s="6" t="s">
        <v>238</v>
      </c>
      <c r="H114" s="6" t="s">
        <v>238</v>
      </c>
      <c r="I114" s="6" t="s">
        <v>238</v>
      </c>
      <c r="J114" s="6" t="s">
        <v>238</v>
      </c>
      <c r="K114" s="6" t="s">
        <v>238</v>
      </c>
      <c r="L114" s="6" t="s">
        <v>238</v>
      </c>
      <c r="M114" s="6" t="s">
        <v>238</v>
      </c>
      <c r="N114" s="6" t="s">
        <v>238</v>
      </c>
      <c r="O114" s="6" t="s">
        <v>238</v>
      </c>
      <c r="P114" s="6"/>
      <c r="Q114" s="6"/>
      <c r="R114" s="6"/>
      <c r="S114" s="6" t="s">
        <v>116</v>
      </c>
      <c r="T114" s="6"/>
      <c r="U114" s="6"/>
      <c r="V114" s="6"/>
      <c r="W114" s="6"/>
      <c r="X114" s="6"/>
      <c r="Y114" s="6"/>
      <c r="Z114" s="6"/>
    </row>
    <row r="115" spans="1:26" x14ac:dyDescent="0.3">
      <c r="A115" s="1" t="s">
        <v>327</v>
      </c>
      <c r="B115" s="6">
        <v>14</v>
      </c>
      <c r="C115" s="6" t="s">
        <v>238</v>
      </c>
      <c r="D115" s="6" t="s">
        <v>238</v>
      </c>
      <c r="E115" s="6" t="s">
        <v>238</v>
      </c>
      <c r="F115" s="6" t="s">
        <v>238</v>
      </c>
      <c r="G115" s="6" t="s">
        <v>238</v>
      </c>
      <c r="H115" s="6" t="s">
        <v>238</v>
      </c>
      <c r="I115" s="6" t="s">
        <v>238</v>
      </c>
      <c r="J115" s="6" t="s">
        <v>238</v>
      </c>
      <c r="K115" s="6" t="s">
        <v>238</v>
      </c>
      <c r="L115" s="6" t="s">
        <v>238</v>
      </c>
      <c r="M115" s="6" t="s">
        <v>238</v>
      </c>
      <c r="N115" s="6" t="s">
        <v>238</v>
      </c>
      <c r="O115" s="6" t="s">
        <v>238</v>
      </c>
      <c r="P115" s="6"/>
      <c r="Q115" s="6"/>
      <c r="R115" s="6"/>
      <c r="S115" s="6"/>
      <c r="T115" s="6"/>
      <c r="U115" s="6"/>
      <c r="V115" s="6"/>
      <c r="W115" s="6"/>
      <c r="X115" s="6"/>
      <c r="Y115" s="6"/>
      <c r="Z115" s="6"/>
    </row>
    <row r="116" spans="1:26" x14ac:dyDescent="0.3">
      <c r="A116" s="1" t="s">
        <v>80</v>
      </c>
      <c r="B116" s="6">
        <v>14</v>
      </c>
      <c r="C116" s="6" t="s">
        <v>238</v>
      </c>
      <c r="D116" s="6" t="s">
        <v>238</v>
      </c>
      <c r="E116" s="6" t="s">
        <v>238</v>
      </c>
      <c r="F116" s="6" t="s">
        <v>238</v>
      </c>
      <c r="G116" s="6" t="s">
        <v>238</v>
      </c>
      <c r="H116" s="6" t="s">
        <v>238</v>
      </c>
      <c r="I116" s="6" t="s">
        <v>238</v>
      </c>
      <c r="J116" s="6" t="s">
        <v>238</v>
      </c>
      <c r="K116" s="6" t="s">
        <v>238</v>
      </c>
      <c r="L116" s="6" t="s">
        <v>238</v>
      </c>
      <c r="M116" s="6" t="s">
        <v>238</v>
      </c>
      <c r="N116" s="6" t="s">
        <v>238</v>
      </c>
      <c r="O116" s="6" t="s">
        <v>238</v>
      </c>
      <c r="P116" s="6"/>
      <c r="Q116" s="6"/>
      <c r="R116" s="6"/>
      <c r="S116" s="6"/>
      <c r="T116" s="6"/>
      <c r="U116" s="6"/>
      <c r="V116" s="6"/>
      <c r="W116" s="6" t="s">
        <v>241</v>
      </c>
      <c r="X116" s="6"/>
      <c r="Y116" s="6"/>
      <c r="Z116" s="6"/>
    </row>
    <row r="117" spans="1:26" x14ac:dyDescent="0.3">
      <c r="A117" s="1" t="s">
        <v>85</v>
      </c>
      <c r="B117" s="6">
        <v>14</v>
      </c>
      <c r="C117" s="6" t="s">
        <v>238</v>
      </c>
      <c r="D117" s="6" t="s">
        <v>238</v>
      </c>
      <c r="E117" s="6" t="s">
        <v>238</v>
      </c>
      <c r="F117" s="6" t="s">
        <v>238</v>
      </c>
      <c r="G117" s="6" t="s">
        <v>238</v>
      </c>
      <c r="H117" s="6" t="s">
        <v>238</v>
      </c>
      <c r="I117" s="6" t="s">
        <v>238</v>
      </c>
      <c r="J117" s="6" t="s">
        <v>238</v>
      </c>
      <c r="K117" s="6" t="s">
        <v>238</v>
      </c>
      <c r="L117" s="6" t="s">
        <v>238</v>
      </c>
      <c r="M117" s="6" t="s">
        <v>238</v>
      </c>
      <c r="N117" s="6" t="s">
        <v>238</v>
      </c>
      <c r="O117" s="6" t="s">
        <v>238</v>
      </c>
      <c r="P117" s="6"/>
      <c r="Q117" s="6"/>
      <c r="R117" s="6"/>
      <c r="S117" s="6"/>
      <c r="T117" s="6"/>
      <c r="U117" s="6"/>
      <c r="V117" s="6"/>
      <c r="W117" s="6" t="s">
        <v>241</v>
      </c>
      <c r="X117" s="6"/>
      <c r="Y117" s="6"/>
      <c r="Z117" s="6"/>
    </row>
    <row r="118" spans="1:26" x14ac:dyDescent="0.3">
      <c r="A118" s="1" t="s">
        <v>328</v>
      </c>
      <c r="B118" s="6">
        <v>14</v>
      </c>
      <c r="C118" s="6" t="s">
        <v>238</v>
      </c>
      <c r="D118" s="6" t="s">
        <v>238</v>
      </c>
      <c r="E118" s="6" t="s">
        <v>238</v>
      </c>
      <c r="F118" s="6" t="s">
        <v>238</v>
      </c>
      <c r="G118" s="6" t="s">
        <v>238</v>
      </c>
      <c r="H118" s="6" t="s">
        <v>238</v>
      </c>
      <c r="I118" s="6" t="s">
        <v>238</v>
      </c>
      <c r="J118" s="6" t="s">
        <v>238</v>
      </c>
      <c r="K118" s="6" t="s">
        <v>238</v>
      </c>
      <c r="L118" s="6" t="s">
        <v>238</v>
      </c>
      <c r="M118" s="6" t="s">
        <v>238</v>
      </c>
      <c r="N118" s="6" t="s">
        <v>238</v>
      </c>
      <c r="O118" s="6" t="s">
        <v>238</v>
      </c>
      <c r="P118" s="6" t="s">
        <v>241</v>
      </c>
      <c r="Q118" s="6" t="s">
        <v>241</v>
      </c>
      <c r="R118" s="6" t="s">
        <v>239</v>
      </c>
      <c r="S118" s="6"/>
      <c r="T118" s="6"/>
      <c r="U118" s="6"/>
      <c r="V118" s="6"/>
      <c r="W118" s="6" t="s">
        <v>245</v>
      </c>
      <c r="X118" s="6" t="s">
        <v>241</v>
      </c>
      <c r="Y118" s="6"/>
      <c r="Z118" s="6"/>
    </row>
    <row r="119" spans="1:26" x14ac:dyDescent="0.3">
      <c r="A119" s="1" t="s">
        <v>329</v>
      </c>
      <c r="B119" s="6">
        <v>14</v>
      </c>
      <c r="C119" s="6" t="s">
        <v>238</v>
      </c>
      <c r="D119" s="6" t="s">
        <v>238</v>
      </c>
      <c r="E119" s="6" t="s">
        <v>238</v>
      </c>
      <c r="F119" s="6" t="s">
        <v>238</v>
      </c>
      <c r="G119" s="6" t="s">
        <v>238</v>
      </c>
      <c r="H119" s="6" t="s">
        <v>238</v>
      </c>
      <c r="I119" s="6" t="s">
        <v>238</v>
      </c>
      <c r="J119" s="6" t="s">
        <v>238</v>
      </c>
      <c r="K119" s="6" t="s">
        <v>238</v>
      </c>
      <c r="L119" s="6" t="s">
        <v>238</v>
      </c>
      <c r="M119" s="6" t="s">
        <v>238</v>
      </c>
      <c r="N119" s="6" t="s">
        <v>238</v>
      </c>
      <c r="O119" s="6" t="s">
        <v>238</v>
      </c>
      <c r="P119" s="6"/>
      <c r="Q119" s="6"/>
      <c r="R119" s="6"/>
      <c r="S119" s="6"/>
      <c r="T119" s="6"/>
      <c r="U119" s="6"/>
      <c r="V119" s="6"/>
      <c r="W119" s="6"/>
      <c r="X119" s="6"/>
      <c r="Y119" s="6"/>
      <c r="Z119" s="6"/>
    </row>
    <row r="120" spans="1:26" x14ac:dyDescent="0.3">
      <c r="A120" s="1" t="s">
        <v>330</v>
      </c>
      <c r="B120" s="6">
        <v>14</v>
      </c>
      <c r="C120" s="6" t="s">
        <v>238</v>
      </c>
      <c r="D120" s="6" t="s">
        <v>238</v>
      </c>
      <c r="E120" s="6" t="s">
        <v>238</v>
      </c>
      <c r="F120" s="6" t="s">
        <v>238</v>
      </c>
      <c r="G120" s="6" t="s">
        <v>238</v>
      </c>
      <c r="H120" s="6" t="s">
        <v>238</v>
      </c>
      <c r="I120" s="6" t="s">
        <v>238</v>
      </c>
      <c r="J120" s="6" t="s">
        <v>238</v>
      </c>
      <c r="K120" s="6" t="s">
        <v>238</v>
      </c>
      <c r="L120" s="6" t="s">
        <v>238</v>
      </c>
      <c r="M120" s="6" t="s">
        <v>238</v>
      </c>
      <c r="N120" s="6" t="s">
        <v>238</v>
      </c>
      <c r="O120" s="6" t="s">
        <v>238</v>
      </c>
      <c r="P120" s="6"/>
      <c r="Q120" s="6"/>
      <c r="R120" s="6" t="s">
        <v>241</v>
      </c>
      <c r="S120" s="6"/>
      <c r="T120" s="6" t="s">
        <v>241</v>
      </c>
      <c r="U120" s="6"/>
      <c r="V120" s="6" t="s">
        <v>241</v>
      </c>
      <c r="W120" s="6"/>
      <c r="X120" s="6" t="s">
        <v>241</v>
      </c>
      <c r="Y120" s="6"/>
      <c r="Z120" s="6"/>
    </row>
    <row r="121" spans="1:26" x14ac:dyDescent="0.3">
      <c r="A121" s="1" t="s">
        <v>331</v>
      </c>
      <c r="B121" s="6">
        <v>14</v>
      </c>
      <c r="C121" s="6" t="s">
        <v>238</v>
      </c>
      <c r="D121" s="6" t="s">
        <v>238</v>
      </c>
      <c r="E121" s="6" t="s">
        <v>238</v>
      </c>
      <c r="F121" s="6" t="s">
        <v>238</v>
      </c>
      <c r="G121" s="6" t="s">
        <v>238</v>
      </c>
      <c r="H121" s="6" t="s">
        <v>238</v>
      </c>
      <c r="I121" s="6" t="s">
        <v>238</v>
      </c>
      <c r="J121" s="6" t="s">
        <v>238</v>
      </c>
      <c r="K121" s="6" t="s">
        <v>238</v>
      </c>
      <c r="L121" s="6" t="s">
        <v>238</v>
      </c>
      <c r="M121" s="6" t="s">
        <v>238</v>
      </c>
      <c r="N121" s="6" t="s">
        <v>238</v>
      </c>
      <c r="O121" s="6" t="s">
        <v>238</v>
      </c>
      <c r="P121" s="6" t="s">
        <v>239</v>
      </c>
      <c r="Q121" s="6"/>
      <c r="R121" s="6"/>
      <c r="S121" s="6"/>
      <c r="T121" s="6"/>
      <c r="U121" s="6"/>
      <c r="V121" s="6" t="s">
        <v>241</v>
      </c>
      <c r="W121" s="6"/>
      <c r="X121" s="6"/>
      <c r="Y121" s="6"/>
      <c r="Z121" s="6"/>
    </row>
    <row r="122" spans="1:26" x14ac:dyDescent="0.3">
      <c r="A122" s="1" t="s">
        <v>84</v>
      </c>
      <c r="B122" s="6">
        <v>14</v>
      </c>
      <c r="C122" s="6" t="s">
        <v>238</v>
      </c>
      <c r="D122" s="6" t="s">
        <v>238</v>
      </c>
      <c r="E122" s="6" t="s">
        <v>238</v>
      </c>
      <c r="F122" s="6" t="s">
        <v>238</v>
      </c>
      <c r="G122" s="6" t="s">
        <v>238</v>
      </c>
      <c r="H122" s="6" t="s">
        <v>238</v>
      </c>
      <c r="I122" s="6" t="s">
        <v>238</v>
      </c>
      <c r="J122" s="6" t="s">
        <v>238</v>
      </c>
      <c r="K122" s="6" t="s">
        <v>238</v>
      </c>
      <c r="L122" s="6" t="s">
        <v>239</v>
      </c>
      <c r="M122" s="6" t="s">
        <v>238</v>
      </c>
      <c r="N122" s="6" t="s">
        <v>238</v>
      </c>
      <c r="O122" s="6" t="s">
        <v>238</v>
      </c>
      <c r="P122" s="6"/>
      <c r="Q122" s="6"/>
      <c r="R122" s="6"/>
      <c r="S122" s="6"/>
      <c r="T122" s="6"/>
      <c r="U122" s="6"/>
      <c r="V122" s="6"/>
      <c r="W122" s="6"/>
      <c r="X122" s="6"/>
      <c r="Y122" s="6"/>
      <c r="Z122" s="6"/>
    </row>
    <row r="123" spans="1:26" x14ac:dyDescent="0.3">
      <c r="A123" s="1" t="s">
        <v>155</v>
      </c>
      <c r="B123" s="6">
        <v>14</v>
      </c>
      <c r="C123" s="6" t="s">
        <v>238</v>
      </c>
      <c r="D123" s="6" t="s">
        <v>238</v>
      </c>
      <c r="E123" s="6" t="s">
        <v>238</v>
      </c>
      <c r="F123" s="6" t="s">
        <v>238</v>
      </c>
      <c r="G123" s="6" t="s">
        <v>238</v>
      </c>
      <c r="H123" s="6" t="s">
        <v>238</v>
      </c>
      <c r="I123" s="6" t="s">
        <v>238</v>
      </c>
      <c r="J123" s="6" t="s">
        <v>238</v>
      </c>
      <c r="K123" s="6" t="s">
        <v>238</v>
      </c>
      <c r="L123" s="6" t="s">
        <v>238</v>
      </c>
      <c r="M123" s="6" t="s">
        <v>238</v>
      </c>
      <c r="N123" s="6" t="s">
        <v>238</v>
      </c>
      <c r="O123" s="6" t="s">
        <v>238</v>
      </c>
      <c r="P123" s="6"/>
      <c r="Q123" s="6"/>
      <c r="R123" s="6"/>
      <c r="S123" s="6"/>
      <c r="T123" s="6"/>
      <c r="U123" s="6"/>
      <c r="V123" s="6" t="s">
        <v>241</v>
      </c>
      <c r="W123" s="6"/>
      <c r="X123" s="6"/>
      <c r="Y123" s="6"/>
      <c r="Z123" s="6"/>
    </row>
    <row r="124" spans="1:26" x14ac:dyDescent="0.3">
      <c r="A124" s="1" t="s">
        <v>74</v>
      </c>
      <c r="B124" s="6">
        <v>14</v>
      </c>
      <c r="C124" s="6" t="s">
        <v>238</v>
      </c>
      <c r="D124" s="6" t="s">
        <v>238</v>
      </c>
      <c r="E124" s="6" t="s">
        <v>238</v>
      </c>
      <c r="F124" s="6" t="s">
        <v>238</v>
      </c>
      <c r="G124" s="6" t="s">
        <v>238</v>
      </c>
      <c r="H124" s="6" t="s">
        <v>238</v>
      </c>
      <c r="I124" s="6" t="s">
        <v>238</v>
      </c>
      <c r="J124" s="6" t="s">
        <v>238</v>
      </c>
      <c r="K124" s="6" t="s">
        <v>238</v>
      </c>
      <c r="L124" s="6" t="s">
        <v>238</v>
      </c>
      <c r="M124" s="6" t="s">
        <v>238</v>
      </c>
      <c r="N124" s="6" t="s">
        <v>238</v>
      </c>
      <c r="O124" s="6" t="s">
        <v>238</v>
      </c>
      <c r="P124" s="6"/>
      <c r="Q124" s="6"/>
      <c r="R124" s="6"/>
      <c r="S124" s="6"/>
      <c r="T124" s="6"/>
      <c r="U124" s="6"/>
      <c r="V124" s="6"/>
      <c r="W124" s="6"/>
      <c r="X124" s="6"/>
      <c r="Y124" s="6"/>
      <c r="Z124" s="6"/>
    </row>
    <row r="125" spans="1:26" x14ac:dyDescent="0.3">
      <c r="A125" s="1" t="s">
        <v>332</v>
      </c>
      <c r="B125" s="6">
        <v>15</v>
      </c>
      <c r="C125" s="6" t="s">
        <v>238</v>
      </c>
      <c r="D125" s="6" t="s">
        <v>238</v>
      </c>
      <c r="E125" s="6" t="s">
        <v>238</v>
      </c>
      <c r="F125" s="6" t="s">
        <v>238</v>
      </c>
      <c r="G125" s="6" t="s">
        <v>238</v>
      </c>
      <c r="H125" s="6" t="s">
        <v>238</v>
      </c>
      <c r="I125" s="6" t="s">
        <v>238</v>
      </c>
      <c r="J125" s="6" t="s">
        <v>238</v>
      </c>
      <c r="K125" s="6" t="s">
        <v>238</v>
      </c>
      <c r="L125" s="6" t="s">
        <v>238</v>
      </c>
      <c r="M125" s="6" t="s">
        <v>238</v>
      </c>
      <c r="N125" s="6" t="s">
        <v>238</v>
      </c>
      <c r="O125" s="6" t="s">
        <v>238</v>
      </c>
      <c r="P125" s="6" t="s">
        <v>238</v>
      </c>
      <c r="Q125" s="6" t="s">
        <v>241</v>
      </c>
      <c r="R125" s="6"/>
      <c r="S125" s="6"/>
      <c r="T125" s="6"/>
      <c r="U125" s="6"/>
      <c r="V125" s="6"/>
      <c r="W125" s="6"/>
      <c r="X125" s="6"/>
      <c r="Y125" s="6"/>
      <c r="Z125" s="6"/>
    </row>
    <row r="126" spans="1:26" x14ac:dyDescent="0.3">
      <c r="A126" s="1" t="s">
        <v>333</v>
      </c>
      <c r="B126" s="6">
        <v>15</v>
      </c>
      <c r="C126" s="6" t="s">
        <v>238</v>
      </c>
      <c r="D126" s="6" t="s">
        <v>238</v>
      </c>
      <c r="E126" s="6" t="s">
        <v>238</v>
      </c>
      <c r="F126" s="6" t="s">
        <v>238</v>
      </c>
      <c r="G126" s="6" t="s">
        <v>238</v>
      </c>
      <c r="H126" s="6" t="s">
        <v>238</v>
      </c>
      <c r="I126" s="6" t="s">
        <v>238</v>
      </c>
      <c r="J126" s="6" t="s">
        <v>238</v>
      </c>
      <c r="K126" s="6" t="s">
        <v>238</v>
      </c>
      <c r="L126" s="6" t="s">
        <v>238</v>
      </c>
      <c r="M126" s="6" t="s">
        <v>238</v>
      </c>
      <c r="N126" s="6" t="s">
        <v>238</v>
      </c>
      <c r="O126" s="6" t="s">
        <v>238</v>
      </c>
      <c r="P126" s="6" t="s">
        <v>238</v>
      </c>
      <c r="Q126" s="6" t="s">
        <v>241</v>
      </c>
      <c r="R126" s="6"/>
      <c r="S126" s="6"/>
      <c r="T126" s="6"/>
      <c r="U126" s="6"/>
      <c r="V126" s="6"/>
      <c r="W126" s="6"/>
      <c r="X126" s="6"/>
      <c r="Y126" s="6"/>
      <c r="Z126" s="6"/>
    </row>
    <row r="127" spans="1:26" x14ac:dyDescent="0.3">
      <c r="A127" s="1" t="s">
        <v>334</v>
      </c>
      <c r="B127" s="6">
        <v>15</v>
      </c>
      <c r="C127" s="6" t="s">
        <v>238</v>
      </c>
      <c r="D127" s="6" t="s">
        <v>238</v>
      </c>
      <c r="E127" s="6" t="s">
        <v>238</v>
      </c>
      <c r="F127" s="6" t="s">
        <v>238</v>
      </c>
      <c r="G127" s="6" t="s">
        <v>238</v>
      </c>
      <c r="H127" s="6" t="s">
        <v>238</v>
      </c>
      <c r="I127" s="6" t="s">
        <v>238</v>
      </c>
      <c r="J127" s="6" t="s">
        <v>238</v>
      </c>
      <c r="K127" s="6" t="s">
        <v>238</v>
      </c>
      <c r="L127" s="6" t="s">
        <v>238</v>
      </c>
      <c r="M127" s="6" t="s">
        <v>238</v>
      </c>
      <c r="N127" s="6" t="s">
        <v>238</v>
      </c>
      <c r="O127" s="6" t="s">
        <v>238</v>
      </c>
      <c r="P127" s="6" t="s">
        <v>238</v>
      </c>
      <c r="Q127" s="6" t="s">
        <v>241</v>
      </c>
      <c r="R127" s="6"/>
      <c r="S127" s="6"/>
      <c r="T127" s="6"/>
      <c r="U127" s="6"/>
      <c r="V127" s="6"/>
      <c r="W127" s="6"/>
      <c r="X127" s="6" t="s">
        <v>241</v>
      </c>
      <c r="Y127" s="6"/>
      <c r="Z127" s="6"/>
    </row>
    <row r="128" spans="1:26" x14ac:dyDescent="0.3">
      <c r="A128" s="1" t="s">
        <v>335</v>
      </c>
      <c r="B128" s="6">
        <v>15</v>
      </c>
      <c r="C128" s="6" t="s">
        <v>238</v>
      </c>
      <c r="D128" s="6" t="s">
        <v>238</v>
      </c>
      <c r="E128" s="6" t="s">
        <v>238</v>
      </c>
      <c r="F128" s="6" t="s">
        <v>238</v>
      </c>
      <c r="G128" s="6" t="s">
        <v>238</v>
      </c>
      <c r="H128" s="6" t="s">
        <v>238</v>
      </c>
      <c r="I128" s="6" t="s">
        <v>238</v>
      </c>
      <c r="J128" s="6" t="s">
        <v>238</v>
      </c>
      <c r="K128" s="6" t="s">
        <v>238</v>
      </c>
      <c r="L128" s="6" t="s">
        <v>238</v>
      </c>
      <c r="M128" s="6" t="s">
        <v>238</v>
      </c>
      <c r="N128" s="6" t="s">
        <v>238</v>
      </c>
      <c r="O128" s="6" t="s">
        <v>238</v>
      </c>
      <c r="P128" s="6" t="s">
        <v>238</v>
      </c>
      <c r="Q128" s="6" t="s">
        <v>241</v>
      </c>
      <c r="R128" s="6"/>
      <c r="S128" s="6"/>
      <c r="T128" s="6"/>
      <c r="U128" s="6"/>
      <c r="V128" s="6"/>
      <c r="W128" s="6"/>
      <c r="X128" s="6"/>
      <c r="Y128" s="6"/>
      <c r="Z128" s="6"/>
    </row>
    <row r="129" spans="1:26" x14ac:dyDescent="0.3">
      <c r="A129" s="1" t="s">
        <v>336</v>
      </c>
      <c r="B129" s="6">
        <v>15</v>
      </c>
      <c r="C129" s="6" t="s">
        <v>238</v>
      </c>
      <c r="D129" s="6" t="s">
        <v>238</v>
      </c>
      <c r="E129" s="6" t="s">
        <v>238</v>
      </c>
      <c r="F129" s="6" t="s">
        <v>238</v>
      </c>
      <c r="G129" s="6" t="s">
        <v>238</v>
      </c>
      <c r="H129" s="6" t="s">
        <v>238</v>
      </c>
      <c r="I129" s="6" t="s">
        <v>238</v>
      </c>
      <c r="J129" s="6" t="s">
        <v>238</v>
      </c>
      <c r="K129" s="6" t="s">
        <v>238</v>
      </c>
      <c r="L129" s="6" t="s">
        <v>238</v>
      </c>
      <c r="M129" s="6" t="s">
        <v>238</v>
      </c>
      <c r="N129" s="6" t="s">
        <v>238</v>
      </c>
      <c r="O129" s="6" t="s">
        <v>238</v>
      </c>
      <c r="P129" s="6" t="s">
        <v>238</v>
      </c>
      <c r="Q129" s="6"/>
      <c r="R129" s="6"/>
      <c r="S129" s="6" t="s">
        <v>241</v>
      </c>
      <c r="T129" s="6"/>
      <c r="U129" s="6"/>
      <c r="V129" s="6" t="s">
        <v>241</v>
      </c>
      <c r="W129" s="6"/>
      <c r="X129" s="6"/>
      <c r="Y129" s="6"/>
      <c r="Z129" s="6"/>
    </row>
    <row r="130" spans="1:26" x14ac:dyDescent="0.3">
      <c r="A130" s="1" t="s">
        <v>96</v>
      </c>
      <c r="B130" s="6">
        <v>15</v>
      </c>
      <c r="C130" s="6" t="s">
        <v>238</v>
      </c>
      <c r="D130" s="6" t="s">
        <v>238</v>
      </c>
      <c r="E130" s="6" t="s">
        <v>238</v>
      </c>
      <c r="F130" s="6" t="s">
        <v>238</v>
      </c>
      <c r="G130" s="6" t="s">
        <v>238</v>
      </c>
      <c r="H130" s="6" t="s">
        <v>238</v>
      </c>
      <c r="I130" s="6" t="s">
        <v>238</v>
      </c>
      <c r="J130" s="6" t="s">
        <v>238</v>
      </c>
      <c r="K130" s="6" t="s">
        <v>238</v>
      </c>
      <c r="L130" s="6" t="s">
        <v>238</v>
      </c>
      <c r="M130" s="6" t="s">
        <v>238</v>
      </c>
      <c r="N130" s="6" t="s">
        <v>238</v>
      </c>
      <c r="O130" s="6" t="s">
        <v>238</v>
      </c>
      <c r="P130" s="6" t="s">
        <v>238</v>
      </c>
      <c r="Q130" s="6" t="s">
        <v>241</v>
      </c>
      <c r="R130" s="6"/>
      <c r="S130" s="6"/>
      <c r="T130" s="6"/>
      <c r="U130" s="6"/>
      <c r="V130" s="6"/>
      <c r="W130" s="6"/>
      <c r="X130" s="6"/>
      <c r="Y130" s="6"/>
      <c r="Z130" s="6"/>
    </row>
    <row r="131" spans="1:26" x14ac:dyDescent="0.3">
      <c r="A131" s="1" t="s">
        <v>337</v>
      </c>
      <c r="B131" s="6">
        <v>15</v>
      </c>
      <c r="C131" s="6" t="s">
        <v>238</v>
      </c>
      <c r="D131" s="6" t="s">
        <v>238</v>
      </c>
      <c r="E131" s="6" t="s">
        <v>238</v>
      </c>
      <c r="F131" s="6" t="s">
        <v>238</v>
      </c>
      <c r="G131" s="6" t="s">
        <v>238</v>
      </c>
      <c r="H131" s="6" t="s">
        <v>238</v>
      </c>
      <c r="I131" s="6" t="s">
        <v>238</v>
      </c>
      <c r="J131" s="6" t="s">
        <v>238</v>
      </c>
      <c r="K131" s="6" t="s">
        <v>238</v>
      </c>
      <c r="L131" s="6" t="s">
        <v>238</v>
      </c>
      <c r="M131" s="6" t="s">
        <v>238</v>
      </c>
      <c r="N131" s="6" t="s">
        <v>238</v>
      </c>
      <c r="O131" s="6" t="s">
        <v>238</v>
      </c>
      <c r="P131" s="6" t="s">
        <v>238</v>
      </c>
      <c r="Q131" s="6"/>
      <c r="R131" s="6"/>
      <c r="S131" s="6"/>
      <c r="T131" s="6" t="s">
        <v>239</v>
      </c>
      <c r="U131" s="6"/>
      <c r="V131" s="6"/>
      <c r="W131" s="6"/>
      <c r="X131" s="6" t="s">
        <v>241</v>
      </c>
      <c r="Y131" s="6"/>
      <c r="Z131" s="6"/>
    </row>
    <row r="132" spans="1:26" x14ac:dyDescent="0.3">
      <c r="A132" s="1" t="s">
        <v>88</v>
      </c>
      <c r="B132" s="6">
        <v>15</v>
      </c>
      <c r="C132" s="6" t="s">
        <v>238</v>
      </c>
      <c r="D132" s="6" t="s">
        <v>238</v>
      </c>
      <c r="E132" s="6" t="s">
        <v>238</v>
      </c>
      <c r="F132" s="6" t="s">
        <v>238</v>
      </c>
      <c r="G132" s="6" t="s">
        <v>238</v>
      </c>
      <c r="H132" s="6" t="s">
        <v>238</v>
      </c>
      <c r="I132" s="6" t="s">
        <v>238</v>
      </c>
      <c r="J132" s="6" t="s">
        <v>238</v>
      </c>
      <c r="K132" s="6" t="s">
        <v>238</v>
      </c>
      <c r="L132" s="6" t="s">
        <v>238</v>
      </c>
      <c r="M132" s="6" t="s">
        <v>238</v>
      </c>
      <c r="N132" s="6" t="s">
        <v>238</v>
      </c>
      <c r="O132" s="6" t="s">
        <v>238</v>
      </c>
      <c r="P132" s="6" t="s">
        <v>238</v>
      </c>
      <c r="Q132" s="6" t="s">
        <v>116</v>
      </c>
      <c r="R132" s="6"/>
      <c r="S132" s="6"/>
      <c r="T132" s="6"/>
      <c r="U132" s="6"/>
      <c r="V132" s="6"/>
      <c r="W132" s="6" t="s">
        <v>241</v>
      </c>
      <c r="X132" s="6"/>
      <c r="Y132" s="6"/>
      <c r="Z132" s="6"/>
    </row>
    <row r="133" spans="1:26" x14ac:dyDescent="0.3">
      <c r="A133" s="1" t="s">
        <v>95</v>
      </c>
      <c r="B133" s="6">
        <v>15</v>
      </c>
      <c r="C133" s="6" t="s">
        <v>238</v>
      </c>
      <c r="D133" s="6" t="s">
        <v>238</v>
      </c>
      <c r="E133" s="6" t="s">
        <v>238</v>
      </c>
      <c r="F133" s="6" t="s">
        <v>238</v>
      </c>
      <c r="G133" s="6" t="s">
        <v>238</v>
      </c>
      <c r="H133" s="6" t="s">
        <v>238</v>
      </c>
      <c r="I133" s="6" t="s">
        <v>238</v>
      </c>
      <c r="J133" s="6" t="s">
        <v>238</v>
      </c>
      <c r="K133" s="6" t="s">
        <v>238</v>
      </c>
      <c r="L133" s="6" t="s">
        <v>238</v>
      </c>
      <c r="M133" s="6" t="s">
        <v>238</v>
      </c>
      <c r="N133" s="6" t="s">
        <v>238</v>
      </c>
      <c r="O133" s="6" t="s">
        <v>238</v>
      </c>
      <c r="P133" s="6" t="s">
        <v>238</v>
      </c>
      <c r="Q133" s="6" t="s">
        <v>238</v>
      </c>
      <c r="R133" s="6"/>
      <c r="S133" s="6"/>
      <c r="T133" s="6" t="s">
        <v>241</v>
      </c>
      <c r="U133" s="6"/>
      <c r="V133" s="6"/>
      <c r="W133" s="6" t="s">
        <v>241</v>
      </c>
      <c r="X133" s="6"/>
      <c r="Y133" s="6"/>
      <c r="Z133" s="6"/>
    </row>
    <row r="134" spans="1:26" x14ac:dyDescent="0.3">
      <c r="A134" s="1" t="s">
        <v>338</v>
      </c>
      <c r="B134" s="6">
        <v>15</v>
      </c>
      <c r="C134" s="6" t="s">
        <v>238</v>
      </c>
      <c r="D134" s="6" t="s">
        <v>238</v>
      </c>
      <c r="E134" s="6" t="s">
        <v>238</v>
      </c>
      <c r="F134" s="6" t="s">
        <v>238</v>
      </c>
      <c r="G134" s="6" t="s">
        <v>238</v>
      </c>
      <c r="H134" s="6" t="s">
        <v>238</v>
      </c>
      <c r="I134" s="6" t="s">
        <v>238</v>
      </c>
      <c r="J134" s="6" t="s">
        <v>238</v>
      </c>
      <c r="K134" s="6" t="s">
        <v>238</v>
      </c>
      <c r="L134" s="6" t="s">
        <v>238</v>
      </c>
      <c r="M134" s="6" t="s">
        <v>238</v>
      </c>
      <c r="N134" s="6" t="s">
        <v>238</v>
      </c>
      <c r="O134" s="6" t="s">
        <v>238</v>
      </c>
      <c r="P134" s="6" t="s">
        <v>238</v>
      </c>
      <c r="Q134" s="6" t="s">
        <v>238</v>
      </c>
      <c r="R134" s="6"/>
      <c r="S134" s="6" t="s">
        <v>241</v>
      </c>
      <c r="T134" s="6"/>
      <c r="U134" s="6"/>
      <c r="V134" s="6"/>
      <c r="W134" s="6"/>
      <c r="X134" s="6"/>
      <c r="Y134" s="6"/>
      <c r="Z134" s="6"/>
    </row>
    <row r="135" spans="1:26" x14ac:dyDescent="0.3">
      <c r="A135" s="1" t="s">
        <v>339</v>
      </c>
      <c r="B135" s="6">
        <v>15</v>
      </c>
      <c r="C135" s="6" t="s">
        <v>238</v>
      </c>
      <c r="D135" s="6" t="s">
        <v>238</v>
      </c>
      <c r="E135" s="6" t="s">
        <v>238</v>
      </c>
      <c r="F135" s="6" t="s">
        <v>238</v>
      </c>
      <c r="G135" s="6" t="s">
        <v>238</v>
      </c>
      <c r="H135" s="6" t="s">
        <v>238</v>
      </c>
      <c r="I135" s="6" t="s">
        <v>238</v>
      </c>
      <c r="J135" s="6" t="s">
        <v>238</v>
      </c>
      <c r="K135" s="6" t="s">
        <v>238</v>
      </c>
      <c r="L135" s="6" t="s">
        <v>238</v>
      </c>
      <c r="M135" s="6" t="s">
        <v>238</v>
      </c>
      <c r="N135" s="6" t="s">
        <v>238</v>
      </c>
      <c r="O135" s="6" t="s">
        <v>238</v>
      </c>
      <c r="P135" s="6" t="s">
        <v>238</v>
      </c>
      <c r="Q135" s="6"/>
      <c r="R135" s="6"/>
      <c r="S135" s="6"/>
      <c r="T135" s="6"/>
      <c r="U135" s="6"/>
      <c r="V135" s="6"/>
      <c r="W135" s="6"/>
      <c r="X135" s="6"/>
      <c r="Y135" s="6"/>
      <c r="Z135" s="6"/>
    </row>
    <row r="136" spans="1:26" x14ac:dyDescent="0.3">
      <c r="A136" s="1" t="s">
        <v>340</v>
      </c>
      <c r="B136" s="6">
        <v>15</v>
      </c>
      <c r="C136" s="6" t="s">
        <v>238</v>
      </c>
      <c r="D136" s="6" t="s">
        <v>238</v>
      </c>
      <c r="E136" s="6" t="s">
        <v>238</v>
      </c>
      <c r="F136" s="6" t="s">
        <v>238</v>
      </c>
      <c r="G136" s="6" t="s">
        <v>238</v>
      </c>
      <c r="H136" s="6" t="s">
        <v>238</v>
      </c>
      <c r="I136" s="6" t="s">
        <v>238</v>
      </c>
      <c r="J136" s="6" t="s">
        <v>238</v>
      </c>
      <c r="K136" s="6" t="s">
        <v>238</v>
      </c>
      <c r="L136" s="6" t="s">
        <v>238</v>
      </c>
      <c r="M136" s="6" t="s">
        <v>238</v>
      </c>
      <c r="N136" s="6" t="s">
        <v>238</v>
      </c>
      <c r="O136" s="6" t="s">
        <v>238</v>
      </c>
      <c r="P136" s="6" t="s">
        <v>238</v>
      </c>
      <c r="Q136" s="6" t="s">
        <v>239</v>
      </c>
      <c r="R136" s="6"/>
      <c r="S136" s="6"/>
      <c r="T136" s="6"/>
      <c r="U136" s="6"/>
      <c r="V136" s="6"/>
      <c r="W136" s="6"/>
      <c r="X136" s="6"/>
      <c r="Y136" s="6"/>
      <c r="Z136" s="6"/>
    </row>
    <row r="137" spans="1:26" x14ac:dyDescent="0.3">
      <c r="A137" s="1" t="s">
        <v>98</v>
      </c>
      <c r="B137" s="6">
        <v>15</v>
      </c>
      <c r="C137" s="6" t="s">
        <v>238</v>
      </c>
      <c r="D137" s="6" t="s">
        <v>238</v>
      </c>
      <c r="E137" s="6" t="s">
        <v>238</v>
      </c>
      <c r="F137" s="6" t="s">
        <v>238</v>
      </c>
      <c r="G137" s="6" t="s">
        <v>238</v>
      </c>
      <c r="H137" s="6" t="s">
        <v>238</v>
      </c>
      <c r="I137" s="6" t="s">
        <v>238</v>
      </c>
      <c r="J137" s="6" t="s">
        <v>238</v>
      </c>
      <c r="K137" s="6" t="s">
        <v>238</v>
      </c>
      <c r="L137" s="6" t="s">
        <v>238</v>
      </c>
      <c r="M137" s="6" t="s">
        <v>238</v>
      </c>
      <c r="N137" s="6" t="s">
        <v>238</v>
      </c>
      <c r="O137" s="6" t="s">
        <v>238</v>
      </c>
      <c r="P137" s="6" t="s">
        <v>238</v>
      </c>
      <c r="Q137" s="6" t="s">
        <v>239</v>
      </c>
      <c r="R137" s="6"/>
      <c r="S137" s="6"/>
      <c r="T137" s="6"/>
      <c r="U137" s="6"/>
      <c r="V137" s="6"/>
      <c r="W137" s="6" t="s">
        <v>241</v>
      </c>
      <c r="X137" s="6"/>
      <c r="Y137" s="6"/>
      <c r="Z137" s="6"/>
    </row>
    <row r="138" spans="1:26" x14ac:dyDescent="0.3">
      <c r="A138" s="1" t="s">
        <v>341</v>
      </c>
      <c r="B138" s="6">
        <v>15</v>
      </c>
      <c r="C138" s="6" t="s">
        <v>238</v>
      </c>
      <c r="D138" s="6" t="s">
        <v>238</v>
      </c>
      <c r="E138" s="6" t="s">
        <v>238</v>
      </c>
      <c r="F138" s="6" t="s">
        <v>238</v>
      </c>
      <c r="G138" s="6" t="s">
        <v>238</v>
      </c>
      <c r="H138" s="6" t="s">
        <v>238</v>
      </c>
      <c r="I138" s="6" t="s">
        <v>238</v>
      </c>
      <c r="J138" s="6" t="s">
        <v>238</v>
      </c>
      <c r="K138" s="6" t="s">
        <v>238</v>
      </c>
      <c r="L138" s="6" t="s">
        <v>238</v>
      </c>
      <c r="M138" s="6" t="s">
        <v>238</v>
      </c>
      <c r="N138" s="6" t="s">
        <v>238</v>
      </c>
      <c r="O138" s="6" t="s">
        <v>238</v>
      </c>
      <c r="P138" s="6" t="s">
        <v>238</v>
      </c>
      <c r="Q138" s="6" t="s">
        <v>238</v>
      </c>
      <c r="R138" s="6"/>
      <c r="S138" s="6"/>
      <c r="T138" s="6"/>
      <c r="U138" s="6"/>
      <c r="V138" s="6"/>
      <c r="W138" s="6"/>
      <c r="X138" s="6"/>
      <c r="Y138" s="6"/>
      <c r="Z138" s="6"/>
    </row>
    <row r="139" spans="1:26" x14ac:dyDescent="0.3">
      <c r="A139" s="1" t="s">
        <v>82</v>
      </c>
      <c r="B139" s="6">
        <v>15</v>
      </c>
      <c r="C139" s="6" t="s">
        <v>238</v>
      </c>
      <c r="D139" s="6" t="s">
        <v>238</v>
      </c>
      <c r="E139" s="6" t="s">
        <v>238</v>
      </c>
      <c r="F139" s="6" t="s">
        <v>238</v>
      </c>
      <c r="G139" s="6" t="s">
        <v>238</v>
      </c>
      <c r="H139" s="6" t="s">
        <v>238</v>
      </c>
      <c r="I139" s="6" t="s">
        <v>238</v>
      </c>
      <c r="J139" s="6" t="s">
        <v>238</v>
      </c>
      <c r="K139" s="6" t="s">
        <v>238</v>
      </c>
      <c r="L139" s="6" t="s">
        <v>238</v>
      </c>
      <c r="M139" s="6" t="s">
        <v>238</v>
      </c>
      <c r="N139" s="6" t="s">
        <v>238</v>
      </c>
      <c r="O139" s="6" t="s">
        <v>238</v>
      </c>
      <c r="P139" s="6" t="s">
        <v>238</v>
      </c>
      <c r="Q139" s="6" t="s">
        <v>241</v>
      </c>
      <c r="R139" s="6" t="s">
        <v>241</v>
      </c>
      <c r="S139" s="6"/>
      <c r="T139" s="6" t="s">
        <v>241</v>
      </c>
      <c r="U139" s="6"/>
      <c r="V139" s="6"/>
      <c r="W139" s="6" t="s">
        <v>241</v>
      </c>
      <c r="X139" s="6"/>
      <c r="Y139" s="6"/>
      <c r="Z139" s="6"/>
    </row>
    <row r="140" spans="1:26" x14ac:dyDescent="0.3">
      <c r="A140" s="1" t="s">
        <v>90</v>
      </c>
      <c r="B140" s="6">
        <v>15</v>
      </c>
      <c r="C140" s="6" t="s">
        <v>238</v>
      </c>
      <c r="D140" s="6" t="s">
        <v>238</v>
      </c>
      <c r="E140" s="6" t="s">
        <v>238</v>
      </c>
      <c r="F140" s="6" t="s">
        <v>238</v>
      </c>
      <c r="G140" s="6" t="s">
        <v>238</v>
      </c>
      <c r="H140" s="6" t="s">
        <v>238</v>
      </c>
      <c r="I140" s="6" t="s">
        <v>238</v>
      </c>
      <c r="J140" s="6" t="s">
        <v>238</v>
      </c>
      <c r="K140" s="6" t="s">
        <v>238</v>
      </c>
      <c r="L140" s="6" t="s">
        <v>238</v>
      </c>
      <c r="M140" s="6" t="s">
        <v>238</v>
      </c>
      <c r="N140" s="6" t="s">
        <v>238</v>
      </c>
      <c r="O140" s="6" t="s">
        <v>238</v>
      </c>
      <c r="P140" s="6" t="s">
        <v>238</v>
      </c>
      <c r="Q140" s="6" t="s">
        <v>238</v>
      </c>
      <c r="R140" s="6"/>
      <c r="S140" s="6"/>
      <c r="T140" s="6"/>
      <c r="U140" s="6"/>
      <c r="V140" s="6"/>
      <c r="W140" s="6"/>
      <c r="X140" s="6"/>
      <c r="Y140" s="6"/>
      <c r="Z140" s="6"/>
    </row>
    <row r="141" spans="1:26" x14ac:dyDescent="0.3">
      <c r="A141" s="1" t="s">
        <v>342</v>
      </c>
      <c r="B141" s="6">
        <v>15</v>
      </c>
      <c r="C141" s="6" t="s">
        <v>238</v>
      </c>
      <c r="D141" s="6" t="s">
        <v>238</v>
      </c>
      <c r="E141" s="6" t="s">
        <v>238</v>
      </c>
      <c r="F141" s="6" t="s">
        <v>238</v>
      </c>
      <c r="G141" s="6" t="s">
        <v>238</v>
      </c>
      <c r="H141" s="6" t="s">
        <v>238</v>
      </c>
      <c r="I141" s="6" t="s">
        <v>238</v>
      </c>
      <c r="J141" s="6" t="s">
        <v>238</v>
      </c>
      <c r="K141" s="6" t="s">
        <v>238</v>
      </c>
      <c r="L141" s="6" t="s">
        <v>238</v>
      </c>
      <c r="M141" s="6" t="s">
        <v>238</v>
      </c>
      <c r="N141" s="6" t="s">
        <v>238</v>
      </c>
      <c r="O141" s="6" t="s">
        <v>238</v>
      </c>
      <c r="P141" s="6" t="s">
        <v>238</v>
      </c>
      <c r="Q141" s="6" t="s">
        <v>241</v>
      </c>
      <c r="R141" s="6" t="s">
        <v>241</v>
      </c>
      <c r="S141" s="6"/>
      <c r="T141" s="6"/>
      <c r="U141" s="6"/>
      <c r="V141" s="6" t="s">
        <v>241</v>
      </c>
      <c r="W141" s="6"/>
      <c r="X141" s="6"/>
      <c r="Y141" s="6"/>
      <c r="Z141" s="6"/>
    </row>
    <row r="142" spans="1:26" x14ac:dyDescent="0.3">
      <c r="A142" s="1" t="s">
        <v>343</v>
      </c>
      <c r="B142" s="6">
        <v>15</v>
      </c>
      <c r="C142" s="6" t="s">
        <v>238</v>
      </c>
      <c r="D142" s="6" t="s">
        <v>238</v>
      </c>
      <c r="E142" s="6" t="s">
        <v>238</v>
      </c>
      <c r="F142" s="6" t="s">
        <v>238</v>
      </c>
      <c r="G142" s="6" t="s">
        <v>238</v>
      </c>
      <c r="H142" s="6" t="s">
        <v>238</v>
      </c>
      <c r="I142" s="6" t="s">
        <v>238</v>
      </c>
      <c r="J142" s="6" t="s">
        <v>238</v>
      </c>
      <c r="K142" s="6" t="s">
        <v>238</v>
      </c>
      <c r="L142" s="6" t="s">
        <v>238</v>
      </c>
      <c r="M142" s="6" t="s">
        <v>238</v>
      </c>
      <c r="N142" s="6" t="s">
        <v>238</v>
      </c>
      <c r="O142" s="6" t="s">
        <v>238</v>
      </c>
      <c r="P142" s="6" t="s">
        <v>238</v>
      </c>
      <c r="Q142" s="6" t="s">
        <v>238</v>
      </c>
      <c r="R142" s="6" t="s">
        <v>238</v>
      </c>
      <c r="S142" s="6"/>
      <c r="T142" s="6"/>
      <c r="U142" s="6"/>
      <c r="V142" s="6"/>
      <c r="W142" s="6"/>
      <c r="X142" s="6"/>
      <c r="Y142" s="6"/>
      <c r="Z142" s="6"/>
    </row>
    <row r="143" spans="1:26" x14ac:dyDescent="0.3">
      <c r="A143" s="1" t="s">
        <v>344</v>
      </c>
      <c r="B143" s="6">
        <v>15</v>
      </c>
      <c r="C143" s="6" t="s">
        <v>238</v>
      </c>
      <c r="D143" s="6" t="s">
        <v>238</v>
      </c>
      <c r="E143" s="6" t="s">
        <v>238</v>
      </c>
      <c r="F143" s="6" t="s">
        <v>238</v>
      </c>
      <c r="G143" s="6" t="s">
        <v>238</v>
      </c>
      <c r="H143" s="6" t="s">
        <v>238</v>
      </c>
      <c r="I143" s="6" t="s">
        <v>238</v>
      </c>
      <c r="J143" s="6" t="s">
        <v>238</v>
      </c>
      <c r="K143" s="6" t="s">
        <v>238</v>
      </c>
      <c r="L143" s="6" t="s">
        <v>238</v>
      </c>
      <c r="M143" s="6" t="s">
        <v>238</v>
      </c>
      <c r="N143" s="6" t="s">
        <v>238</v>
      </c>
      <c r="O143" s="6" t="s">
        <v>238</v>
      </c>
      <c r="P143" s="6" t="s">
        <v>238</v>
      </c>
      <c r="Q143" s="6"/>
      <c r="R143" s="6"/>
      <c r="S143" s="6"/>
      <c r="T143" s="6"/>
      <c r="U143" s="6"/>
      <c r="V143" s="6"/>
      <c r="W143" s="6"/>
      <c r="X143" s="6"/>
      <c r="Y143" s="6"/>
      <c r="Z143" s="6"/>
    </row>
    <row r="144" spans="1:26" x14ac:dyDescent="0.3">
      <c r="A144" s="1" t="s">
        <v>345</v>
      </c>
      <c r="B144" s="6">
        <v>15</v>
      </c>
      <c r="C144" s="6" t="s">
        <v>238</v>
      </c>
      <c r="D144" s="6" t="s">
        <v>238</v>
      </c>
      <c r="E144" s="6" t="s">
        <v>238</v>
      </c>
      <c r="F144" s="6" t="s">
        <v>238</v>
      </c>
      <c r="G144" s="6" t="s">
        <v>238</v>
      </c>
      <c r="H144" s="6" t="s">
        <v>238</v>
      </c>
      <c r="I144" s="6" t="s">
        <v>238</v>
      </c>
      <c r="J144" s="6" t="s">
        <v>238</v>
      </c>
      <c r="K144" s="6" t="s">
        <v>238</v>
      </c>
      <c r="L144" s="6" t="s">
        <v>238</v>
      </c>
      <c r="M144" s="6" t="s">
        <v>238</v>
      </c>
      <c r="N144" s="6" t="s">
        <v>238</v>
      </c>
      <c r="O144" s="6" t="s">
        <v>238</v>
      </c>
      <c r="P144" s="6" t="s">
        <v>238</v>
      </c>
      <c r="Q144" s="6" t="s">
        <v>238</v>
      </c>
      <c r="R144" s="6"/>
      <c r="S144" s="6"/>
      <c r="T144" s="6"/>
      <c r="U144" s="6"/>
      <c r="V144" s="6"/>
      <c r="W144" s="6"/>
      <c r="X144" s="6"/>
      <c r="Y144" s="6"/>
      <c r="Z144" s="6"/>
    </row>
    <row r="145" spans="1:26" x14ac:dyDescent="0.3">
      <c r="A145" s="1" t="s">
        <v>346</v>
      </c>
      <c r="B145" s="6">
        <v>15</v>
      </c>
      <c r="C145" s="6" t="s">
        <v>238</v>
      </c>
      <c r="D145" s="6" t="s">
        <v>238</v>
      </c>
      <c r="E145" s="6" t="s">
        <v>238</v>
      </c>
      <c r="F145" s="6" t="s">
        <v>238</v>
      </c>
      <c r="G145" s="6" t="s">
        <v>238</v>
      </c>
      <c r="H145" s="6" t="s">
        <v>238</v>
      </c>
      <c r="I145" s="6" t="s">
        <v>238</v>
      </c>
      <c r="J145" s="6" t="s">
        <v>238</v>
      </c>
      <c r="K145" s="6" t="s">
        <v>238</v>
      </c>
      <c r="L145" s="6" t="s">
        <v>238</v>
      </c>
      <c r="M145" s="6" t="s">
        <v>238</v>
      </c>
      <c r="N145" s="6" t="s">
        <v>238</v>
      </c>
      <c r="O145" s="6" t="s">
        <v>238</v>
      </c>
      <c r="P145" s="6" t="s">
        <v>238</v>
      </c>
      <c r="Q145" s="6"/>
      <c r="R145" s="6"/>
      <c r="S145" s="6"/>
      <c r="T145" s="6"/>
      <c r="U145" s="6"/>
      <c r="V145" s="6"/>
      <c r="W145" s="6"/>
      <c r="X145" s="6"/>
      <c r="Y145" s="6"/>
      <c r="Z145" s="6"/>
    </row>
    <row r="146" spans="1:26" x14ac:dyDescent="0.3">
      <c r="A146" s="1" t="s">
        <v>347</v>
      </c>
      <c r="B146" s="6">
        <v>15</v>
      </c>
      <c r="C146" s="6" t="s">
        <v>238</v>
      </c>
      <c r="D146" s="6" t="s">
        <v>238</v>
      </c>
      <c r="E146" s="6" t="s">
        <v>238</v>
      </c>
      <c r="F146" s="6" t="s">
        <v>238</v>
      </c>
      <c r="G146" s="6" t="s">
        <v>238</v>
      </c>
      <c r="H146" s="6" t="s">
        <v>238</v>
      </c>
      <c r="I146" s="6" t="s">
        <v>238</v>
      </c>
      <c r="J146" s="6" t="s">
        <v>238</v>
      </c>
      <c r="K146" s="6" t="s">
        <v>238</v>
      </c>
      <c r="L146" s="6" t="s">
        <v>238</v>
      </c>
      <c r="M146" s="6" t="s">
        <v>238</v>
      </c>
      <c r="N146" s="6" t="s">
        <v>238</v>
      </c>
      <c r="O146" s="6" t="s">
        <v>238</v>
      </c>
      <c r="P146" s="6" t="s">
        <v>238</v>
      </c>
      <c r="Q146" s="6"/>
      <c r="R146" s="6"/>
      <c r="S146" s="6"/>
      <c r="T146" s="6"/>
      <c r="U146" s="6"/>
      <c r="V146" s="6"/>
      <c r="W146" s="6"/>
      <c r="X146" s="6" t="s">
        <v>241</v>
      </c>
      <c r="Y146" s="6"/>
      <c r="Z146" s="6"/>
    </row>
    <row r="147" spans="1:26" x14ac:dyDescent="0.3">
      <c r="A147" s="1" t="s">
        <v>348</v>
      </c>
      <c r="B147" s="6">
        <v>15</v>
      </c>
      <c r="C147" s="6" t="s">
        <v>238</v>
      </c>
      <c r="D147" s="6" t="s">
        <v>238</v>
      </c>
      <c r="E147" s="6" t="s">
        <v>238</v>
      </c>
      <c r="F147" s="6" t="s">
        <v>238</v>
      </c>
      <c r="G147" s="6" t="s">
        <v>238</v>
      </c>
      <c r="H147" s="6" t="s">
        <v>238</v>
      </c>
      <c r="I147" s="6" t="s">
        <v>238</v>
      </c>
      <c r="J147" s="6" t="s">
        <v>238</v>
      </c>
      <c r="K147" s="6" t="s">
        <v>238</v>
      </c>
      <c r="L147" s="6" t="s">
        <v>238</v>
      </c>
      <c r="M147" s="6" t="s">
        <v>238</v>
      </c>
      <c r="N147" s="6" t="s">
        <v>238</v>
      </c>
      <c r="O147" s="6" t="s">
        <v>238</v>
      </c>
      <c r="P147" s="6" t="s">
        <v>238</v>
      </c>
      <c r="Q147" s="6"/>
      <c r="R147" s="6"/>
      <c r="S147" s="6"/>
      <c r="T147" s="6"/>
      <c r="U147" s="6"/>
      <c r="V147" s="6"/>
      <c r="W147" s="6"/>
      <c r="X147" s="6"/>
      <c r="Y147" s="6"/>
      <c r="Z147" s="6"/>
    </row>
    <row r="148" spans="1:26" x14ac:dyDescent="0.3">
      <c r="A148" s="1" t="s">
        <v>349</v>
      </c>
      <c r="B148" s="6">
        <v>15</v>
      </c>
      <c r="C148" s="6" t="s">
        <v>238</v>
      </c>
      <c r="D148" s="6" t="s">
        <v>238</v>
      </c>
      <c r="E148" s="6" t="s">
        <v>238</v>
      </c>
      <c r="F148" s="6" t="s">
        <v>238</v>
      </c>
      <c r="G148" s="6" t="s">
        <v>238</v>
      </c>
      <c r="H148" s="6" t="s">
        <v>238</v>
      </c>
      <c r="I148" s="6" t="s">
        <v>238</v>
      </c>
      <c r="J148" s="6" t="s">
        <v>238</v>
      </c>
      <c r="K148" s="6" t="s">
        <v>238</v>
      </c>
      <c r="L148" s="6" t="s">
        <v>238</v>
      </c>
      <c r="M148" s="6" t="s">
        <v>238</v>
      </c>
      <c r="N148" s="6" t="s">
        <v>238</v>
      </c>
      <c r="O148" s="6" t="s">
        <v>238</v>
      </c>
      <c r="P148" s="6" t="s">
        <v>238</v>
      </c>
      <c r="Q148" s="6" t="s">
        <v>241</v>
      </c>
      <c r="R148" s="6"/>
      <c r="S148" s="6" t="s">
        <v>241</v>
      </c>
      <c r="T148" s="6"/>
      <c r="U148" s="6"/>
      <c r="V148" s="6"/>
      <c r="W148" s="6"/>
      <c r="X148" s="6"/>
      <c r="Y148" s="6"/>
      <c r="Z148" s="6"/>
    </row>
    <row r="149" spans="1:26" x14ac:dyDescent="0.3">
      <c r="A149" s="1" t="s">
        <v>17</v>
      </c>
      <c r="B149" s="6">
        <v>16</v>
      </c>
      <c r="C149" s="6" t="s">
        <v>238</v>
      </c>
      <c r="D149" s="6" t="s">
        <v>238</v>
      </c>
      <c r="E149" s="6" t="s">
        <v>238</v>
      </c>
      <c r="F149" s="6" t="s">
        <v>238</v>
      </c>
      <c r="G149" s="6" t="s">
        <v>238</v>
      </c>
      <c r="H149" s="6" t="s">
        <v>238</v>
      </c>
      <c r="I149" s="6" t="s">
        <v>238</v>
      </c>
      <c r="J149" s="6" t="s">
        <v>238</v>
      </c>
      <c r="K149" s="6" t="s">
        <v>238</v>
      </c>
      <c r="L149" s="6" t="s">
        <v>238</v>
      </c>
      <c r="M149" s="6" t="s">
        <v>238</v>
      </c>
      <c r="N149" s="6" t="s">
        <v>238</v>
      </c>
      <c r="O149" s="6" t="s">
        <v>238</v>
      </c>
      <c r="P149" s="6" t="s">
        <v>238</v>
      </c>
      <c r="Q149" s="6" t="s">
        <v>238</v>
      </c>
      <c r="R149" s="6"/>
      <c r="S149" s="6"/>
      <c r="T149" s="6"/>
      <c r="U149" s="6"/>
      <c r="V149" s="6"/>
      <c r="W149" s="6"/>
      <c r="X149" s="6"/>
      <c r="Y149" s="6"/>
      <c r="Z149" s="6"/>
    </row>
    <row r="150" spans="1:26" x14ac:dyDescent="0.3">
      <c r="A150" s="1" t="s">
        <v>107</v>
      </c>
      <c r="B150" s="6">
        <v>16</v>
      </c>
      <c r="C150" s="6" t="s">
        <v>238</v>
      </c>
      <c r="D150" s="6" t="s">
        <v>238</v>
      </c>
      <c r="E150" s="6" t="s">
        <v>238</v>
      </c>
      <c r="F150" s="6" t="s">
        <v>238</v>
      </c>
      <c r="G150" s="6" t="s">
        <v>238</v>
      </c>
      <c r="H150" s="6" t="s">
        <v>238</v>
      </c>
      <c r="I150" s="6" t="s">
        <v>238</v>
      </c>
      <c r="J150" s="6" t="s">
        <v>238</v>
      </c>
      <c r="K150" s="6" t="s">
        <v>238</v>
      </c>
      <c r="L150" s="6" t="s">
        <v>238</v>
      </c>
      <c r="M150" s="6" t="s">
        <v>238</v>
      </c>
      <c r="N150" s="6" t="s">
        <v>238</v>
      </c>
      <c r="O150" s="6" t="s">
        <v>238</v>
      </c>
      <c r="P150" s="6" t="s">
        <v>238</v>
      </c>
      <c r="Q150" s="6" t="s">
        <v>238</v>
      </c>
      <c r="R150" s="6" t="s">
        <v>241</v>
      </c>
      <c r="S150" s="6"/>
      <c r="T150" s="6"/>
      <c r="U150" s="6"/>
      <c r="V150" s="6"/>
      <c r="W150" s="6"/>
      <c r="X150" s="6"/>
      <c r="Y150" s="6"/>
      <c r="Z150" s="6"/>
    </row>
    <row r="151" spans="1:26" x14ac:dyDescent="0.3">
      <c r="A151" s="1" t="s">
        <v>350</v>
      </c>
      <c r="B151" s="6">
        <v>16</v>
      </c>
      <c r="C151" s="6" t="s">
        <v>238</v>
      </c>
      <c r="D151" s="6" t="s">
        <v>238</v>
      </c>
      <c r="E151" s="6" t="s">
        <v>238</v>
      </c>
      <c r="F151" s="6" t="s">
        <v>238</v>
      </c>
      <c r="G151" s="6" t="s">
        <v>238</v>
      </c>
      <c r="H151" s="6" t="s">
        <v>238</v>
      </c>
      <c r="I151" s="6" t="s">
        <v>238</v>
      </c>
      <c r="J151" s="6" t="s">
        <v>238</v>
      </c>
      <c r="K151" s="6" t="s">
        <v>238</v>
      </c>
      <c r="L151" s="6" t="s">
        <v>238</v>
      </c>
      <c r="M151" s="6" t="s">
        <v>238</v>
      </c>
      <c r="N151" s="6" t="s">
        <v>238</v>
      </c>
      <c r="O151" s="6" t="s">
        <v>238</v>
      </c>
      <c r="P151" s="6" t="s">
        <v>238</v>
      </c>
      <c r="Q151" s="6" t="s">
        <v>238</v>
      </c>
      <c r="R151" s="6"/>
      <c r="S151" s="6"/>
      <c r="T151" s="6"/>
      <c r="U151" s="6"/>
      <c r="V151" s="6"/>
      <c r="W151" s="6"/>
      <c r="X151" s="6"/>
      <c r="Y151" s="6"/>
      <c r="Z151" s="6"/>
    </row>
    <row r="152" spans="1:26" x14ac:dyDescent="0.3">
      <c r="A152" s="1" t="s">
        <v>351</v>
      </c>
      <c r="B152" s="6">
        <v>16</v>
      </c>
      <c r="C152" s="6" t="s">
        <v>238</v>
      </c>
      <c r="D152" s="6" t="s">
        <v>238</v>
      </c>
      <c r="E152" s="6" t="s">
        <v>238</v>
      </c>
      <c r="F152" s="6" t="s">
        <v>238</v>
      </c>
      <c r="G152" s="6" t="s">
        <v>238</v>
      </c>
      <c r="H152" s="6" t="s">
        <v>238</v>
      </c>
      <c r="I152" s="6" t="s">
        <v>238</v>
      </c>
      <c r="J152" s="6" t="s">
        <v>238</v>
      </c>
      <c r="K152" s="6" t="s">
        <v>238</v>
      </c>
      <c r="L152" s="6" t="s">
        <v>238</v>
      </c>
      <c r="M152" s="6" t="s">
        <v>238</v>
      </c>
      <c r="N152" s="6" t="s">
        <v>238</v>
      </c>
      <c r="O152" s="6" t="s">
        <v>238</v>
      </c>
      <c r="P152" s="6" t="s">
        <v>238</v>
      </c>
      <c r="Q152" s="6" t="s">
        <v>238</v>
      </c>
      <c r="R152" s="6"/>
      <c r="S152" s="6"/>
      <c r="T152" s="6"/>
      <c r="U152" s="6"/>
      <c r="V152" s="6"/>
      <c r="W152" s="6"/>
      <c r="X152" s="6"/>
      <c r="Y152" s="6"/>
      <c r="Z152" s="6"/>
    </row>
    <row r="153" spans="1:26" x14ac:dyDescent="0.3">
      <c r="A153" s="1" t="s">
        <v>352</v>
      </c>
      <c r="B153" s="6">
        <v>16</v>
      </c>
      <c r="C153" s="6" t="s">
        <v>238</v>
      </c>
      <c r="D153" s="6" t="s">
        <v>238</v>
      </c>
      <c r="E153" s="6" t="s">
        <v>238</v>
      </c>
      <c r="F153" s="6" t="s">
        <v>238</v>
      </c>
      <c r="G153" s="6" t="s">
        <v>238</v>
      </c>
      <c r="H153" s="6" t="s">
        <v>238</v>
      </c>
      <c r="I153" s="6" t="s">
        <v>238</v>
      </c>
      <c r="J153" s="6" t="s">
        <v>238</v>
      </c>
      <c r="K153" s="6" t="s">
        <v>238</v>
      </c>
      <c r="L153" s="6" t="s">
        <v>238</v>
      </c>
      <c r="M153" s="6" t="s">
        <v>238</v>
      </c>
      <c r="N153" s="6" t="s">
        <v>238</v>
      </c>
      <c r="O153" s="6" t="s">
        <v>238</v>
      </c>
      <c r="P153" s="6" t="s">
        <v>238</v>
      </c>
      <c r="Q153" s="6" t="s">
        <v>238</v>
      </c>
      <c r="R153" s="6"/>
      <c r="S153" s="6"/>
      <c r="T153" s="6"/>
      <c r="U153" s="6"/>
      <c r="V153" s="6"/>
      <c r="W153" s="6"/>
      <c r="X153" s="6"/>
      <c r="Y153" s="6"/>
      <c r="Z153" s="6"/>
    </row>
    <row r="154" spans="1:26" x14ac:dyDescent="0.3">
      <c r="A154" s="1" t="s">
        <v>109</v>
      </c>
      <c r="B154" s="6">
        <v>16</v>
      </c>
      <c r="C154" s="6" t="s">
        <v>238</v>
      </c>
      <c r="D154" s="6" t="s">
        <v>238</v>
      </c>
      <c r="E154" s="6" t="s">
        <v>238</v>
      </c>
      <c r="F154" s="6" t="s">
        <v>238</v>
      </c>
      <c r="G154" s="6" t="s">
        <v>238</v>
      </c>
      <c r="H154" s="6" t="s">
        <v>238</v>
      </c>
      <c r="I154" s="6" t="s">
        <v>238</v>
      </c>
      <c r="J154" s="6" t="s">
        <v>238</v>
      </c>
      <c r="K154" s="6" t="s">
        <v>238</v>
      </c>
      <c r="L154" s="6" t="s">
        <v>238</v>
      </c>
      <c r="M154" s="6" t="s">
        <v>238</v>
      </c>
      <c r="N154" s="6" t="s">
        <v>238</v>
      </c>
      <c r="O154" s="6" t="s">
        <v>238</v>
      </c>
      <c r="P154" s="6" t="s">
        <v>238</v>
      </c>
      <c r="Q154" s="6" t="s">
        <v>238</v>
      </c>
      <c r="R154" s="6" t="s">
        <v>241</v>
      </c>
      <c r="S154" s="6"/>
      <c r="T154" s="6" t="s">
        <v>241</v>
      </c>
      <c r="U154" s="6" t="s">
        <v>239</v>
      </c>
      <c r="V154" s="6"/>
      <c r="W154" s="6"/>
      <c r="X154" s="6"/>
      <c r="Y154" s="6"/>
      <c r="Z154" s="6"/>
    </row>
    <row r="155" spans="1:26" x14ac:dyDescent="0.3">
      <c r="A155" s="1" t="s">
        <v>353</v>
      </c>
      <c r="B155" s="6">
        <v>16</v>
      </c>
      <c r="C155" s="6" t="s">
        <v>238</v>
      </c>
      <c r="D155" s="6" t="s">
        <v>238</v>
      </c>
      <c r="E155" s="6" t="s">
        <v>238</v>
      </c>
      <c r="F155" s="6" t="s">
        <v>238</v>
      </c>
      <c r="G155" s="6" t="s">
        <v>238</v>
      </c>
      <c r="H155" s="6" t="s">
        <v>238</v>
      </c>
      <c r="I155" s="6" t="s">
        <v>238</v>
      </c>
      <c r="J155" s="6" t="s">
        <v>238</v>
      </c>
      <c r="K155" s="6" t="s">
        <v>238</v>
      </c>
      <c r="L155" s="6" t="s">
        <v>238</v>
      </c>
      <c r="M155" s="6" t="s">
        <v>238</v>
      </c>
      <c r="N155" s="6" t="s">
        <v>238</v>
      </c>
      <c r="O155" s="6" t="s">
        <v>238</v>
      </c>
      <c r="P155" s="6" t="s">
        <v>238</v>
      </c>
      <c r="Q155" s="6" t="s">
        <v>238</v>
      </c>
      <c r="R155" s="6"/>
      <c r="S155" s="6"/>
      <c r="T155" s="6" t="s">
        <v>241</v>
      </c>
      <c r="U155" s="6"/>
      <c r="V155" s="6"/>
      <c r="W155" s="6"/>
      <c r="X155" s="6"/>
      <c r="Y155" s="6"/>
      <c r="Z155" s="6"/>
    </row>
    <row r="156" spans="1:26" x14ac:dyDescent="0.3">
      <c r="A156" s="1" t="s">
        <v>354</v>
      </c>
      <c r="B156" s="6">
        <v>16</v>
      </c>
      <c r="C156" s="6" t="s">
        <v>238</v>
      </c>
      <c r="D156" s="6" t="s">
        <v>238</v>
      </c>
      <c r="E156" s="6" t="s">
        <v>238</v>
      </c>
      <c r="F156" s="6" t="s">
        <v>238</v>
      </c>
      <c r="G156" s="6" t="s">
        <v>238</v>
      </c>
      <c r="H156" s="6" t="s">
        <v>238</v>
      </c>
      <c r="I156" s="6" t="s">
        <v>238</v>
      </c>
      <c r="J156" s="6" t="s">
        <v>238</v>
      </c>
      <c r="K156" s="6" t="s">
        <v>238</v>
      </c>
      <c r="L156" s="6" t="s">
        <v>238</v>
      </c>
      <c r="M156" s="6" t="s">
        <v>238</v>
      </c>
      <c r="N156" s="6" t="s">
        <v>238</v>
      </c>
      <c r="O156" s="6" t="s">
        <v>238</v>
      </c>
      <c r="P156" s="6" t="s">
        <v>238</v>
      </c>
      <c r="Q156" s="6" t="s">
        <v>238</v>
      </c>
      <c r="R156" s="6" t="s">
        <v>241</v>
      </c>
      <c r="S156" s="6"/>
      <c r="T156" s="6"/>
      <c r="U156" s="6"/>
      <c r="V156" s="6"/>
      <c r="W156" s="6"/>
      <c r="X156" s="6"/>
      <c r="Y156" s="6"/>
      <c r="Z156" s="6"/>
    </row>
    <row r="157" spans="1:26" x14ac:dyDescent="0.3">
      <c r="A157" s="1" t="s">
        <v>355</v>
      </c>
      <c r="B157" s="6">
        <v>16</v>
      </c>
      <c r="C157" s="6" t="s">
        <v>238</v>
      </c>
      <c r="D157" s="6" t="s">
        <v>238</v>
      </c>
      <c r="E157" s="6" t="s">
        <v>238</v>
      </c>
      <c r="F157" s="6" t="s">
        <v>238</v>
      </c>
      <c r="G157" s="6" t="s">
        <v>238</v>
      </c>
      <c r="H157" s="6" t="s">
        <v>238</v>
      </c>
      <c r="I157" s="6" t="s">
        <v>238</v>
      </c>
      <c r="J157" s="6" t="s">
        <v>238</v>
      </c>
      <c r="K157" s="6" t="s">
        <v>238</v>
      </c>
      <c r="L157" s="6" t="s">
        <v>238</v>
      </c>
      <c r="M157" s="6" t="s">
        <v>238</v>
      </c>
      <c r="N157" s="6" t="s">
        <v>238</v>
      </c>
      <c r="O157" s="6" t="s">
        <v>238</v>
      </c>
      <c r="P157" s="6" t="s">
        <v>238</v>
      </c>
      <c r="Q157" s="6" t="s">
        <v>238</v>
      </c>
      <c r="R157" s="6"/>
      <c r="S157" s="6"/>
      <c r="T157" s="6"/>
      <c r="U157" s="6" t="s">
        <v>239</v>
      </c>
      <c r="V157" s="6"/>
      <c r="W157" s="6"/>
      <c r="X157" s="6"/>
      <c r="Y157" s="6"/>
      <c r="Z157" s="6"/>
    </row>
    <row r="158" spans="1:26" x14ac:dyDescent="0.3">
      <c r="A158" s="1" t="s">
        <v>105</v>
      </c>
      <c r="B158" s="6">
        <v>16</v>
      </c>
      <c r="C158" s="6" t="s">
        <v>238</v>
      </c>
      <c r="D158" s="6" t="s">
        <v>238</v>
      </c>
      <c r="E158" s="6" t="s">
        <v>238</v>
      </c>
      <c r="F158" s="6" t="s">
        <v>238</v>
      </c>
      <c r="G158" s="6" t="s">
        <v>238</v>
      </c>
      <c r="H158" s="6" t="s">
        <v>238</v>
      </c>
      <c r="I158" s="6" t="s">
        <v>238</v>
      </c>
      <c r="J158" s="6" t="s">
        <v>238</v>
      </c>
      <c r="K158" s="6" t="s">
        <v>238</v>
      </c>
      <c r="L158" s="6" t="s">
        <v>238</v>
      </c>
      <c r="M158" s="6" t="s">
        <v>238</v>
      </c>
      <c r="N158" s="6" t="s">
        <v>238</v>
      </c>
      <c r="O158" s="6" t="s">
        <v>238</v>
      </c>
      <c r="P158" s="6" t="s">
        <v>238</v>
      </c>
      <c r="Q158" s="6" t="s">
        <v>238</v>
      </c>
      <c r="R158" s="6"/>
      <c r="S158" s="6"/>
      <c r="T158" s="6"/>
      <c r="U158" s="6"/>
      <c r="V158" s="6"/>
      <c r="W158" s="6"/>
      <c r="X158" s="6"/>
      <c r="Y158" s="6"/>
      <c r="Z158" s="6"/>
    </row>
    <row r="159" spans="1:26" x14ac:dyDescent="0.3">
      <c r="A159" s="1" t="s">
        <v>356</v>
      </c>
      <c r="B159" s="6">
        <v>16</v>
      </c>
      <c r="C159" s="6" t="s">
        <v>238</v>
      </c>
      <c r="D159" s="6" t="s">
        <v>238</v>
      </c>
      <c r="E159" s="6" t="s">
        <v>238</v>
      </c>
      <c r="F159" s="6" t="s">
        <v>238</v>
      </c>
      <c r="G159" s="6" t="s">
        <v>238</v>
      </c>
      <c r="H159" s="6" t="s">
        <v>238</v>
      </c>
      <c r="I159" s="6" t="s">
        <v>238</v>
      </c>
      <c r="J159" s="6" t="s">
        <v>238</v>
      </c>
      <c r="K159" s="6" t="s">
        <v>238</v>
      </c>
      <c r="L159" s="6" t="s">
        <v>238</v>
      </c>
      <c r="M159" s="6" t="s">
        <v>238</v>
      </c>
      <c r="N159" s="6" t="s">
        <v>238</v>
      </c>
      <c r="O159" s="6" t="s">
        <v>238</v>
      </c>
      <c r="P159" s="6" t="s">
        <v>238</v>
      </c>
      <c r="Q159" s="6" t="s">
        <v>238</v>
      </c>
      <c r="R159" s="6"/>
      <c r="S159" s="6"/>
      <c r="T159" s="6"/>
      <c r="U159" s="6"/>
      <c r="V159" s="6"/>
      <c r="W159" s="6"/>
      <c r="X159" s="6"/>
      <c r="Y159" s="6"/>
      <c r="Z159" s="6"/>
    </row>
    <row r="160" spans="1:26" x14ac:dyDescent="0.3">
      <c r="A160" s="1" t="s">
        <v>112</v>
      </c>
      <c r="B160" s="6">
        <v>16</v>
      </c>
      <c r="C160" s="6" t="s">
        <v>238</v>
      </c>
      <c r="D160" s="6" t="s">
        <v>238</v>
      </c>
      <c r="E160" s="6" t="s">
        <v>238</v>
      </c>
      <c r="F160" s="6" t="s">
        <v>238</v>
      </c>
      <c r="G160" s="6" t="s">
        <v>238</v>
      </c>
      <c r="H160" s="6" t="s">
        <v>238</v>
      </c>
      <c r="I160" s="6" t="s">
        <v>238</v>
      </c>
      <c r="J160" s="6" t="s">
        <v>238</v>
      </c>
      <c r="K160" s="6" t="s">
        <v>238</v>
      </c>
      <c r="L160" s="6" t="s">
        <v>238</v>
      </c>
      <c r="M160" s="6" t="s">
        <v>238</v>
      </c>
      <c r="N160" s="6" t="s">
        <v>238</v>
      </c>
      <c r="O160" s="6" t="s">
        <v>238</v>
      </c>
      <c r="P160" s="6" t="s">
        <v>238</v>
      </c>
      <c r="Q160" s="6" t="s">
        <v>238</v>
      </c>
      <c r="R160" s="6" t="s">
        <v>241</v>
      </c>
      <c r="S160" s="6"/>
      <c r="T160" s="6"/>
      <c r="U160" s="6"/>
      <c r="V160" s="6"/>
      <c r="W160" s="6"/>
      <c r="X160" s="6"/>
      <c r="Y160" s="6"/>
      <c r="Z160" s="6"/>
    </row>
    <row r="161" spans="1:26" x14ac:dyDescent="0.3">
      <c r="A161" s="1" t="s">
        <v>106</v>
      </c>
      <c r="B161" s="6">
        <v>16</v>
      </c>
      <c r="C161" s="6" t="s">
        <v>238</v>
      </c>
      <c r="D161" s="6" t="s">
        <v>238</v>
      </c>
      <c r="E161" s="6" t="s">
        <v>238</v>
      </c>
      <c r="F161" s="6" t="s">
        <v>238</v>
      </c>
      <c r="G161" s="6" t="s">
        <v>238</v>
      </c>
      <c r="H161" s="6" t="s">
        <v>238</v>
      </c>
      <c r="I161" s="6" t="s">
        <v>238</v>
      </c>
      <c r="J161" s="6" t="s">
        <v>238</v>
      </c>
      <c r="K161" s="6" t="s">
        <v>238</v>
      </c>
      <c r="L161" s="6" t="s">
        <v>238</v>
      </c>
      <c r="M161" s="6" t="s">
        <v>238</v>
      </c>
      <c r="N161" s="6" t="s">
        <v>238</v>
      </c>
      <c r="O161" s="6" t="s">
        <v>238</v>
      </c>
      <c r="P161" s="6" t="s">
        <v>238</v>
      </c>
      <c r="Q161" s="6" t="s">
        <v>238</v>
      </c>
      <c r="R161" s="6"/>
      <c r="S161" s="6" t="s">
        <v>239</v>
      </c>
      <c r="T161" s="6"/>
      <c r="U161" s="6"/>
      <c r="V161" s="6"/>
      <c r="W161" s="6"/>
      <c r="X161" s="6"/>
      <c r="Y161" s="6"/>
      <c r="Z161" s="6"/>
    </row>
    <row r="162" spans="1:26" x14ac:dyDescent="0.3">
      <c r="A162" s="1" t="s">
        <v>357</v>
      </c>
      <c r="B162" s="6">
        <v>16</v>
      </c>
      <c r="C162" s="6" t="s">
        <v>238</v>
      </c>
      <c r="D162" s="6" t="s">
        <v>238</v>
      </c>
      <c r="E162" s="6" t="s">
        <v>238</v>
      </c>
      <c r="F162" s="6" t="s">
        <v>238</v>
      </c>
      <c r="G162" s="6" t="s">
        <v>238</v>
      </c>
      <c r="H162" s="6" t="s">
        <v>238</v>
      </c>
      <c r="I162" s="6" t="s">
        <v>238</v>
      </c>
      <c r="J162" s="6" t="s">
        <v>238</v>
      </c>
      <c r="K162" s="6" t="s">
        <v>238</v>
      </c>
      <c r="L162" s="6" t="s">
        <v>238</v>
      </c>
      <c r="M162" s="6" t="s">
        <v>238</v>
      </c>
      <c r="N162" s="6" t="s">
        <v>238</v>
      </c>
      <c r="O162" s="6" t="s">
        <v>238</v>
      </c>
      <c r="P162" s="6" t="s">
        <v>238</v>
      </c>
      <c r="Q162" s="6" t="s">
        <v>238</v>
      </c>
      <c r="R162" s="6"/>
      <c r="S162" s="6"/>
      <c r="T162" s="6"/>
      <c r="U162" s="6"/>
      <c r="V162" s="6"/>
      <c r="W162" s="6"/>
      <c r="X162" s="6"/>
      <c r="Y162" s="6"/>
      <c r="Z162" s="6"/>
    </row>
    <row r="163" spans="1:26" x14ac:dyDescent="0.3">
      <c r="A163" s="1" t="s">
        <v>358</v>
      </c>
      <c r="B163" s="6">
        <v>16</v>
      </c>
      <c r="C163" s="6" t="s">
        <v>238</v>
      </c>
      <c r="D163" s="6" t="s">
        <v>238</v>
      </c>
      <c r="E163" s="6" t="s">
        <v>238</v>
      </c>
      <c r="F163" s="6" t="s">
        <v>238</v>
      </c>
      <c r="G163" s="6" t="s">
        <v>238</v>
      </c>
      <c r="H163" s="6" t="s">
        <v>238</v>
      </c>
      <c r="I163" s="6" t="s">
        <v>238</v>
      </c>
      <c r="J163" s="6" t="s">
        <v>238</v>
      </c>
      <c r="K163" s="6" t="s">
        <v>238</v>
      </c>
      <c r="L163" s="6" t="s">
        <v>238</v>
      </c>
      <c r="M163" s="6" t="s">
        <v>238</v>
      </c>
      <c r="N163" s="6" t="s">
        <v>238</v>
      </c>
      <c r="O163" s="6" t="s">
        <v>238</v>
      </c>
      <c r="P163" s="6" t="s">
        <v>238</v>
      </c>
      <c r="Q163" s="6" t="s">
        <v>238</v>
      </c>
      <c r="R163" s="6" t="s">
        <v>241</v>
      </c>
      <c r="S163" s="6"/>
      <c r="T163" s="6"/>
      <c r="U163" s="6"/>
      <c r="V163" s="6" t="s">
        <v>241</v>
      </c>
      <c r="W163" s="6"/>
      <c r="X163" s="6"/>
      <c r="Y163" s="6"/>
      <c r="Z163" s="6"/>
    </row>
    <row r="164" spans="1:26" x14ac:dyDescent="0.3">
      <c r="A164" s="1" t="s">
        <v>359</v>
      </c>
      <c r="B164" s="6">
        <v>16</v>
      </c>
      <c r="C164" s="6" t="s">
        <v>238</v>
      </c>
      <c r="D164" s="6" t="s">
        <v>238</v>
      </c>
      <c r="E164" s="6" t="s">
        <v>238</v>
      </c>
      <c r="F164" s="6" t="s">
        <v>238</v>
      </c>
      <c r="G164" s="6" t="s">
        <v>238</v>
      </c>
      <c r="H164" s="6" t="s">
        <v>238</v>
      </c>
      <c r="I164" s="6" t="s">
        <v>238</v>
      </c>
      <c r="J164" s="6" t="s">
        <v>238</v>
      </c>
      <c r="K164" s="6" t="s">
        <v>238</v>
      </c>
      <c r="L164" s="6" t="s">
        <v>238</v>
      </c>
      <c r="M164" s="6" t="s">
        <v>238</v>
      </c>
      <c r="N164" s="6" t="s">
        <v>238</v>
      </c>
      <c r="O164" s="6" t="s">
        <v>238</v>
      </c>
      <c r="P164" s="6" t="s">
        <v>238</v>
      </c>
      <c r="Q164" s="6" t="s">
        <v>238</v>
      </c>
      <c r="R164" s="6" t="s">
        <v>241</v>
      </c>
      <c r="S164" s="6"/>
      <c r="T164" s="6"/>
      <c r="U164" s="6"/>
      <c r="V164" s="6"/>
      <c r="W164" s="6"/>
      <c r="X164" s="6"/>
      <c r="Y164" s="6"/>
      <c r="Z164" s="6"/>
    </row>
    <row r="165" spans="1:26" x14ac:dyDescent="0.3">
      <c r="A165" s="1" t="s">
        <v>360</v>
      </c>
      <c r="B165" s="6">
        <v>16</v>
      </c>
      <c r="C165" s="6" t="s">
        <v>238</v>
      </c>
      <c r="D165" s="6" t="s">
        <v>238</v>
      </c>
      <c r="E165" s="6" t="s">
        <v>238</v>
      </c>
      <c r="F165" s="6" t="s">
        <v>238</v>
      </c>
      <c r="G165" s="6" t="s">
        <v>238</v>
      </c>
      <c r="H165" s="6" t="s">
        <v>238</v>
      </c>
      <c r="I165" s="6" t="s">
        <v>238</v>
      </c>
      <c r="J165" s="6" t="s">
        <v>238</v>
      </c>
      <c r="K165" s="6" t="s">
        <v>238</v>
      </c>
      <c r="L165" s="6" t="s">
        <v>238</v>
      </c>
      <c r="M165" s="6" t="s">
        <v>238</v>
      </c>
      <c r="N165" s="6" t="s">
        <v>238</v>
      </c>
      <c r="O165" s="6" t="s">
        <v>238</v>
      </c>
      <c r="P165" s="6" t="s">
        <v>238</v>
      </c>
      <c r="Q165" s="6" t="s">
        <v>238</v>
      </c>
      <c r="R165" s="6"/>
      <c r="S165" s="6"/>
      <c r="T165" s="6" t="s">
        <v>241</v>
      </c>
      <c r="U165" s="6"/>
      <c r="V165" s="6" t="s">
        <v>241</v>
      </c>
      <c r="W165" s="6"/>
      <c r="X165" s="6"/>
      <c r="Y165" s="6"/>
      <c r="Z165" s="6"/>
    </row>
    <row r="166" spans="1:26" x14ac:dyDescent="0.3">
      <c r="A166" s="1" t="s">
        <v>361</v>
      </c>
      <c r="B166" s="6">
        <v>16</v>
      </c>
      <c r="C166" s="6" t="s">
        <v>238</v>
      </c>
      <c r="D166" s="6" t="s">
        <v>238</v>
      </c>
      <c r="E166" s="6" t="s">
        <v>238</v>
      </c>
      <c r="F166" s="6" t="s">
        <v>238</v>
      </c>
      <c r="G166" s="6" t="s">
        <v>238</v>
      </c>
      <c r="H166" s="6" t="s">
        <v>238</v>
      </c>
      <c r="I166" s="6" t="s">
        <v>238</v>
      </c>
      <c r="J166" s="6" t="s">
        <v>238</v>
      </c>
      <c r="K166" s="6" t="s">
        <v>238</v>
      </c>
      <c r="L166" s="6" t="s">
        <v>238</v>
      </c>
      <c r="M166" s="6" t="s">
        <v>238</v>
      </c>
      <c r="N166" s="6" t="s">
        <v>238</v>
      </c>
      <c r="O166" s="6" t="s">
        <v>238</v>
      </c>
      <c r="P166" s="6" t="s">
        <v>238</v>
      </c>
      <c r="Q166" s="6" t="s">
        <v>238</v>
      </c>
      <c r="R166" s="6"/>
      <c r="S166" s="6"/>
      <c r="T166" s="6"/>
      <c r="U166" s="6"/>
      <c r="V166" s="6"/>
      <c r="W166" s="6"/>
      <c r="X166" s="6"/>
      <c r="Y166" s="6"/>
      <c r="Z166" s="6"/>
    </row>
    <row r="167" spans="1:26" x14ac:dyDescent="0.3">
      <c r="A167" s="1" t="s">
        <v>362</v>
      </c>
      <c r="B167" s="6">
        <v>16</v>
      </c>
      <c r="C167" s="6" t="s">
        <v>238</v>
      </c>
      <c r="D167" s="6" t="s">
        <v>238</v>
      </c>
      <c r="E167" s="6" t="s">
        <v>238</v>
      </c>
      <c r="F167" s="6" t="s">
        <v>238</v>
      </c>
      <c r="G167" s="6" t="s">
        <v>238</v>
      </c>
      <c r="H167" s="6" t="s">
        <v>238</v>
      </c>
      <c r="I167" s="6" t="s">
        <v>238</v>
      </c>
      <c r="J167" s="6" t="s">
        <v>238</v>
      </c>
      <c r="K167" s="6" t="s">
        <v>238</v>
      </c>
      <c r="L167" s="6" t="s">
        <v>238</v>
      </c>
      <c r="M167" s="6" t="s">
        <v>238</v>
      </c>
      <c r="N167" s="6" t="s">
        <v>238</v>
      </c>
      <c r="O167" s="6" t="s">
        <v>238</v>
      </c>
      <c r="P167" s="6" t="s">
        <v>238</v>
      </c>
      <c r="Q167" s="6" t="s">
        <v>238</v>
      </c>
      <c r="R167" s="6" t="s">
        <v>241</v>
      </c>
      <c r="S167" s="6"/>
      <c r="T167" s="6"/>
      <c r="U167" s="6"/>
      <c r="V167" s="6"/>
      <c r="W167" s="6"/>
      <c r="X167" s="6"/>
      <c r="Y167" s="6"/>
      <c r="Z167" s="6"/>
    </row>
    <row r="168" spans="1:26" x14ac:dyDescent="0.3">
      <c r="A168" s="1" t="s">
        <v>363</v>
      </c>
      <c r="B168" s="6">
        <v>16</v>
      </c>
      <c r="C168" s="6" t="s">
        <v>238</v>
      </c>
      <c r="D168" s="6" t="s">
        <v>238</v>
      </c>
      <c r="E168" s="6" t="s">
        <v>238</v>
      </c>
      <c r="F168" s="6" t="s">
        <v>238</v>
      </c>
      <c r="G168" s="6" t="s">
        <v>238</v>
      </c>
      <c r="H168" s="6" t="s">
        <v>238</v>
      </c>
      <c r="I168" s="6" t="s">
        <v>238</v>
      </c>
      <c r="J168" s="6" t="s">
        <v>238</v>
      </c>
      <c r="K168" s="6" t="s">
        <v>238</v>
      </c>
      <c r="L168" s="6" t="s">
        <v>238</v>
      </c>
      <c r="M168" s="6" t="s">
        <v>238</v>
      </c>
      <c r="N168" s="6" t="s">
        <v>238</v>
      </c>
      <c r="O168" s="6" t="s">
        <v>238</v>
      </c>
      <c r="P168" s="6" t="s">
        <v>238</v>
      </c>
      <c r="Q168" s="6" t="s">
        <v>238</v>
      </c>
      <c r="R168" s="6"/>
      <c r="S168" s="6"/>
      <c r="T168" s="6"/>
      <c r="U168" s="6"/>
      <c r="V168" s="6"/>
      <c r="W168" s="6"/>
      <c r="X168" s="6"/>
      <c r="Y168" s="6"/>
      <c r="Z168" s="6"/>
    </row>
    <row r="169" spans="1:26" x14ac:dyDescent="0.3">
      <c r="A169" s="1" t="s">
        <v>186</v>
      </c>
      <c r="B169" s="93">
        <v>16</v>
      </c>
      <c r="C169" s="93" t="s">
        <v>238</v>
      </c>
      <c r="D169" s="93" t="s">
        <v>238</v>
      </c>
      <c r="E169" s="93" t="s">
        <v>238</v>
      </c>
      <c r="F169" s="93" t="s">
        <v>238</v>
      </c>
      <c r="G169" s="93" t="s">
        <v>238</v>
      </c>
      <c r="H169" s="93" t="s">
        <v>238</v>
      </c>
      <c r="I169" s="93" t="s">
        <v>238</v>
      </c>
      <c r="J169" s="93" t="s">
        <v>238</v>
      </c>
      <c r="K169" s="93" t="s">
        <v>238</v>
      </c>
      <c r="L169" s="93" t="s">
        <v>238</v>
      </c>
      <c r="M169" s="93" t="s">
        <v>238</v>
      </c>
      <c r="N169" s="93" t="s">
        <v>238</v>
      </c>
      <c r="O169" s="93" t="s">
        <v>238</v>
      </c>
      <c r="P169" s="93" t="s">
        <v>238</v>
      </c>
      <c r="Q169" s="93" t="s">
        <v>238</v>
      </c>
      <c r="R169" s="93"/>
      <c r="S169" s="93"/>
      <c r="T169" s="93"/>
      <c r="U169" s="93"/>
      <c r="V169" s="93"/>
      <c r="W169" s="93"/>
      <c r="X169" s="93"/>
      <c r="Y169" s="93"/>
      <c r="Z169" s="93"/>
    </row>
    <row r="170" spans="1:26" s="1" customFormat="1" x14ac:dyDescent="0.3">
      <c r="A170" s="1" t="s">
        <v>101</v>
      </c>
      <c r="B170" s="6">
        <v>16</v>
      </c>
      <c r="C170" s="6" t="s">
        <v>238</v>
      </c>
      <c r="D170" s="6" t="s">
        <v>238</v>
      </c>
      <c r="E170" s="6" t="s">
        <v>238</v>
      </c>
      <c r="F170" s="6" t="s">
        <v>238</v>
      </c>
      <c r="G170" s="6" t="s">
        <v>238</v>
      </c>
      <c r="H170" s="6" t="s">
        <v>238</v>
      </c>
      <c r="I170" s="6" t="s">
        <v>238</v>
      </c>
      <c r="J170" s="6" t="s">
        <v>238</v>
      </c>
      <c r="K170" s="6" t="s">
        <v>238</v>
      </c>
      <c r="L170" s="6" t="s">
        <v>238</v>
      </c>
      <c r="M170" s="6" t="s">
        <v>238</v>
      </c>
      <c r="N170" s="6" t="s">
        <v>238</v>
      </c>
      <c r="O170" s="6" t="s">
        <v>238</v>
      </c>
      <c r="P170" s="6" t="s">
        <v>238</v>
      </c>
      <c r="Q170" s="6" t="s">
        <v>238</v>
      </c>
      <c r="R170" s="6"/>
      <c r="S170" s="6"/>
      <c r="T170" s="6"/>
      <c r="U170" s="6"/>
      <c r="V170" s="6"/>
      <c r="W170" s="6"/>
      <c r="X170" s="6"/>
      <c r="Y170" s="6"/>
      <c r="Z170" s="6"/>
    </row>
    <row r="171" spans="1:26" s="1" customFormat="1" x14ac:dyDescent="0.3">
      <c r="A171" s="1" t="s">
        <v>364</v>
      </c>
      <c r="B171" s="6">
        <v>17</v>
      </c>
      <c r="C171" s="6" t="s">
        <v>238</v>
      </c>
      <c r="D171" s="6" t="s">
        <v>238</v>
      </c>
      <c r="E171" s="6" t="s">
        <v>238</v>
      </c>
      <c r="F171" s="6" t="s">
        <v>238</v>
      </c>
      <c r="G171" s="6" t="s">
        <v>238</v>
      </c>
      <c r="H171" s="6" t="s">
        <v>238</v>
      </c>
      <c r="I171" s="6" t="s">
        <v>238</v>
      </c>
      <c r="J171" s="6" t="s">
        <v>238</v>
      </c>
      <c r="K171" s="6" t="s">
        <v>238</v>
      </c>
      <c r="L171" s="6" t="s">
        <v>238</v>
      </c>
      <c r="M171" s="6" t="s">
        <v>238</v>
      </c>
      <c r="N171" s="6" t="s">
        <v>238</v>
      </c>
      <c r="O171" s="6" t="s">
        <v>238</v>
      </c>
      <c r="P171" s="6" t="s">
        <v>238</v>
      </c>
      <c r="Q171" s="6" t="s">
        <v>238</v>
      </c>
      <c r="R171" s="6" t="s">
        <v>238</v>
      </c>
      <c r="S171" s="6"/>
      <c r="T171" s="6"/>
      <c r="U171" s="6"/>
      <c r="V171" s="6" t="s">
        <v>116</v>
      </c>
      <c r="W171" s="6"/>
      <c r="X171" s="6"/>
      <c r="Y171" s="6"/>
      <c r="Z171" s="6"/>
    </row>
    <row r="172" spans="1:26" s="1" customFormat="1" x14ac:dyDescent="0.3">
      <c r="A172" s="1" t="s">
        <v>117</v>
      </c>
      <c r="B172" s="6">
        <v>17</v>
      </c>
      <c r="C172" s="6" t="s">
        <v>238</v>
      </c>
      <c r="D172" s="6" t="s">
        <v>238</v>
      </c>
      <c r="E172" s="6" t="s">
        <v>238</v>
      </c>
      <c r="F172" s="6" t="s">
        <v>238</v>
      </c>
      <c r="G172" s="6" t="s">
        <v>238</v>
      </c>
      <c r="H172" s="6" t="s">
        <v>238</v>
      </c>
      <c r="I172" s="6" t="s">
        <v>238</v>
      </c>
      <c r="J172" s="6" t="s">
        <v>238</v>
      </c>
      <c r="K172" s="6" t="s">
        <v>238</v>
      </c>
      <c r="L172" s="6" t="s">
        <v>238</v>
      </c>
      <c r="M172" s="6" t="s">
        <v>238</v>
      </c>
      <c r="N172" s="6" t="s">
        <v>238</v>
      </c>
      <c r="O172" s="6" t="s">
        <v>238</v>
      </c>
      <c r="P172" s="6" t="s">
        <v>238</v>
      </c>
      <c r="Q172" s="6" t="s">
        <v>238</v>
      </c>
      <c r="R172" s="6" t="s">
        <v>238</v>
      </c>
      <c r="S172" s="6"/>
      <c r="T172" s="6"/>
      <c r="U172" s="6"/>
      <c r="V172" s="6"/>
      <c r="W172" s="6"/>
      <c r="X172" s="6"/>
      <c r="Y172" s="6"/>
      <c r="Z172" s="6"/>
    </row>
    <row r="173" spans="1:26" s="1" customFormat="1" x14ac:dyDescent="0.3">
      <c r="A173" s="1" t="s">
        <v>365</v>
      </c>
      <c r="B173" s="6">
        <v>17</v>
      </c>
      <c r="C173" s="6" t="s">
        <v>238</v>
      </c>
      <c r="D173" s="6" t="s">
        <v>238</v>
      </c>
      <c r="E173" s="6" t="s">
        <v>238</v>
      </c>
      <c r="F173" s="6" t="s">
        <v>238</v>
      </c>
      <c r="G173" s="6" t="s">
        <v>238</v>
      </c>
      <c r="H173" s="6" t="s">
        <v>238</v>
      </c>
      <c r="I173" s="6" t="s">
        <v>238</v>
      </c>
      <c r="J173" s="6" t="s">
        <v>238</v>
      </c>
      <c r="K173" s="6" t="s">
        <v>238</v>
      </c>
      <c r="L173" s="6" t="s">
        <v>238</v>
      </c>
      <c r="M173" s="6" t="s">
        <v>238</v>
      </c>
      <c r="N173" s="6" t="s">
        <v>238</v>
      </c>
      <c r="O173" s="6" t="s">
        <v>238</v>
      </c>
      <c r="P173" s="6" t="s">
        <v>238</v>
      </c>
      <c r="Q173" s="6" t="s">
        <v>238</v>
      </c>
      <c r="R173" s="6" t="s">
        <v>238</v>
      </c>
      <c r="S173" s="6" t="s">
        <v>239</v>
      </c>
      <c r="T173" s="6"/>
      <c r="U173" s="6"/>
      <c r="V173" s="6"/>
      <c r="W173" s="6"/>
      <c r="X173" s="6"/>
      <c r="Y173" s="6"/>
      <c r="Z173" s="6"/>
    </row>
    <row r="174" spans="1:26" s="1" customFormat="1" x14ac:dyDescent="0.3">
      <c r="A174" s="1" t="s">
        <v>366</v>
      </c>
      <c r="B174" s="6">
        <v>17</v>
      </c>
      <c r="C174" s="6" t="s">
        <v>238</v>
      </c>
      <c r="D174" s="6" t="s">
        <v>238</v>
      </c>
      <c r="E174" s="6" t="s">
        <v>238</v>
      </c>
      <c r="F174" s="6" t="s">
        <v>238</v>
      </c>
      <c r="G174" s="6" t="s">
        <v>238</v>
      </c>
      <c r="H174" s="6" t="s">
        <v>238</v>
      </c>
      <c r="I174" s="6" t="s">
        <v>238</v>
      </c>
      <c r="J174" s="6" t="s">
        <v>238</v>
      </c>
      <c r="K174" s="6" t="s">
        <v>238</v>
      </c>
      <c r="L174" s="6" t="s">
        <v>238</v>
      </c>
      <c r="M174" s="6" t="s">
        <v>238</v>
      </c>
      <c r="N174" s="6" t="s">
        <v>238</v>
      </c>
      <c r="O174" s="6" t="s">
        <v>238</v>
      </c>
      <c r="P174" s="6" t="s">
        <v>238</v>
      </c>
      <c r="Q174" s="6" t="s">
        <v>238</v>
      </c>
      <c r="R174" s="6" t="s">
        <v>238</v>
      </c>
      <c r="S174" s="6" t="s">
        <v>241</v>
      </c>
      <c r="T174" s="6" t="s">
        <v>239</v>
      </c>
      <c r="U174" s="6"/>
      <c r="V174" s="6"/>
      <c r="W174" s="6"/>
      <c r="X174" s="6"/>
      <c r="Y174" s="6"/>
      <c r="Z174" s="6"/>
    </row>
    <row r="175" spans="1:26" s="1" customFormat="1" x14ac:dyDescent="0.3">
      <c r="A175" s="1" t="s">
        <v>367</v>
      </c>
      <c r="B175" s="6">
        <v>17</v>
      </c>
      <c r="C175" s="6" t="s">
        <v>238</v>
      </c>
      <c r="D175" s="6" t="s">
        <v>238</v>
      </c>
      <c r="E175" s="6" t="s">
        <v>238</v>
      </c>
      <c r="F175" s="6" t="s">
        <v>238</v>
      </c>
      <c r="G175" s="6" t="s">
        <v>238</v>
      </c>
      <c r="H175" s="6" t="s">
        <v>238</v>
      </c>
      <c r="I175" s="6" t="s">
        <v>238</v>
      </c>
      <c r="J175" s="6" t="s">
        <v>238</v>
      </c>
      <c r="K175" s="6" t="s">
        <v>238</v>
      </c>
      <c r="L175" s="6" t="s">
        <v>238</v>
      </c>
      <c r="M175" s="6" t="s">
        <v>238</v>
      </c>
      <c r="N175" s="6" t="s">
        <v>238</v>
      </c>
      <c r="O175" s="6" t="s">
        <v>238</v>
      </c>
      <c r="P175" s="6" t="s">
        <v>238</v>
      </c>
      <c r="Q175" s="6" t="s">
        <v>238</v>
      </c>
      <c r="R175" s="6" t="s">
        <v>238</v>
      </c>
      <c r="S175" s="6"/>
      <c r="T175" s="6" t="s">
        <v>241</v>
      </c>
      <c r="U175" s="6"/>
      <c r="V175" s="6"/>
      <c r="W175" s="6"/>
      <c r="X175" s="6"/>
      <c r="Y175" s="6"/>
      <c r="Z175" s="6"/>
    </row>
    <row r="176" spans="1:26" s="1" customFormat="1" x14ac:dyDescent="0.3">
      <c r="A176" s="1" t="s">
        <v>368</v>
      </c>
      <c r="B176" s="6">
        <v>17</v>
      </c>
      <c r="C176" s="6" t="s">
        <v>238</v>
      </c>
      <c r="D176" s="6" t="s">
        <v>238</v>
      </c>
      <c r="E176" s="6" t="s">
        <v>238</v>
      </c>
      <c r="F176" s="6" t="s">
        <v>238</v>
      </c>
      <c r="G176" s="6" t="s">
        <v>238</v>
      </c>
      <c r="H176" s="6" t="s">
        <v>238</v>
      </c>
      <c r="I176" s="6" t="s">
        <v>238</v>
      </c>
      <c r="J176" s="6" t="s">
        <v>238</v>
      </c>
      <c r="K176" s="6" t="s">
        <v>238</v>
      </c>
      <c r="L176" s="6" t="s">
        <v>238</v>
      </c>
      <c r="M176" s="6" t="s">
        <v>238</v>
      </c>
      <c r="N176" s="6" t="s">
        <v>238</v>
      </c>
      <c r="O176" s="6" t="s">
        <v>238</v>
      </c>
      <c r="P176" s="6" t="s">
        <v>238</v>
      </c>
      <c r="Q176" s="6" t="s">
        <v>238</v>
      </c>
      <c r="R176" s="6" t="s">
        <v>238</v>
      </c>
      <c r="S176" s="6"/>
      <c r="T176" s="6" t="s">
        <v>241</v>
      </c>
      <c r="U176" s="6"/>
      <c r="V176" s="6"/>
      <c r="W176" s="6"/>
      <c r="X176" s="6"/>
      <c r="Y176" s="6"/>
      <c r="Z176" s="6"/>
    </row>
    <row r="177" spans="1:26" s="1" customFormat="1" x14ac:dyDescent="0.3">
      <c r="A177" s="1" t="s">
        <v>100</v>
      </c>
      <c r="B177" s="6">
        <v>17</v>
      </c>
      <c r="C177" s="6" t="s">
        <v>238</v>
      </c>
      <c r="D177" s="6" t="s">
        <v>238</v>
      </c>
      <c r="E177" s="6" t="s">
        <v>238</v>
      </c>
      <c r="F177" s="6" t="s">
        <v>238</v>
      </c>
      <c r="G177" s="6" t="s">
        <v>238</v>
      </c>
      <c r="H177" s="6" t="s">
        <v>238</v>
      </c>
      <c r="I177" s="6" t="s">
        <v>238</v>
      </c>
      <c r="J177" s="6" t="s">
        <v>238</v>
      </c>
      <c r="K177" s="6" t="s">
        <v>238</v>
      </c>
      <c r="L177" s="6" t="s">
        <v>238</v>
      </c>
      <c r="M177" s="6" t="s">
        <v>238</v>
      </c>
      <c r="N177" s="6" t="s">
        <v>238</v>
      </c>
      <c r="O177" s="6" t="s">
        <v>238</v>
      </c>
      <c r="P177" s="6" t="s">
        <v>238</v>
      </c>
      <c r="Q177" s="6" t="s">
        <v>238</v>
      </c>
      <c r="R177" s="6" t="s">
        <v>238</v>
      </c>
      <c r="S177" s="6"/>
      <c r="T177" s="6"/>
      <c r="U177" s="6"/>
      <c r="V177" s="6"/>
      <c r="W177" s="6" t="s">
        <v>241</v>
      </c>
      <c r="X177" s="6"/>
      <c r="Y177" s="6"/>
      <c r="Z177" s="6"/>
    </row>
    <row r="178" spans="1:26" s="1" customFormat="1" x14ac:dyDescent="0.3">
      <c r="A178" s="1" t="s">
        <v>369</v>
      </c>
      <c r="B178" s="6">
        <v>17</v>
      </c>
      <c r="C178" s="6" t="s">
        <v>238</v>
      </c>
      <c r="D178" s="6" t="s">
        <v>238</v>
      </c>
      <c r="E178" s="6" t="s">
        <v>238</v>
      </c>
      <c r="F178" s="6" t="s">
        <v>238</v>
      </c>
      <c r="G178" s="6" t="s">
        <v>238</v>
      </c>
      <c r="H178" s="6" t="s">
        <v>238</v>
      </c>
      <c r="I178" s="6" t="s">
        <v>238</v>
      </c>
      <c r="J178" s="6" t="s">
        <v>238</v>
      </c>
      <c r="K178" s="6" t="s">
        <v>238</v>
      </c>
      <c r="L178" s="6" t="s">
        <v>238</v>
      </c>
      <c r="M178" s="6" t="s">
        <v>238</v>
      </c>
      <c r="N178" s="6" t="s">
        <v>238</v>
      </c>
      <c r="O178" s="6" t="s">
        <v>238</v>
      </c>
      <c r="P178" s="6" t="s">
        <v>238</v>
      </c>
      <c r="Q178" s="6" t="s">
        <v>238</v>
      </c>
      <c r="R178" s="6" t="s">
        <v>238</v>
      </c>
      <c r="S178" s="6"/>
      <c r="T178" s="6"/>
      <c r="U178" s="6"/>
      <c r="V178" s="6"/>
      <c r="W178" s="6"/>
      <c r="X178" s="6"/>
      <c r="Y178" s="6"/>
      <c r="Z178" s="6"/>
    </row>
    <row r="179" spans="1:26" s="1" customFormat="1" x14ac:dyDescent="0.3">
      <c r="A179" s="1" t="s">
        <v>370</v>
      </c>
      <c r="B179" s="6">
        <v>17</v>
      </c>
      <c r="C179" s="6" t="s">
        <v>238</v>
      </c>
      <c r="D179" s="6" t="s">
        <v>238</v>
      </c>
      <c r="E179" s="6" t="s">
        <v>238</v>
      </c>
      <c r="F179" s="6" t="s">
        <v>238</v>
      </c>
      <c r="G179" s="6" t="s">
        <v>238</v>
      </c>
      <c r="H179" s="6" t="s">
        <v>238</v>
      </c>
      <c r="I179" s="6" t="s">
        <v>238</v>
      </c>
      <c r="J179" s="6" t="s">
        <v>238</v>
      </c>
      <c r="K179" s="6" t="s">
        <v>238</v>
      </c>
      <c r="L179" s="6" t="s">
        <v>238</v>
      </c>
      <c r="M179" s="6" t="s">
        <v>238</v>
      </c>
      <c r="N179" s="6" t="s">
        <v>238</v>
      </c>
      <c r="O179" s="6" t="s">
        <v>238</v>
      </c>
      <c r="P179" s="6" t="s">
        <v>238</v>
      </c>
      <c r="Q179" s="6" t="s">
        <v>238</v>
      </c>
      <c r="R179" s="6" t="s">
        <v>238</v>
      </c>
      <c r="S179" s="6"/>
      <c r="T179" s="6"/>
      <c r="U179" s="6"/>
      <c r="V179" s="6" t="s">
        <v>241</v>
      </c>
      <c r="W179" s="6"/>
      <c r="X179" s="6"/>
      <c r="Y179" s="6"/>
      <c r="Z179" s="6"/>
    </row>
    <row r="180" spans="1:26" s="1" customFormat="1" x14ac:dyDescent="0.3">
      <c r="A180" s="1" t="s">
        <v>120</v>
      </c>
      <c r="B180" s="6">
        <v>17</v>
      </c>
      <c r="C180" s="6" t="s">
        <v>238</v>
      </c>
      <c r="D180" s="6" t="s">
        <v>238</v>
      </c>
      <c r="E180" s="6" t="s">
        <v>238</v>
      </c>
      <c r="F180" s="6" t="s">
        <v>238</v>
      </c>
      <c r="G180" s="6" t="s">
        <v>238</v>
      </c>
      <c r="H180" s="6" t="s">
        <v>238</v>
      </c>
      <c r="I180" s="6" t="s">
        <v>238</v>
      </c>
      <c r="J180" s="6" t="s">
        <v>238</v>
      </c>
      <c r="K180" s="6" t="s">
        <v>238</v>
      </c>
      <c r="L180" s="6" t="s">
        <v>238</v>
      </c>
      <c r="M180" s="6" t="s">
        <v>238</v>
      </c>
      <c r="N180" s="6" t="s">
        <v>238</v>
      </c>
      <c r="O180" s="6" t="s">
        <v>238</v>
      </c>
      <c r="P180" s="6" t="s">
        <v>238</v>
      </c>
      <c r="Q180" s="6" t="s">
        <v>238</v>
      </c>
      <c r="R180" s="6" t="s">
        <v>238</v>
      </c>
      <c r="S180" s="6"/>
      <c r="T180" s="6" t="s">
        <v>241</v>
      </c>
      <c r="U180" s="6"/>
      <c r="V180" s="6"/>
      <c r="W180" s="6"/>
      <c r="X180" s="6"/>
      <c r="Y180" s="6"/>
      <c r="Z180" s="6"/>
    </row>
    <row r="181" spans="1:26" s="1" customFormat="1" x14ac:dyDescent="0.3">
      <c r="A181" s="1" t="s">
        <v>125</v>
      </c>
      <c r="B181" s="6">
        <v>17</v>
      </c>
      <c r="C181" s="6" t="s">
        <v>238</v>
      </c>
      <c r="D181" s="6" t="s">
        <v>238</v>
      </c>
      <c r="E181" s="6" t="s">
        <v>238</v>
      </c>
      <c r="F181" s="6" t="s">
        <v>238</v>
      </c>
      <c r="G181" s="6" t="s">
        <v>238</v>
      </c>
      <c r="H181" s="6" t="s">
        <v>238</v>
      </c>
      <c r="I181" s="6" t="s">
        <v>238</v>
      </c>
      <c r="J181" s="6" t="s">
        <v>238</v>
      </c>
      <c r="K181" s="6" t="s">
        <v>238</v>
      </c>
      <c r="L181" s="6" t="s">
        <v>238</v>
      </c>
      <c r="M181" s="6" t="s">
        <v>238</v>
      </c>
      <c r="N181" s="6" t="s">
        <v>238</v>
      </c>
      <c r="O181" s="6" t="s">
        <v>238</v>
      </c>
      <c r="P181" s="6" t="s">
        <v>238</v>
      </c>
      <c r="Q181" s="6" t="s">
        <v>238</v>
      </c>
      <c r="R181" s="6" t="s">
        <v>238</v>
      </c>
      <c r="S181" s="6"/>
      <c r="T181" s="6"/>
      <c r="U181" s="6"/>
      <c r="V181" s="6"/>
      <c r="W181" s="6"/>
      <c r="X181" s="6"/>
      <c r="Y181" s="6"/>
      <c r="Z181" s="6"/>
    </row>
    <row r="182" spans="1:26" s="1" customFormat="1" x14ac:dyDescent="0.3">
      <c r="A182" s="1" t="s">
        <v>371</v>
      </c>
      <c r="B182" s="6">
        <v>17</v>
      </c>
      <c r="C182" s="6" t="s">
        <v>238</v>
      </c>
      <c r="D182" s="6" t="s">
        <v>238</v>
      </c>
      <c r="E182" s="6" t="s">
        <v>238</v>
      </c>
      <c r="F182" s="6" t="s">
        <v>238</v>
      </c>
      <c r="G182" s="6" t="s">
        <v>238</v>
      </c>
      <c r="H182" s="6" t="s">
        <v>238</v>
      </c>
      <c r="I182" s="6" t="s">
        <v>238</v>
      </c>
      <c r="J182" s="6" t="s">
        <v>238</v>
      </c>
      <c r="K182" s="6" t="s">
        <v>238</v>
      </c>
      <c r="L182" s="6" t="s">
        <v>238</v>
      </c>
      <c r="M182" s="6" t="s">
        <v>238</v>
      </c>
      <c r="N182" s="6" t="s">
        <v>238</v>
      </c>
      <c r="O182" s="6" t="s">
        <v>238</v>
      </c>
      <c r="P182" s="6" t="s">
        <v>238</v>
      </c>
      <c r="Q182" s="6" t="s">
        <v>238</v>
      </c>
      <c r="R182" s="6" t="s">
        <v>238</v>
      </c>
      <c r="S182" s="6"/>
      <c r="T182" s="6"/>
      <c r="U182" s="6"/>
      <c r="V182" s="6"/>
      <c r="W182" s="6"/>
      <c r="X182" s="6"/>
      <c r="Y182" s="6"/>
      <c r="Z182" s="6"/>
    </row>
    <row r="183" spans="1:26" s="1" customFormat="1" x14ac:dyDescent="0.3">
      <c r="A183" s="1" t="s">
        <v>114</v>
      </c>
      <c r="B183" s="6">
        <v>17</v>
      </c>
      <c r="C183" s="6" t="s">
        <v>238</v>
      </c>
      <c r="D183" s="6" t="s">
        <v>238</v>
      </c>
      <c r="E183" s="6" t="s">
        <v>238</v>
      </c>
      <c r="F183" s="6" t="s">
        <v>238</v>
      </c>
      <c r="G183" s="6" t="s">
        <v>238</v>
      </c>
      <c r="H183" s="6" t="s">
        <v>238</v>
      </c>
      <c r="I183" s="6" t="s">
        <v>238</v>
      </c>
      <c r="J183" s="6" t="s">
        <v>238</v>
      </c>
      <c r="K183" s="6" t="s">
        <v>238</v>
      </c>
      <c r="L183" s="6" t="s">
        <v>238</v>
      </c>
      <c r="M183" s="6" t="s">
        <v>238</v>
      </c>
      <c r="N183" s="6" t="s">
        <v>238</v>
      </c>
      <c r="O183" s="6" t="s">
        <v>238</v>
      </c>
      <c r="P183" s="6" t="s">
        <v>238</v>
      </c>
      <c r="Q183" s="6" t="s">
        <v>238</v>
      </c>
      <c r="R183" s="6" t="s">
        <v>238</v>
      </c>
      <c r="S183" s="6"/>
      <c r="T183" s="6"/>
      <c r="U183" s="6"/>
      <c r="V183" s="6"/>
      <c r="W183" s="6"/>
      <c r="X183" s="6"/>
      <c r="Y183" s="6"/>
      <c r="Z183" s="6"/>
    </row>
    <row r="184" spans="1:26" s="1" customFormat="1" x14ac:dyDescent="0.3">
      <c r="A184" s="1" t="s">
        <v>126</v>
      </c>
      <c r="B184" s="6">
        <v>17</v>
      </c>
      <c r="C184" s="6" t="s">
        <v>238</v>
      </c>
      <c r="D184" s="6" t="s">
        <v>238</v>
      </c>
      <c r="E184" s="6" t="s">
        <v>238</v>
      </c>
      <c r="F184" s="6" t="s">
        <v>238</v>
      </c>
      <c r="G184" s="6" t="s">
        <v>238</v>
      </c>
      <c r="H184" s="6" t="s">
        <v>238</v>
      </c>
      <c r="I184" s="6" t="s">
        <v>238</v>
      </c>
      <c r="J184" s="6" t="s">
        <v>238</v>
      </c>
      <c r="K184" s="6" t="s">
        <v>238</v>
      </c>
      <c r="L184" s="6" t="s">
        <v>238</v>
      </c>
      <c r="M184" s="6" t="s">
        <v>238</v>
      </c>
      <c r="N184" s="6" t="s">
        <v>238</v>
      </c>
      <c r="O184" s="6" t="s">
        <v>238</v>
      </c>
      <c r="P184" s="6" t="s">
        <v>238</v>
      </c>
      <c r="Q184" s="6" t="s">
        <v>238</v>
      </c>
      <c r="R184" s="6" t="s">
        <v>238</v>
      </c>
      <c r="S184" s="6" t="s">
        <v>241</v>
      </c>
      <c r="T184" s="6" t="s">
        <v>241</v>
      </c>
      <c r="U184" s="6"/>
      <c r="V184" s="6"/>
      <c r="W184" s="6"/>
      <c r="X184" s="6" t="s">
        <v>241</v>
      </c>
      <c r="Y184" s="6"/>
      <c r="Z184" s="6"/>
    </row>
    <row r="185" spans="1:26" s="1" customFormat="1" x14ac:dyDescent="0.3">
      <c r="A185" s="1" t="s">
        <v>372</v>
      </c>
      <c r="B185" s="6">
        <v>17</v>
      </c>
      <c r="C185" s="6" t="s">
        <v>238</v>
      </c>
      <c r="D185" s="6" t="s">
        <v>238</v>
      </c>
      <c r="E185" s="6" t="s">
        <v>238</v>
      </c>
      <c r="F185" s="6" t="s">
        <v>238</v>
      </c>
      <c r="G185" s="6" t="s">
        <v>238</v>
      </c>
      <c r="H185" s="6" t="s">
        <v>238</v>
      </c>
      <c r="I185" s="6" t="s">
        <v>238</v>
      </c>
      <c r="J185" s="6" t="s">
        <v>238</v>
      </c>
      <c r="K185" s="6" t="s">
        <v>238</v>
      </c>
      <c r="L185" s="6" t="s">
        <v>238</v>
      </c>
      <c r="M185" s="6" t="s">
        <v>238</v>
      </c>
      <c r="N185" s="6" t="s">
        <v>238</v>
      </c>
      <c r="O185" s="6" t="s">
        <v>238</v>
      </c>
      <c r="P185" s="6" t="s">
        <v>238</v>
      </c>
      <c r="Q185" s="6" t="s">
        <v>238</v>
      </c>
      <c r="R185" s="6" t="s">
        <v>238</v>
      </c>
      <c r="S185" s="6" t="s">
        <v>241</v>
      </c>
      <c r="T185" s="6"/>
      <c r="U185" s="6"/>
      <c r="V185" s="6" t="s">
        <v>241</v>
      </c>
      <c r="W185" s="6"/>
      <c r="X185" s="6"/>
      <c r="Y185" s="6"/>
      <c r="Z185" s="6"/>
    </row>
    <row r="186" spans="1:26" s="1" customFormat="1" x14ac:dyDescent="0.3">
      <c r="A186" s="1" t="s">
        <v>373</v>
      </c>
      <c r="B186" s="6">
        <v>17</v>
      </c>
      <c r="C186" s="6" t="s">
        <v>238</v>
      </c>
      <c r="D186" s="6" t="s">
        <v>238</v>
      </c>
      <c r="E186" s="6" t="s">
        <v>238</v>
      </c>
      <c r="F186" s="6" t="s">
        <v>238</v>
      </c>
      <c r="G186" s="6" t="s">
        <v>238</v>
      </c>
      <c r="H186" s="6" t="s">
        <v>238</v>
      </c>
      <c r="I186" s="6" t="s">
        <v>238</v>
      </c>
      <c r="J186" s="6" t="s">
        <v>238</v>
      </c>
      <c r="K186" s="6" t="s">
        <v>238</v>
      </c>
      <c r="L186" s="6" t="s">
        <v>238</v>
      </c>
      <c r="M186" s="6" t="s">
        <v>238</v>
      </c>
      <c r="N186" s="6" t="s">
        <v>238</v>
      </c>
      <c r="O186" s="6" t="s">
        <v>238</v>
      </c>
      <c r="P186" s="6" t="s">
        <v>238</v>
      </c>
      <c r="Q186" s="6" t="s">
        <v>238</v>
      </c>
      <c r="R186" s="6" t="s">
        <v>238</v>
      </c>
      <c r="S186" s="6"/>
      <c r="T186" s="6"/>
      <c r="U186" s="6"/>
      <c r="V186" s="6"/>
      <c r="W186" s="6"/>
      <c r="X186" s="6"/>
      <c r="Y186" s="6"/>
      <c r="Z186" s="6"/>
    </row>
    <row r="187" spans="1:26" s="1" customFormat="1" x14ac:dyDescent="0.3">
      <c r="A187" s="1" t="s">
        <v>374</v>
      </c>
      <c r="B187" s="6">
        <v>17</v>
      </c>
      <c r="C187" s="6" t="s">
        <v>238</v>
      </c>
      <c r="D187" s="6" t="s">
        <v>238</v>
      </c>
      <c r="E187" s="6" t="s">
        <v>238</v>
      </c>
      <c r="F187" s="6" t="s">
        <v>238</v>
      </c>
      <c r="G187" s="6" t="s">
        <v>238</v>
      </c>
      <c r="H187" s="6" t="s">
        <v>238</v>
      </c>
      <c r="I187" s="6" t="s">
        <v>238</v>
      </c>
      <c r="J187" s="6" t="s">
        <v>238</v>
      </c>
      <c r="K187" s="6" t="s">
        <v>238</v>
      </c>
      <c r="L187" s="6" t="s">
        <v>238</v>
      </c>
      <c r="M187" s="6" t="s">
        <v>238</v>
      </c>
      <c r="N187" s="6" t="s">
        <v>238</v>
      </c>
      <c r="O187" s="6" t="s">
        <v>238</v>
      </c>
      <c r="P187" s="6" t="s">
        <v>238</v>
      </c>
      <c r="Q187" s="6" t="s">
        <v>238</v>
      </c>
      <c r="R187" s="6" t="s">
        <v>238</v>
      </c>
      <c r="S187" s="6" t="s">
        <v>241</v>
      </c>
      <c r="T187" s="6"/>
      <c r="U187" s="6"/>
      <c r="V187" s="6" t="s">
        <v>241</v>
      </c>
      <c r="W187" s="6"/>
      <c r="X187" s="6"/>
      <c r="Y187" s="6"/>
      <c r="Z187" s="6"/>
    </row>
    <row r="188" spans="1:26" s="1" customFormat="1" x14ac:dyDescent="0.3">
      <c r="A188" s="1" t="s">
        <v>375</v>
      </c>
      <c r="B188" s="6">
        <v>17</v>
      </c>
      <c r="C188" s="6" t="s">
        <v>238</v>
      </c>
      <c r="D188" s="6" t="s">
        <v>238</v>
      </c>
      <c r="E188" s="6" t="s">
        <v>238</v>
      </c>
      <c r="F188" s="6" t="s">
        <v>238</v>
      </c>
      <c r="G188" s="6" t="s">
        <v>238</v>
      </c>
      <c r="H188" s="6" t="s">
        <v>238</v>
      </c>
      <c r="I188" s="6" t="s">
        <v>238</v>
      </c>
      <c r="J188" s="6" t="s">
        <v>238</v>
      </c>
      <c r="K188" s="6" t="s">
        <v>238</v>
      </c>
      <c r="L188" s="6" t="s">
        <v>238</v>
      </c>
      <c r="M188" s="6" t="s">
        <v>238</v>
      </c>
      <c r="N188" s="6" t="s">
        <v>238</v>
      </c>
      <c r="O188" s="6" t="s">
        <v>238</v>
      </c>
      <c r="P188" s="6" t="s">
        <v>238</v>
      </c>
      <c r="Q188" s="6" t="s">
        <v>238</v>
      </c>
      <c r="R188" s="6" t="s">
        <v>238</v>
      </c>
      <c r="S188" s="6" t="s">
        <v>241</v>
      </c>
      <c r="T188" s="6" t="s">
        <v>241</v>
      </c>
      <c r="U188" s="6"/>
      <c r="V188" s="6"/>
      <c r="W188" s="6"/>
      <c r="X188" s="6"/>
      <c r="Y188" s="6"/>
      <c r="Z188" s="6"/>
    </row>
    <row r="189" spans="1:26" s="1" customFormat="1" x14ac:dyDescent="0.3">
      <c r="A189" s="1" t="s">
        <v>115</v>
      </c>
      <c r="B189" s="6">
        <v>17</v>
      </c>
      <c r="C189" s="6" t="s">
        <v>238</v>
      </c>
      <c r="D189" s="6" t="s">
        <v>238</v>
      </c>
      <c r="E189" s="6" t="s">
        <v>238</v>
      </c>
      <c r="F189" s="6" t="s">
        <v>238</v>
      </c>
      <c r="G189" s="6" t="s">
        <v>238</v>
      </c>
      <c r="H189" s="6" t="s">
        <v>238</v>
      </c>
      <c r="I189" s="6" t="s">
        <v>238</v>
      </c>
      <c r="J189" s="6" t="s">
        <v>238</v>
      </c>
      <c r="K189" s="6" t="s">
        <v>238</v>
      </c>
      <c r="L189" s="6" t="s">
        <v>238</v>
      </c>
      <c r="M189" s="6" t="s">
        <v>238</v>
      </c>
      <c r="N189" s="6" t="s">
        <v>238</v>
      </c>
      <c r="O189" s="6" t="s">
        <v>238</v>
      </c>
      <c r="P189" s="6" t="s">
        <v>238</v>
      </c>
      <c r="Q189" s="6" t="s">
        <v>238</v>
      </c>
      <c r="R189" s="6" t="s">
        <v>238</v>
      </c>
      <c r="S189" s="6"/>
      <c r="T189" s="6"/>
      <c r="U189" s="6"/>
      <c r="V189" s="6"/>
      <c r="W189" s="6" t="s">
        <v>116</v>
      </c>
      <c r="X189" s="6"/>
      <c r="Y189" s="6"/>
      <c r="Z189" s="6"/>
    </row>
    <row r="190" spans="1:26" s="1" customFormat="1" x14ac:dyDescent="0.3">
      <c r="A190" s="1" t="s">
        <v>121</v>
      </c>
      <c r="B190" s="6">
        <v>17</v>
      </c>
      <c r="C190" s="6" t="s">
        <v>238</v>
      </c>
      <c r="D190" s="6" t="s">
        <v>238</v>
      </c>
      <c r="E190" s="6" t="s">
        <v>238</v>
      </c>
      <c r="F190" s="6" t="s">
        <v>238</v>
      </c>
      <c r="G190" s="6" t="s">
        <v>238</v>
      </c>
      <c r="H190" s="6" t="s">
        <v>238</v>
      </c>
      <c r="I190" s="6" t="s">
        <v>238</v>
      </c>
      <c r="J190" s="6" t="s">
        <v>238</v>
      </c>
      <c r="K190" s="6" t="s">
        <v>238</v>
      </c>
      <c r="L190" s="6" t="s">
        <v>238</v>
      </c>
      <c r="M190" s="6" t="s">
        <v>238</v>
      </c>
      <c r="N190" s="6" t="s">
        <v>238</v>
      </c>
      <c r="O190" s="6" t="s">
        <v>238</v>
      </c>
      <c r="P190" s="6" t="s">
        <v>238</v>
      </c>
      <c r="Q190" s="6" t="s">
        <v>238</v>
      </c>
      <c r="R190" s="6" t="s">
        <v>238</v>
      </c>
      <c r="S190" s="6"/>
      <c r="T190" s="6"/>
      <c r="U190" s="6"/>
      <c r="V190" s="6"/>
      <c r="W190" s="6"/>
      <c r="X190" s="6"/>
      <c r="Y190" s="6"/>
      <c r="Z190" s="6"/>
    </row>
    <row r="191" spans="1:26" s="1" customFormat="1" x14ac:dyDescent="0.3">
      <c r="A191" s="1" t="s">
        <v>113</v>
      </c>
      <c r="B191" s="6">
        <v>17</v>
      </c>
      <c r="C191" s="6" t="s">
        <v>238</v>
      </c>
      <c r="D191" s="6" t="s">
        <v>238</v>
      </c>
      <c r="E191" s="6" t="s">
        <v>238</v>
      </c>
      <c r="F191" s="6" t="s">
        <v>238</v>
      </c>
      <c r="G191" s="6" t="s">
        <v>238</v>
      </c>
      <c r="H191" s="6" t="s">
        <v>238</v>
      </c>
      <c r="I191" s="6" t="s">
        <v>238</v>
      </c>
      <c r="J191" s="6" t="s">
        <v>238</v>
      </c>
      <c r="K191" s="6" t="s">
        <v>238</v>
      </c>
      <c r="L191" s="6" t="s">
        <v>238</v>
      </c>
      <c r="M191" s="6" t="s">
        <v>238</v>
      </c>
      <c r="N191" s="6" t="s">
        <v>238</v>
      </c>
      <c r="O191" s="6" t="s">
        <v>238</v>
      </c>
      <c r="P191" s="6" t="s">
        <v>238</v>
      </c>
      <c r="Q191" s="6" t="s">
        <v>238</v>
      </c>
      <c r="R191" s="6" t="s">
        <v>238</v>
      </c>
      <c r="S191" s="6"/>
      <c r="T191" s="6"/>
      <c r="U191" s="6"/>
      <c r="V191" s="6"/>
      <c r="W191" s="6"/>
      <c r="X191" s="6"/>
      <c r="Y191" s="6"/>
      <c r="Z191" s="6"/>
    </row>
    <row r="192" spans="1:26" s="1" customFormat="1" x14ac:dyDescent="0.3">
      <c r="A192" s="1" t="s">
        <v>122</v>
      </c>
      <c r="B192" s="6">
        <v>17</v>
      </c>
      <c r="C192" s="6" t="s">
        <v>238</v>
      </c>
      <c r="D192" s="6" t="s">
        <v>238</v>
      </c>
      <c r="E192" s="6" t="s">
        <v>238</v>
      </c>
      <c r="F192" s="6" t="s">
        <v>238</v>
      </c>
      <c r="G192" s="6" t="s">
        <v>238</v>
      </c>
      <c r="H192" s="6" t="s">
        <v>238</v>
      </c>
      <c r="I192" s="6" t="s">
        <v>238</v>
      </c>
      <c r="J192" s="6" t="s">
        <v>238</v>
      </c>
      <c r="K192" s="6" t="s">
        <v>238</v>
      </c>
      <c r="L192" s="6" t="s">
        <v>238</v>
      </c>
      <c r="M192" s="6" t="s">
        <v>238</v>
      </c>
      <c r="N192" s="6" t="s">
        <v>238</v>
      </c>
      <c r="O192" s="6" t="s">
        <v>238</v>
      </c>
      <c r="P192" s="6" t="s">
        <v>238</v>
      </c>
      <c r="Q192" s="6" t="s">
        <v>238</v>
      </c>
      <c r="R192" s="6" t="s">
        <v>238</v>
      </c>
      <c r="S192" s="6"/>
      <c r="T192" s="6"/>
      <c r="U192" s="6"/>
      <c r="V192" s="6"/>
      <c r="W192" s="6"/>
      <c r="X192" s="6"/>
      <c r="Y192" s="6"/>
      <c r="Z192" s="6"/>
    </row>
    <row r="193" spans="1:26" s="1" customFormat="1" x14ac:dyDescent="0.3">
      <c r="A193" s="1" t="s">
        <v>376</v>
      </c>
      <c r="B193" s="6">
        <v>17</v>
      </c>
      <c r="C193" s="6" t="s">
        <v>238</v>
      </c>
      <c r="D193" s="6" t="s">
        <v>238</v>
      </c>
      <c r="E193" s="6" t="s">
        <v>238</v>
      </c>
      <c r="F193" s="6" t="s">
        <v>238</v>
      </c>
      <c r="G193" s="6" t="s">
        <v>238</v>
      </c>
      <c r="H193" s="6" t="s">
        <v>238</v>
      </c>
      <c r="I193" s="6" t="s">
        <v>238</v>
      </c>
      <c r="J193" s="6" t="s">
        <v>238</v>
      </c>
      <c r="K193" s="6" t="s">
        <v>238</v>
      </c>
      <c r="L193" s="6" t="s">
        <v>238</v>
      </c>
      <c r="M193" s="6" t="s">
        <v>238</v>
      </c>
      <c r="N193" s="6" t="s">
        <v>238</v>
      </c>
      <c r="O193" s="6" t="s">
        <v>238</v>
      </c>
      <c r="P193" s="6" t="s">
        <v>238</v>
      </c>
      <c r="Q193" s="6" t="s">
        <v>238</v>
      </c>
      <c r="R193" s="6" t="s">
        <v>238</v>
      </c>
      <c r="S193" s="6"/>
      <c r="T193" s="6"/>
      <c r="U193" s="6"/>
      <c r="V193" s="6" t="s">
        <v>241</v>
      </c>
      <c r="W193" s="6"/>
      <c r="X193" s="6"/>
      <c r="Y193" s="6"/>
      <c r="Z193" s="6"/>
    </row>
    <row r="194" spans="1:26" s="1" customFormat="1" x14ac:dyDescent="0.3">
      <c r="A194" s="1" t="s">
        <v>377</v>
      </c>
      <c r="B194" s="6">
        <v>17</v>
      </c>
      <c r="C194" s="6" t="s">
        <v>238</v>
      </c>
      <c r="D194" s="6" t="s">
        <v>238</v>
      </c>
      <c r="E194" s="6" t="s">
        <v>238</v>
      </c>
      <c r="F194" s="6" t="s">
        <v>238</v>
      </c>
      <c r="G194" s="6" t="s">
        <v>238</v>
      </c>
      <c r="H194" s="6" t="s">
        <v>238</v>
      </c>
      <c r="I194" s="6" t="s">
        <v>238</v>
      </c>
      <c r="J194" s="6" t="s">
        <v>238</v>
      </c>
      <c r="K194" s="6" t="s">
        <v>238</v>
      </c>
      <c r="L194" s="6" t="s">
        <v>238</v>
      </c>
      <c r="M194" s="6" t="s">
        <v>238</v>
      </c>
      <c r="N194" s="6" t="s">
        <v>238</v>
      </c>
      <c r="O194" s="6" t="s">
        <v>238</v>
      </c>
      <c r="P194" s="6" t="s">
        <v>238</v>
      </c>
      <c r="Q194" s="6" t="s">
        <v>238</v>
      </c>
      <c r="R194" s="6" t="s">
        <v>238</v>
      </c>
      <c r="S194" s="6" t="s">
        <v>241</v>
      </c>
      <c r="T194" s="6"/>
      <c r="U194" s="6"/>
      <c r="V194" s="6" t="s">
        <v>241</v>
      </c>
      <c r="W194" s="6"/>
      <c r="X194" s="6"/>
      <c r="Y194" s="6"/>
      <c r="Z194" s="6"/>
    </row>
    <row r="195" spans="1:26" s="1" customFormat="1" x14ac:dyDescent="0.3">
      <c r="A195" s="1" t="s">
        <v>378</v>
      </c>
      <c r="B195" s="6">
        <v>17</v>
      </c>
      <c r="C195" s="6" t="s">
        <v>238</v>
      </c>
      <c r="D195" s="6" t="s">
        <v>238</v>
      </c>
      <c r="E195" s="6" t="s">
        <v>238</v>
      </c>
      <c r="F195" s="6" t="s">
        <v>238</v>
      </c>
      <c r="G195" s="6" t="s">
        <v>238</v>
      </c>
      <c r="H195" s="6" t="s">
        <v>238</v>
      </c>
      <c r="I195" s="6" t="s">
        <v>238</v>
      </c>
      <c r="J195" s="6" t="s">
        <v>238</v>
      </c>
      <c r="K195" s="6" t="s">
        <v>238</v>
      </c>
      <c r="L195" s="6" t="s">
        <v>238</v>
      </c>
      <c r="M195" s="6" t="s">
        <v>238</v>
      </c>
      <c r="N195" s="6" t="s">
        <v>238</v>
      </c>
      <c r="O195" s="6" t="s">
        <v>238</v>
      </c>
      <c r="P195" s="6" t="s">
        <v>238</v>
      </c>
      <c r="Q195" s="6" t="s">
        <v>238</v>
      </c>
      <c r="R195" s="6" t="s">
        <v>238</v>
      </c>
      <c r="S195" s="6" t="s">
        <v>116</v>
      </c>
      <c r="T195" s="6"/>
      <c r="U195" s="6"/>
      <c r="V195" s="6"/>
      <c r="W195" s="6"/>
      <c r="X195" s="6"/>
      <c r="Y195" s="6"/>
      <c r="Z195" s="6"/>
    </row>
    <row r="196" spans="1:26" s="1" customFormat="1" x14ac:dyDescent="0.3">
      <c r="A196" s="1" t="s">
        <v>379</v>
      </c>
      <c r="B196" s="6">
        <v>18</v>
      </c>
      <c r="C196" s="6" t="s">
        <v>238</v>
      </c>
      <c r="D196" s="6" t="s">
        <v>238</v>
      </c>
      <c r="E196" s="6" t="s">
        <v>238</v>
      </c>
      <c r="F196" s="6" t="s">
        <v>238</v>
      </c>
      <c r="G196" s="6" t="s">
        <v>238</v>
      </c>
      <c r="H196" s="6" t="s">
        <v>238</v>
      </c>
      <c r="I196" s="6" t="s">
        <v>238</v>
      </c>
      <c r="J196" s="6" t="s">
        <v>238</v>
      </c>
      <c r="K196" s="6" t="s">
        <v>238</v>
      </c>
      <c r="L196" s="6" t="s">
        <v>238</v>
      </c>
      <c r="M196" s="6" t="s">
        <v>238</v>
      </c>
      <c r="N196" s="6" t="s">
        <v>238</v>
      </c>
      <c r="O196" s="6" t="s">
        <v>238</v>
      </c>
      <c r="P196" s="6" t="s">
        <v>238</v>
      </c>
      <c r="Q196" s="6" t="s">
        <v>238</v>
      </c>
      <c r="R196" s="6" t="s">
        <v>238</v>
      </c>
      <c r="S196" s="6" t="s">
        <v>238</v>
      </c>
      <c r="T196" s="6" t="s">
        <v>241</v>
      </c>
      <c r="U196" s="6" t="s">
        <v>238</v>
      </c>
      <c r="V196" s="6" t="s">
        <v>241</v>
      </c>
      <c r="W196" s="6" t="s">
        <v>238</v>
      </c>
      <c r="X196" s="6" t="s">
        <v>238</v>
      </c>
      <c r="Y196" s="6" t="s">
        <v>238</v>
      </c>
      <c r="Z196" s="6" t="s">
        <v>238</v>
      </c>
    </row>
    <row r="197" spans="1:26" s="1" customFormat="1" x14ac:dyDescent="0.3">
      <c r="A197" s="1" t="s">
        <v>380</v>
      </c>
      <c r="B197" s="6">
        <v>18</v>
      </c>
      <c r="C197" s="6" t="s">
        <v>238</v>
      </c>
      <c r="D197" s="6" t="s">
        <v>238</v>
      </c>
      <c r="E197" s="6" t="s">
        <v>238</v>
      </c>
      <c r="F197" s="6" t="s">
        <v>238</v>
      </c>
      <c r="G197" s="6" t="s">
        <v>238</v>
      </c>
      <c r="H197" s="6" t="s">
        <v>238</v>
      </c>
      <c r="I197" s="6" t="s">
        <v>238</v>
      </c>
      <c r="J197" s="6" t="s">
        <v>238</v>
      </c>
      <c r="K197" s="6" t="s">
        <v>238</v>
      </c>
      <c r="L197" s="6" t="s">
        <v>238</v>
      </c>
      <c r="M197" s="6" t="s">
        <v>238</v>
      </c>
      <c r="N197" s="6" t="s">
        <v>238</v>
      </c>
      <c r="O197" s="6" t="s">
        <v>238</v>
      </c>
      <c r="P197" s="6" t="s">
        <v>239</v>
      </c>
      <c r="Q197" s="6" t="s">
        <v>238</v>
      </c>
      <c r="R197" s="6" t="s">
        <v>238</v>
      </c>
      <c r="S197" s="6" t="s">
        <v>238</v>
      </c>
      <c r="T197" s="6" t="s">
        <v>241</v>
      </c>
      <c r="U197" s="6" t="s">
        <v>241</v>
      </c>
      <c r="V197" s="6" t="s">
        <v>238</v>
      </c>
      <c r="W197" s="6" t="s">
        <v>238</v>
      </c>
      <c r="X197" s="6" t="s">
        <v>238</v>
      </c>
      <c r="Y197" s="6" t="s">
        <v>238</v>
      </c>
      <c r="Z197" s="6" t="s">
        <v>238</v>
      </c>
    </row>
    <row r="198" spans="1:26" s="1" customFormat="1" x14ac:dyDescent="0.3">
      <c r="A198" s="1" t="s">
        <v>128</v>
      </c>
      <c r="B198" s="6">
        <v>18</v>
      </c>
      <c r="C198" s="6" t="s">
        <v>238</v>
      </c>
      <c r="D198" s="6" t="s">
        <v>238</v>
      </c>
      <c r="E198" s="6" t="s">
        <v>238</v>
      </c>
      <c r="F198" s="6" t="s">
        <v>238</v>
      </c>
      <c r="G198" s="6" t="s">
        <v>238</v>
      </c>
      <c r="H198" s="6" t="s">
        <v>238</v>
      </c>
      <c r="I198" s="6" t="s">
        <v>238</v>
      </c>
      <c r="J198" s="6" t="s">
        <v>238</v>
      </c>
      <c r="K198" s="6" t="s">
        <v>238</v>
      </c>
      <c r="L198" s="6" t="s">
        <v>238</v>
      </c>
      <c r="M198" s="6" t="s">
        <v>238</v>
      </c>
      <c r="N198" s="6" t="s">
        <v>238</v>
      </c>
      <c r="O198" s="6" t="s">
        <v>238</v>
      </c>
      <c r="P198" s="6" t="s">
        <v>238</v>
      </c>
      <c r="Q198" s="6" t="s">
        <v>238</v>
      </c>
      <c r="R198" s="6" t="s">
        <v>238</v>
      </c>
      <c r="S198" s="6" t="s">
        <v>238</v>
      </c>
      <c r="T198" s="6" t="s">
        <v>238</v>
      </c>
      <c r="U198" s="6" t="s">
        <v>238</v>
      </c>
      <c r="V198" s="6" t="s">
        <v>238</v>
      </c>
      <c r="W198" s="6" t="s">
        <v>238</v>
      </c>
      <c r="X198" s="6" t="s">
        <v>241</v>
      </c>
      <c r="Y198" s="6" t="s">
        <v>238</v>
      </c>
      <c r="Z198" s="6" t="s">
        <v>238</v>
      </c>
    </row>
    <row r="199" spans="1:26" s="1" customFormat="1" x14ac:dyDescent="0.3">
      <c r="A199" s="1" t="s">
        <v>127</v>
      </c>
      <c r="B199" s="6">
        <v>18</v>
      </c>
      <c r="C199" s="6" t="s">
        <v>238</v>
      </c>
      <c r="D199" s="6" t="s">
        <v>238</v>
      </c>
      <c r="E199" s="6" t="s">
        <v>238</v>
      </c>
      <c r="F199" s="6" t="s">
        <v>238</v>
      </c>
      <c r="G199" s="6" t="s">
        <v>238</v>
      </c>
      <c r="H199" s="6" t="s">
        <v>238</v>
      </c>
      <c r="I199" s="6" t="s">
        <v>238</v>
      </c>
      <c r="J199" s="6" t="s">
        <v>238</v>
      </c>
      <c r="K199" s="6" t="s">
        <v>238</v>
      </c>
      <c r="L199" s="6" t="s">
        <v>238</v>
      </c>
      <c r="M199" s="6" t="s">
        <v>238</v>
      </c>
      <c r="N199" s="6" t="s">
        <v>238</v>
      </c>
      <c r="O199" s="6" t="s">
        <v>238</v>
      </c>
      <c r="P199" s="6" t="s">
        <v>238</v>
      </c>
      <c r="Q199" s="6" t="s">
        <v>238</v>
      </c>
      <c r="R199" s="6" t="s">
        <v>238</v>
      </c>
      <c r="S199" s="6" t="s">
        <v>238</v>
      </c>
      <c r="T199" s="6" t="s">
        <v>238</v>
      </c>
      <c r="U199" s="6" t="s">
        <v>238</v>
      </c>
      <c r="V199" s="6" t="s">
        <v>238</v>
      </c>
      <c r="W199" s="6" t="s">
        <v>238</v>
      </c>
      <c r="X199" s="6" t="s">
        <v>238</v>
      </c>
      <c r="Y199" s="6" t="s">
        <v>238</v>
      </c>
      <c r="Z199" s="6" t="s">
        <v>238</v>
      </c>
    </row>
    <row r="200" spans="1:26" s="1" customFormat="1" x14ac:dyDescent="0.3">
      <c r="A200" s="1" t="s">
        <v>130</v>
      </c>
      <c r="B200" s="6">
        <v>18</v>
      </c>
      <c r="C200" s="6" t="s">
        <v>238</v>
      </c>
      <c r="D200" s="6" t="s">
        <v>238</v>
      </c>
      <c r="E200" s="6" t="s">
        <v>238</v>
      </c>
      <c r="F200" s="6" t="s">
        <v>238</v>
      </c>
      <c r="G200" s="6" t="s">
        <v>238</v>
      </c>
      <c r="H200" s="6" t="s">
        <v>238</v>
      </c>
      <c r="I200" s="6" t="s">
        <v>238</v>
      </c>
      <c r="J200" s="6" t="s">
        <v>238</v>
      </c>
      <c r="K200" s="6" t="s">
        <v>238</v>
      </c>
      <c r="L200" s="6" t="s">
        <v>238</v>
      </c>
      <c r="M200" s="6" t="s">
        <v>238</v>
      </c>
      <c r="N200" s="6" t="s">
        <v>238</v>
      </c>
      <c r="O200" s="6" t="s">
        <v>238</v>
      </c>
      <c r="P200" s="6" t="s">
        <v>238</v>
      </c>
      <c r="Q200" s="6" t="s">
        <v>238</v>
      </c>
      <c r="R200" s="6" t="s">
        <v>238</v>
      </c>
      <c r="S200" s="6" t="s">
        <v>238</v>
      </c>
      <c r="T200" s="6" t="s">
        <v>238</v>
      </c>
      <c r="U200" s="6" t="s">
        <v>239</v>
      </c>
      <c r="V200" s="6" t="s">
        <v>238</v>
      </c>
      <c r="W200" s="6" t="s">
        <v>238</v>
      </c>
      <c r="X200" s="6" t="s">
        <v>238</v>
      </c>
      <c r="Y200" s="6" t="s">
        <v>238</v>
      </c>
      <c r="Z200" s="6" t="s">
        <v>238</v>
      </c>
    </row>
    <row r="201" spans="1:26" s="1" customFormat="1" x14ac:dyDescent="0.3">
      <c r="A201" s="1" t="s">
        <v>137</v>
      </c>
      <c r="B201" s="6">
        <v>18</v>
      </c>
      <c r="C201" s="6" t="s">
        <v>238</v>
      </c>
      <c r="D201" s="6" t="s">
        <v>238</v>
      </c>
      <c r="E201" s="6" t="s">
        <v>238</v>
      </c>
      <c r="F201" s="6" t="s">
        <v>238</v>
      </c>
      <c r="G201" s="6" t="s">
        <v>238</v>
      </c>
      <c r="H201" s="6" t="s">
        <v>238</v>
      </c>
      <c r="I201" s="6" t="s">
        <v>238</v>
      </c>
      <c r="J201" s="6" t="s">
        <v>238</v>
      </c>
      <c r="K201" s="6" t="s">
        <v>238</v>
      </c>
      <c r="L201" s="6" t="s">
        <v>238</v>
      </c>
      <c r="M201" s="6" t="s">
        <v>238</v>
      </c>
      <c r="N201" s="6" t="s">
        <v>238</v>
      </c>
      <c r="O201" s="6" t="s">
        <v>238</v>
      </c>
      <c r="P201" s="6" t="s">
        <v>238</v>
      </c>
      <c r="Q201" s="6" t="s">
        <v>238</v>
      </c>
      <c r="R201" s="6" t="s">
        <v>238</v>
      </c>
      <c r="S201" s="6" t="s">
        <v>238</v>
      </c>
      <c r="T201" s="6" t="s">
        <v>238</v>
      </c>
      <c r="U201" s="6" t="s">
        <v>238</v>
      </c>
      <c r="V201" s="6" t="s">
        <v>238</v>
      </c>
      <c r="W201" s="6" t="s">
        <v>238</v>
      </c>
      <c r="X201" s="6" t="s">
        <v>238</v>
      </c>
      <c r="Y201" s="6" t="s">
        <v>238</v>
      </c>
      <c r="Z201" s="6" t="s">
        <v>238</v>
      </c>
    </row>
    <row r="202" spans="1:26" s="1" customFormat="1" x14ac:dyDescent="0.3">
      <c r="A202" s="1" t="s">
        <v>134</v>
      </c>
      <c r="B202" s="6">
        <v>18</v>
      </c>
      <c r="C202" s="6" t="s">
        <v>238</v>
      </c>
      <c r="D202" s="6" t="s">
        <v>238</v>
      </c>
      <c r="E202" s="6" t="s">
        <v>238</v>
      </c>
      <c r="F202" s="6" t="s">
        <v>238</v>
      </c>
      <c r="G202" s="6" t="s">
        <v>238</v>
      </c>
      <c r="H202" s="6" t="s">
        <v>238</v>
      </c>
      <c r="I202" s="6" t="s">
        <v>238</v>
      </c>
      <c r="J202" s="6" t="s">
        <v>238</v>
      </c>
      <c r="K202" s="6" t="s">
        <v>238</v>
      </c>
      <c r="L202" s="6" t="s">
        <v>238</v>
      </c>
      <c r="M202" s="6" t="s">
        <v>238</v>
      </c>
      <c r="N202" s="6" t="s">
        <v>238</v>
      </c>
      <c r="O202" s="6" t="s">
        <v>238</v>
      </c>
      <c r="P202" s="6" t="s">
        <v>238</v>
      </c>
      <c r="Q202" s="6" t="s">
        <v>238</v>
      </c>
      <c r="R202" s="6" t="s">
        <v>238</v>
      </c>
      <c r="S202" s="6" t="s">
        <v>238</v>
      </c>
      <c r="T202" s="6" t="s">
        <v>238</v>
      </c>
      <c r="U202" s="6" t="s">
        <v>241</v>
      </c>
      <c r="V202" s="6" t="s">
        <v>238</v>
      </c>
      <c r="W202" s="6" t="s">
        <v>238</v>
      </c>
      <c r="X202" s="6" t="s">
        <v>238</v>
      </c>
      <c r="Y202" s="6" t="s">
        <v>238</v>
      </c>
      <c r="Z202" s="6" t="s">
        <v>238</v>
      </c>
    </row>
    <row r="203" spans="1:26" s="1" customFormat="1" x14ac:dyDescent="0.3">
      <c r="A203" s="1" t="s">
        <v>381</v>
      </c>
      <c r="B203" s="6">
        <v>18</v>
      </c>
      <c r="C203" s="6" t="s">
        <v>238</v>
      </c>
      <c r="D203" s="6" t="s">
        <v>238</v>
      </c>
      <c r="E203" s="6" t="s">
        <v>238</v>
      </c>
      <c r="F203" s="6" t="s">
        <v>238</v>
      </c>
      <c r="G203" s="6" t="s">
        <v>238</v>
      </c>
      <c r="H203" s="6" t="s">
        <v>238</v>
      </c>
      <c r="I203" s="6" t="s">
        <v>238</v>
      </c>
      <c r="J203" s="6" t="s">
        <v>238</v>
      </c>
      <c r="K203" s="6" t="s">
        <v>238</v>
      </c>
      <c r="L203" s="6" t="s">
        <v>238</v>
      </c>
      <c r="M203" s="6" t="s">
        <v>238</v>
      </c>
      <c r="N203" s="6" t="s">
        <v>238</v>
      </c>
      <c r="O203" s="6" t="s">
        <v>241</v>
      </c>
      <c r="P203" s="6" t="s">
        <v>239</v>
      </c>
      <c r="Q203" s="6" t="s">
        <v>238</v>
      </c>
      <c r="R203" s="6" t="s">
        <v>238</v>
      </c>
      <c r="S203" s="6" t="s">
        <v>238</v>
      </c>
      <c r="T203" s="6" t="s">
        <v>238</v>
      </c>
      <c r="U203" s="6" t="s">
        <v>238</v>
      </c>
      <c r="V203" s="6" t="s">
        <v>238</v>
      </c>
      <c r="W203" s="6" t="s">
        <v>238</v>
      </c>
      <c r="X203" s="6" t="s">
        <v>238</v>
      </c>
      <c r="Y203" s="6" t="s">
        <v>238</v>
      </c>
      <c r="Z203" s="6" t="s">
        <v>238</v>
      </c>
    </row>
    <row r="204" spans="1:26" s="1" customFormat="1" x14ac:dyDescent="0.3">
      <c r="A204" s="1" t="s">
        <v>139</v>
      </c>
      <c r="B204" s="6">
        <v>18</v>
      </c>
      <c r="C204" s="6" t="s">
        <v>238</v>
      </c>
      <c r="D204" s="6" t="s">
        <v>238</v>
      </c>
      <c r="E204" s="6" t="s">
        <v>238</v>
      </c>
      <c r="F204" s="6" t="s">
        <v>238</v>
      </c>
      <c r="G204" s="6" t="s">
        <v>238</v>
      </c>
      <c r="H204" s="6" t="s">
        <v>238</v>
      </c>
      <c r="I204" s="6" t="s">
        <v>238</v>
      </c>
      <c r="J204" s="6" t="s">
        <v>238</v>
      </c>
      <c r="K204" s="6" t="s">
        <v>238</v>
      </c>
      <c r="L204" s="6" t="s">
        <v>238</v>
      </c>
      <c r="M204" s="6" t="s">
        <v>238</v>
      </c>
      <c r="N204" s="6" t="s">
        <v>238</v>
      </c>
      <c r="O204" s="6" t="s">
        <v>238</v>
      </c>
      <c r="P204" s="6" t="s">
        <v>238</v>
      </c>
      <c r="Q204" s="6" t="s">
        <v>238</v>
      </c>
      <c r="R204" s="6" t="s">
        <v>238</v>
      </c>
      <c r="S204" s="6" t="s">
        <v>238</v>
      </c>
      <c r="T204" s="6" t="s">
        <v>238</v>
      </c>
      <c r="U204" s="6" t="s">
        <v>238</v>
      </c>
      <c r="V204" s="6" t="s">
        <v>238</v>
      </c>
      <c r="W204" s="6" t="s">
        <v>238</v>
      </c>
      <c r="X204" s="6" t="s">
        <v>238</v>
      </c>
      <c r="Y204" s="6" t="s">
        <v>238</v>
      </c>
      <c r="Z204" s="6" t="s">
        <v>238</v>
      </c>
    </row>
    <row r="205" spans="1:26" s="1" customFormat="1" x14ac:dyDescent="0.3">
      <c r="A205" s="1" t="s">
        <v>102</v>
      </c>
      <c r="B205" s="6">
        <v>18</v>
      </c>
      <c r="C205" s="6" t="s">
        <v>238</v>
      </c>
      <c r="D205" s="6" t="s">
        <v>238</v>
      </c>
      <c r="E205" s="6" t="s">
        <v>238</v>
      </c>
      <c r="F205" s="6" t="s">
        <v>238</v>
      </c>
      <c r="G205" s="6" t="s">
        <v>238</v>
      </c>
      <c r="H205" s="6" t="s">
        <v>238</v>
      </c>
      <c r="I205" s="6" t="s">
        <v>238</v>
      </c>
      <c r="J205" s="6" t="s">
        <v>238</v>
      </c>
      <c r="K205" s="6" t="s">
        <v>238</v>
      </c>
      <c r="L205" s="6" t="s">
        <v>238</v>
      </c>
      <c r="M205" s="6" t="s">
        <v>238</v>
      </c>
      <c r="N205" s="6" t="s">
        <v>238</v>
      </c>
      <c r="O205" s="6" t="s">
        <v>238</v>
      </c>
      <c r="P205" s="6" t="s">
        <v>238</v>
      </c>
      <c r="Q205" s="6" t="s">
        <v>238</v>
      </c>
      <c r="R205" s="6" t="s">
        <v>238</v>
      </c>
      <c r="S205" s="6" t="s">
        <v>238</v>
      </c>
      <c r="T205" s="6" t="s">
        <v>238</v>
      </c>
      <c r="U205" s="6" t="s">
        <v>238</v>
      </c>
      <c r="V205" s="6" t="s">
        <v>238</v>
      </c>
      <c r="W205" s="6" t="s">
        <v>241</v>
      </c>
      <c r="X205" s="6" t="s">
        <v>238</v>
      </c>
      <c r="Y205" s="6" t="s">
        <v>238</v>
      </c>
      <c r="Z205" s="6" t="s">
        <v>238</v>
      </c>
    </row>
    <row r="206" spans="1:26" s="1" customFormat="1" x14ac:dyDescent="0.3">
      <c r="A206" s="1" t="s">
        <v>382</v>
      </c>
      <c r="B206" s="6">
        <v>18</v>
      </c>
      <c r="C206" s="6" t="s">
        <v>238</v>
      </c>
      <c r="D206" s="6" t="s">
        <v>238</v>
      </c>
      <c r="E206" s="6" t="s">
        <v>238</v>
      </c>
      <c r="F206" s="6" t="s">
        <v>238</v>
      </c>
      <c r="G206" s="6" t="s">
        <v>238</v>
      </c>
      <c r="H206" s="6" t="s">
        <v>238</v>
      </c>
      <c r="I206" s="6" t="s">
        <v>238</v>
      </c>
      <c r="J206" s="6" t="s">
        <v>238</v>
      </c>
      <c r="K206" s="6" t="s">
        <v>238</v>
      </c>
      <c r="L206" s="6" t="s">
        <v>238</v>
      </c>
      <c r="M206" s="6" t="s">
        <v>238</v>
      </c>
      <c r="N206" s="6" t="s">
        <v>238</v>
      </c>
      <c r="O206" s="6" t="s">
        <v>238</v>
      </c>
      <c r="P206" s="6" t="s">
        <v>238</v>
      </c>
      <c r="Q206" s="6" t="s">
        <v>238</v>
      </c>
      <c r="R206" s="6" t="s">
        <v>238</v>
      </c>
      <c r="S206" s="6" t="s">
        <v>238</v>
      </c>
      <c r="T206" s="6" t="s">
        <v>238</v>
      </c>
      <c r="U206" s="6" t="s">
        <v>241</v>
      </c>
      <c r="V206" s="6" t="s">
        <v>241</v>
      </c>
      <c r="W206" s="6" t="s">
        <v>238</v>
      </c>
      <c r="X206" s="6" t="s">
        <v>238</v>
      </c>
      <c r="Y206" s="6" t="s">
        <v>238</v>
      </c>
      <c r="Z206" s="6" t="s">
        <v>238</v>
      </c>
    </row>
    <row r="207" spans="1:26" s="1" customFormat="1" x14ac:dyDescent="0.3">
      <c r="A207" s="1" t="s">
        <v>135</v>
      </c>
      <c r="B207" s="6">
        <v>18</v>
      </c>
      <c r="C207" s="6" t="s">
        <v>238</v>
      </c>
      <c r="D207" s="6" t="s">
        <v>238</v>
      </c>
      <c r="E207" s="6" t="s">
        <v>238</v>
      </c>
      <c r="F207" s="6" t="s">
        <v>238</v>
      </c>
      <c r="G207" s="6" t="s">
        <v>238</v>
      </c>
      <c r="H207" s="6" t="s">
        <v>238</v>
      </c>
      <c r="I207" s="6" t="s">
        <v>238</v>
      </c>
      <c r="J207" s="6" t="s">
        <v>238</v>
      </c>
      <c r="K207" s="6" t="s">
        <v>238</v>
      </c>
      <c r="L207" s="6" t="s">
        <v>238</v>
      </c>
      <c r="M207" s="6" t="s">
        <v>238</v>
      </c>
      <c r="N207" s="6" t="s">
        <v>238</v>
      </c>
      <c r="O207" s="6" t="s">
        <v>238</v>
      </c>
      <c r="P207" s="6" t="s">
        <v>238</v>
      </c>
      <c r="Q207" s="6" t="s">
        <v>238</v>
      </c>
      <c r="R207" s="6" t="s">
        <v>238</v>
      </c>
      <c r="S207" s="6" t="s">
        <v>238</v>
      </c>
      <c r="T207" s="6" t="s">
        <v>238</v>
      </c>
      <c r="U207" s="6" t="s">
        <v>238</v>
      </c>
      <c r="V207" s="6" t="s">
        <v>238</v>
      </c>
      <c r="W207" s="6" t="s">
        <v>238</v>
      </c>
      <c r="X207" s="6" t="s">
        <v>238</v>
      </c>
      <c r="Y207" s="6" t="s">
        <v>238</v>
      </c>
      <c r="Z207" s="6" t="s">
        <v>238</v>
      </c>
    </row>
    <row r="208" spans="1:26" s="1" customFormat="1" x14ac:dyDescent="0.3">
      <c r="A208" s="33" t="s">
        <v>138</v>
      </c>
      <c r="B208" s="93">
        <v>18</v>
      </c>
      <c r="C208" s="6" t="s">
        <v>238</v>
      </c>
      <c r="D208" s="6" t="s">
        <v>238</v>
      </c>
      <c r="E208" s="6" t="s">
        <v>238</v>
      </c>
      <c r="F208" s="6" t="s">
        <v>238</v>
      </c>
      <c r="G208" s="6" t="s">
        <v>238</v>
      </c>
      <c r="H208" s="6" t="s">
        <v>238</v>
      </c>
      <c r="I208" s="6" t="s">
        <v>238</v>
      </c>
      <c r="J208" s="6" t="s">
        <v>238</v>
      </c>
      <c r="K208" s="6" t="s">
        <v>238</v>
      </c>
      <c r="L208" s="6" t="s">
        <v>238</v>
      </c>
      <c r="M208" s="6" t="s">
        <v>238</v>
      </c>
      <c r="N208" s="6" t="s">
        <v>238</v>
      </c>
      <c r="O208" s="93" t="s">
        <v>238</v>
      </c>
      <c r="P208" s="93" t="s">
        <v>238</v>
      </c>
      <c r="Q208" s="6" t="s">
        <v>238</v>
      </c>
      <c r="R208" s="6" t="s">
        <v>238</v>
      </c>
      <c r="S208" s="6" t="s">
        <v>238</v>
      </c>
      <c r="T208" s="6" t="s">
        <v>238</v>
      </c>
      <c r="U208" s="6" t="s">
        <v>238</v>
      </c>
      <c r="V208" s="6" t="s">
        <v>238</v>
      </c>
      <c r="W208" s="6" t="s">
        <v>238</v>
      </c>
      <c r="X208" s="6" t="s">
        <v>238</v>
      </c>
      <c r="Y208" s="6" t="s">
        <v>238</v>
      </c>
      <c r="Z208" s="6" t="s">
        <v>238</v>
      </c>
    </row>
    <row r="209" spans="1:26" x14ac:dyDescent="0.3">
      <c r="A209" s="9" t="s">
        <v>383</v>
      </c>
      <c r="B209" s="19">
        <v>19</v>
      </c>
      <c r="C209" s="6" t="s">
        <v>238</v>
      </c>
      <c r="D209" s="6" t="s">
        <v>238</v>
      </c>
      <c r="E209" s="6" t="s">
        <v>238</v>
      </c>
      <c r="F209" s="6" t="s">
        <v>238</v>
      </c>
      <c r="G209" s="6" t="s">
        <v>238</v>
      </c>
      <c r="H209" s="6" t="s">
        <v>238</v>
      </c>
      <c r="I209" s="6" t="s">
        <v>238</v>
      </c>
      <c r="J209" s="6" t="s">
        <v>238</v>
      </c>
      <c r="K209" s="6" t="s">
        <v>238</v>
      </c>
      <c r="L209" s="6" t="s">
        <v>238</v>
      </c>
      <c r="M209" s="6" t="s">
        <v>238</v>
      </c>
      <c r="N209" s="6" t="s">
        <v>238</v>
      </c>
      <c r="O209" s="6" t="s">
        <v>238</v>
      </c>
      <c r="P209" s="6" t="s">
        <v>238</v>
      </c>
      <c r="Q209" s="6" t="s">
        <v>238</v>
      </c>
      <c r="R209" s="6" t="s">
        <v>238</v>
      </c>
      <c r="S209" s="6" t="s">
        <v>238</v>
      </c>
      <c r="T209" s="6" t="s">
        <v>238</v>
      </c>
      <c r="U209" s="6" t="s">
        <v>238</v>
      </c>
      <c r="V209" s="6" t="s">
        <v>238</v>
      </c>
      <c r="W209" s="6" t="s">
        <v>241</v>
      </c>
      <c r="X209" s="6" t="s">
        <v>238</v>
      </c>
      <c r="Y209" s="6" t="s">
        <v>238</v>
      </c>
      <c r="Z209" s="6" t="s">
        <v>238</v>
      </c>
    </row>
    <row r="210" spans="1:26" x14ac:dyDescent="0.3">
      <c r="A210" s="9" t="s">
        <v>384</v>
      </c>
      <c r="B210" s="19">
        <v>19</v>
      </c>
      <c r="C210" s="6" t="s">
        <v>238</v>
      </c>
      <c r="D210" s="6" t="s">
        <v>238</v>
      </c>
      <c r="E210" s="6" t="s">
        <v>238</v>
      </c>
      <c r="F210" s="6" t="s">
        <v>238</v>
      </c>
      <c r="G210" s="6" t="s">
        <v>238</v>
      </c>
      <c r="H210" s="6" t="s">
        <v>238</v>
      </c>
      <c r="I210" s="6" t="s">
        <v>238</v>
      </c>
      <c r="J210" s="6" t="s">
        <v>238</v>
      </c>
      <c r="K210" s="6" t="s">
        <v>238</v>
      </c>
      <c r="L210" s="6" t="s">
        <v>238</v>
      </c>
      <c r="M210" s="6" t="s">
        <v>238</v>
      </c>
      <c r="N210" s="6" t="s">
        <v>238</v>
      </c>
      <c r="O210" s="6" t="s">
        <v>238</v>
      </c>
      <c r="P210" s="6" t="s">
        <v>238</v>
      </c>
      <c r="Q210" s="6" t="s">
        <v>238</v>
      </c>
      <c r="R210" s="6" t="s">
        <v>238</v>
      </c>
      <c r="S210" s="6" t="s">
        <v>238</v>
      </c>
      <c r="T210" s="6" t="s">
        <v>238</v>
      </c>
      <c r="U210" s="6" t="s">
        <v>238</v>
      </c>
      <c r="V210" s="6" t="s">
        <v>238</v>
      </c>
      <c r="W210" s="6" t="s">
        <v>238</v>
      </c>
      <c r="X210" s="6" t="s">
        <v>241</v>
      </c>
      <c r="Y210" s="6" t="s">
        <v>238</v>
      </c>
      <c r="Z210" s="6" t="s">
        <v>238</v>
      </c>
    </row>
    <row r="211" spans="1:26" x14ac:dyDescent="0.3">
      <c r="A211" s="9" t="s">
        <v>141</v>
      </c>
      <c r="B211" s="19">
        <v>19</v>
      </c>
      <c r="C211" s="6" t="s">
        <v>238</v>
      </c>
      <c r="D211" s="6" t="s">
        <v>238</v>
      </c>
      <c r="E211" s="6" t="s">
        <v>238</v>
      </c>
      <c r="F211" s="6" t="s">
        <v>238</v>
      </c>
      <c r="G211" s="6" t="s">
        <v>238</v>
      </c>
      <c r="H211" s="6" t="s">
        <v>238</v>
      </c>
      <c r="I211" s="6" t="s">
        <v>238</v>
      </c>
      <c r="J211" s="6" t="s">
        <v>238</v>
      </c>
      <c r="K211" s="6" t="s">
        <v>238</v>
      </c>
      <c r="L211" s="6" t="s">
        <v>238</v>
      </c>
      <c r="M211" s="6" t="s">
        <v>238</v>
      </c>
      <c r="N211" s="6" t="s">
        <v>238</v>
      </c>
      <c r="O211" s="6" t="s">
        <v>238</v>
      </c>
      <c r="P211" s="6" t="s">
        <v>238</v>
      </c>
      <c r="Q211" s="6" t="s">
        <v>238</v>
      </c>
      <c r="R211" s="6" t="s">
        <v>238</v>
      </c>
      <c r="S211" s="6" t="s">
        <v>238</v>
      </c>
      <c r="T211" s="6" t="s">
        <v>238</v>
      </c>
      <c r="U211" s="6" t="s">
        <v>238</v>
      </c>
      <c r="V211" s="6" t="s">
        <v>238</v>
      </c>
      <c r="W211" s="6" t="s">
        <v>238</v>
      </c>
      <c r="X211" s="6" t="s">
        <v>238</v>
      </c>
      <c r="Y211" s="6" t="s">
        <v>238</v>
      </c>
      <c r="Z211" s="6" t="s">
        <v>238</v>
      </c>
    </row>
    <row r="212" spans="1:26" x14ac:dyDescent="0.3">
      <c r="A212" s="9" t="s">
        <v>385</v>
      </c>
      <c r="B212" s="19">
        <v>19</v>
      </c>
      <c r="C212" s="6" t="s">
        <v>238</v>
      </c>
      <c r="D212" s="6" t="s">
        <v>238</v>
      </c>
      <c r="E212" s="6" t="s">
        <v>238</v>
      </c>
      <c r="F212" s="6" t="s">
        <v>238</v>
      </c>
      <c r="G212" s="6" t="s">
        <v>238</v>
      </c>
      <c r="H212" s="6" t="s">
        <v>238</v>
      </c>
      <c r="I212" s="6" t="s">
        <v>238</v>
      </c>
      <c r="J212" s="6" t="s">
        <v>238</v>
      </c>
      <c r="K212" s="6" t="s">
        <v>238</v>
      </c>
      <c r="L212" s="6" t="s">
        <v>238</v>
      </c>
      <c r="M212" s="6" t="s">
        <v>238</v>
      </c>
      <c r="N212" s="6" t="s">
        <v>238</v>
      </c>
      <c r="O212" s="6" t="s">
        <v>238</v>
      </c>
      <c r="P212" s="6" t="s">
        <v>238</v>
      </c>
      <c r="Q212" s="6" t="s">
        <v>238</v>
      </c>
      <c r="R212" s="6" t="s">
        <v>238</v>
      </c>
      <c r="S212" s="6" t="s">
        <v>238</v>
      </c>
      <c r="T212" s="6" t="s">
        <v>238</v>
      </c>
      <c r="U212" s="6" t="s">
        <v>238</v>
      </c>
      <c r="V212" s="6" t="s">
        <v>238</v>
      </c>
      <c r="W212" s="6" t="s">
        <v>241</v>
      </c>
      <c r="X212" s="6" t="s">
        <v>241</v>
      </c>
      <c r="Y212" s="6" t="s">
        <v>238</v>
      </c>
      <c r="Z212" s="6" t="s">
        <v>238</v>
      </c>
    </row>
    <row r="213" spans="1:26" x14ac:dyDescent="0.3">
      <c r="A213" s="9" t="s">
        <v>386</v>
      </c>
      <c r="B213" s="19">
        <v>19</v>
      </c>
      <c r="C213" s="6" t="s">
        <v>238</v>
      </c>
      <c r="D213" s="6" t="s">
        <v>238</v>
      </c>
      <c r="E213" s="6" t="s">
        <v>238</v>
      </c>
      <c r="F213" s="6" t="s">
        <v>238</v>
      </c>
      <c r="G213" s="6" t="s">
        <v>238</v>
      </c>
      <c r="H213" s="6" t="s">
        <v>238</v>
      </c>
      <c r="I213" s="6" t="s">
        <v>238</v>
      </c>
      <c r="J213" s="6" t="s">
        <v>238</v>
      </c>
      <c r="K213" s="6" t="s">
        <v>238</v>
      </c>
      <c r="L213" s="6" t="s">
        <v>238</v>
      </c>
      <c r="M213" s="6" t="s">
        <v>238</v>
      </c>
      <c r="N213" s="6" t="s">
        <v>238</v>
      </c>
      <c r="O213" s="6" t="s">
        <v>238</v>
      </c>
      <c r="P213" s="6" t="s">
        <v>238</v>
      </c>
      <c r="Q213" s="6" t="s">
        <v>238</v>
      </c>
      <c r="R213" s="6" t="s">
        <v>238</v>
      </c>
      <c r="S213" s="6" t="s">
        <v>238</v>
      </c>
      <c r="T213" s="6" t="s">
        <v>238</v>
      </c>
      <c r="U213" s="6" t="s">
        <v>238</v>
      </c>
      <c r="V213" s="6" t="s">
        <v>238</v>
      </c>
      <c r="W213" s="6" t="s">
        <v>238</v>
      </c>
      <c r="X213" s="6" t="s">
        <v>238</v>
      </c>
      <c r="Y213" s="6" t="s">
        <v>238</v>
      </c>
      <c r="Z213" s="6" t="s">
        <v>238</v>
      </c>
    </row>
    <row r="214" spans="1:26" x14ac:dyDescent="0.3">
      <c r="A214" s="9" t="s">
        <v>146</v>
      </c>
      <c r="B214" s="19">
        <v>19</v>
      </c>
      <c r="C214" s="6" t="s">
        <v>238</v>
      </c>
      <c r="D214" s="6" t="s">
        <v>238</v>
      </c>
      <c r="E214" s="6" t="s">
        <v>238</v>
      </c>
      <c r="F214" s="6" t="s">
        <v>238</v>
      </c>
      <c r="G214" s="6" t="s">
        <v>238</v>
      </c>
      <c r="H214" s="6" t="s">
        <v>238</v>
      </c>
      <c r="I214" s="6" t="s">
        <v>238</v>
      </c>
      <c r="J214" s="6" t="s">
        <v>238</v>
      </c>
      <c r="K214" s="6" t="s">
        <v>238</v>
      </c>
      <c r="L214" s="6" t="s">
        <v>238</v>
      </c>
      <c r="M214" s="6" t="s">
        <v>238</v>
      </c>
      <c r="N214" s="6" t="s">
        <v>238</v>
      </c>
      <c r="O214" s="6" t="s">
        <v>238</v>
      </c>
      <c r="P214" s="6" t="s">
        <v>238</v>
      </c>
      <c r="Q214" s="6" t="s">
        <v>238</v>
      </c>
      <c r="R214" s="6" t="s">
        <v>238</v>
      </c>
      <c r="S214" s="6" t="s">
        <v>238</v>
      </c>
      <c r="T214" s="6" t="s">
        <v>238</v>
      </c>
      <c r="U214" s="6" t="s">
        <v>238</v>
      </c>
      <c r="V214" s="6" t="s">
        <v>238</v>
      </c>
      <c r="W214" s="6" t="s">
        <v>238</v>
      </c>
      <c r="X214" s="6" t="s">
        <v>238</v>
      </c>
      <c r="Y214" s="6" t="s">
        <v>238</v>
      </c>
      <c r="Z214" s="6" t="s">
        <v>238</v>
      </c>
    </row>
    <row r="215" spans="1:26" x14ac:dyDescent="0.3">
      <c r="A215" s="9" t="s">
        <v>387</v>
      </c>
      <c r="B215" s="19">
        <v>19</v>
      </c>
      <c r="C215" s="6" t="s">
        <v>238</v>
      </c>
      <c r="D215" s="6" t="s">
        <v>238</v>
      </c>
      <c r="E215" s="6" t="s">
        <v>238</v>
      </c>
      <c r="F215" s="6" t="s">
        <v>238</v>
      </c>
      <c r="G215" s="6" t="s">
        <v>238</v>
      </c>
      <c r="H215" s="6" t="s">
        <v>238</v>
      </c>
      <c r="I215" s="6" t="s">
        <v>238</v>
      </c>
      <c r="J215" s="6" t="s">
        <v>238</v>
      </c>
      <c r="K215" s="6" t="s">
        <v>238</v>
      </c>
      <c r="L215" s="6" t="s">
        <v>238</v>
      </c>
      <c r="M215" s="6" t="s">
        <v>238</v>
      </c>
      <c r="N215" s="6" t="s">
        <v>238</v>
      </c>
      <c r="O215" s="6" t="s">
        <v>238</v>
      </c>
      <c r="P215" s="6" t="s">
        <v>238</v>
      </c>
      <c r="Q215" s="6" t="s">
        <v>238</v>
      </c>
      <c r="R215" s="6" t="s">
        <v>238</v>
      </c>
      <c r="S215" s="6" t="s">
        <v>238</v>
      </c>
      <c r="T215" s="6" t="s">
        <v>238</v>
      </c>
      <c r="U215" s="6" t="s">
        <v>239</v>
      </c>
      <c r="V215" s="6" t="s">
        <v>238</v>
      </c>
      <c r="W215" s="6" t="s">
        <v>238</v>
      </c>
      <c r="X215" s="6" t="s">
        <v>238</v>
      </c>
      <c r="Y215" s="6" t="s">
        <v>238</v>
      </c>
      <c r="Z215" s="6" t="s">
        <v>238</v>
      </c>
    </row>
    <row r="216" spans="1:26" x14ac:dyDescent="0.3">
      <c r="A216" s="9" t="s">
        <v>175</v>
      </c>
      <c r="B216" s="19">
        <v>19</v>
      </c>
      <c r="C216" s="6" t="s">
        <v>238</v>
      </c>
      <c r="D216" s="6" t="s">
        <v>238</v>
      </c>
      <c r="E216" s="6" t="s">
        <v>238</v>
      </c>
      <c r="F216" s="6" t="s">
        <v>238</v>
      </c>
      <c r="G216" s="6" t="s">
        <v>238</v>
      </c>
      <c r="H216" s="6" t="s">
        <v>238</v>
      </c>
      <c r="I216" s="6" t="s">
        <v>238</v>
      </c>
      <c r="J216" s="6" t="s">
        <v>238</v>
      </c>
      <c r="K216" s="6" t="s">
        <v>238</v>
      </c>
      <c r="L216" s="6" t="s">
        <v>238</v>
      </c>
      <c r="M216" s="6" t="s">
        <v>238</v>
      </c>
      <c r="N216" s="6" t="s">
        <v>238</v>
      </c>
      <c r="O216" s="6" t="s">
        <v>238</v>
      </c>
      <c r="P216" s="6" t="s">
        <v>238</v>
      </c>
      <c r="Q216" s="6" t="s">
        <v>238</v>
      </c>
      <c r="R216" s="6" t="s">
        <v>238</v>
      </c>
      <c r="S216" s="6" t="s">
        <v>238</v>
      </c>
      <c r="T216" s="6" t="s">
        <v>238</v>
      </c>
      <c r="U216" s="6" t="s">
        <v>238</v>
      </c>
      <c r="V216" s="6" t="s">
        <v>238</v>
      </c>
      <c r="W216" s="6" t="s">
        <v>238</v>
      </c>
      <c r="X216" s="6" t="s">
        <v>238</v>
      </c>
      <c r="Y216" s="6" t="s">
        <v>238</v>
      </c>
      <c r="Z216" s="6" t="s">
        <v>238</v>
      </c>
    </row>
    <row r="217" spans="1:26" x14ac:dyDescent="0.3">
      <c r="A217" s="9" t="s">
        <v>143</v>
      </c>
      <c r="B217" s="19">
        <v>19</v>
      </c>
      <c r="C217" s="6" t="s">
        <v>238</v>
      </c>
      <c r="D217" s="6" t="s">
        <v>238</v>
      </c>
      <c r="E217" s="6" t="s">
        <v>238</v>
      </c>
      <c r="F217" s="6" t="s">
        <v>238</v>
      </c>
      <c r="G217" s="6" t="s">
        <v>238</v>
      </c>
      <c r="H217" s="6" t="s">
        <v>238</v>
      </c>
      <c r="I217" s="6" t="s">
        <v>238</v>
      </c>
      <c r="J217" s="6" t="s">
        <v>238</v>
      </c>
      <c r="K217" s="6" t="s">
        <v>238</v>
      </c>
      <c r="L217" s="6" t="s">
        <v>238</v>
      </c>
      <c r="M217" s="6" t="s">
        <v>238</v>
      </c>
      <c r="N217" s="6" t="s">
        <v>238</v>
      </c>
      <c r="O217" s="6" t="s">
        <v>238</v>
      </c>
      <c r="P217" s="6" t="s">
        <v>238</v>
      </c>
      <c r="Q217" s="6" t="s">
        <v>238</v>
      </c>
      <c r="R217" s="6" t="s">
        <v>238</v>
      </c>
      <c r="S217" s="6" t="s">
        <v>238</v>
      </c>
      <c r="T217" s="6" t="s">
        <v>238</v>
      </c>
      <c r="U217" s="6" t="s">
        <v>238</v>
      </c>
      <c r="V217" s="6" t="s">
        <v>238</v>
      </c>
      <c r="W217" s="6" t="s">
        <v>241</v>
      </c>
      <c r="X217" s="6" t="s">
        <v>241</v>
      </c>
      <c r="Y217" s="6" t="s">
        <v>238</v>
      </c>
      <c r="Z217" s="6" t="s">
        <v>238</v>
      </c>
    </row>
    <row r="218" spans="1:26" x14ac:dyDescent="0.3">
      <c r="A218" s="9" t="s">
        <v>150</v>
      </c>
      <c r="B218" s="19">
        <v>19</v>
      </c>
      <c r="C218" s="6" t="s">
        <v>238</v>
      </c>
      <c r="D218" s="6" t="s">
        <v>238</v>
      </c>
      <c r="E218" s="6" t="s">
        <v>238</v>
      </c>
      <c r="F218" s="6" t="s">
        <v>238</v>
      </c>
      <c r="G218" s="6" t="s">
        <v>238</v>
      </c>
      <c r="H218" s="6" t="s">
        <v>238</v>
      </c>
      <c r="I218" s="6" t="s">
        <v>238</v>
      </c>
      <c r="J218" s="6" t="s">
        <v>238</v>
      </c>
      <c r="K218" s="6" t="s">
        <v>238</v>
      </c>
      <c r="L218" s="6" t="s">
        <v>238</v>
      </c>
      <c r="M218" s="6" t="s">
        <v>238</v>
      </c>
      <c r="N218" s="6" t="s">
        <v>238</v>
      </c>
      <c r="O218" s="6" t="s">
        <v>238</v>
      </c>
      <c r="P218" s="6" t="s">
        <v>238</v>
      </c>
      <c r="Q218" s="6" t="s">
        <v>238</v>
      </c>
      <c r="R218" s="6" t="s">
        <v>238</v>
      </c>
      <c r="S218" s="6" t="s">
        <v>238</v>
      </c>
      <c r="T218" s="6" t="s">
        <v>238</v>
      </c>
      <c r="U218" s="6" t="s">
        <v>238</v>
      </c>
      <c r="V218" s="6" t="s">
        <v>238</v>
      </c>
      <c r="W218" s="6" t="s">
        <v>238</v>
      </c>
      <c r="X218" s="6" t="s">
        <v>238</v>
      </c>
      <c r="Y218" s="6" t="s">
        <v>238</v>
      </c>
      <c r="Z218" s="6" t="s">
        <v>238</v>
      </c>
    </row>
    <row r="219" spans="1:26" x14ac:dyDescent="0.3">
      <c r="A219" s="9" t="s">
        <v>140</v>
      </c>
      <c r="B219" s="19">
        <v>19</v>
      </c>
      <c r="C219" s="6" t="s">
        <v>238</v>
      </c>
      <c r="D219" s="6" t="s">
        <v>238</v>
      </c>
      <c r="E219" s="6" t="s">
        <v>238</v>
      </c>
      <c r="F219" s="6" t="s">
        <v>238</v>
      </c>
      <c r="G219" s="6" t="s">
        <v>238</v>
      </c>
      <c r="H219" s="6" t="s">
        <v>238</v>
      </c>
      <c r="I219" s="6" t="s">
        <v>238</v>
      </c>
      <c r="J219" s="6" t="s">
        <v>238</v>
      </c>
      <c r="K219" s="6" t="s">
        <v>238</v>
      </c>
      <c r="L219" s="6" t="s">
        <v>238</v>
      </c>
      <c r="M219" s="6" t="s">
        <v>238</v>
      </c>
      <c r="N219" s="6" t="s">
        <v>238</v>
      </c>
      <c r="O219" s="6" t="s">
        <v>238</v>
      </c>
      <c r="P219" s="6" t="s">
        <v>238</v>
      </c>
      <c r="Q219" s="6" t="s">
        <v>238</v>
      </c>
      <c r="R219" s="6" t="s">
        <v>238</v>
      </c>
      <c r="S219" s="6" t="s">
        <v>238</v>
      </c>
      <c r="T219" s="6" t="s">
        <v>238</v>
      </c>
      <c r="U219" s="6" t="s">
        <v>238</v>
      </c>
      <c r="V219" s="6" t="s">
        <v>238</v>
      </c>
      <c r="W219" s="6" t="s">
        <v>238</v>
      </c>
      <c r="X219" s="6" t="s">
        <v>238</v>
      </c>
      <c r="Y219" s="6" t="s">
        <v>238</v>
      </c>
      <c r="Z219" s="6" t="s">
        <v>238</v>
      </c>
    </row>
    <row r="220" spans="1:26" x14ac:dyDescent="0.3">
      <c r="A220" s="9" t="s">
        <v>388</v>
      </c>
      <c r="B220" s="19">
        <v>19</v>
      </c>
      <c r="C220" s="6" t="s">
        <v>238</v>
      </c>
      <c r="D220" s="6" t="s">
        <v>238</v>
      </c>
      <c r="E220" s="6" t="s">
        <v>238</v>
      </c>
      <c r="F220" s="6" t="s">
        <v>238</v>
      </c>
      <c r="G220" s="6" t="s">
        <v>238</v>
      </c>
      <c r="H220" s="6" t="s">
        <v>238</v>
      </c>
      <c r="I220" s="6" t="s">
        <v>238</v>
      </c>
      <c r="J220" s="6" t="s">
        <v>238</v>
      </c>
      <c r="K220" s="6" t="s">
        <v>238</v>
      </c>
      <c r="L220" s="6" t="s">
        <v>238</v>
      </c>
      <c r="M220" s="6" t="s">
        <v>238</v>
      </c>
      <c r="N220" s="6" t="s">
        <v>238</v>
      </c>
      <c r="O220" s="6" t="s">
        <v>238</v>
      </c>
      <c r="P220" s="6" t="s">
        <v>238</v>
      </c>
      <c r="Q220" s="6" t="s">
        <v>238</v>
      </c>
      <c r="R220" s="6" t="s">
        <v>238</v>
      </c>
      <c r="S220" s="6" t="s">
        <v>238</v>
      </c>
      <c r="T220" s="6" t="s">
        <v>238</v>
      </c>
      <c r="U220" s="6" t="s">
        <v>238</v>
      </c>
      <c r="V220" s="6" t="s">
        <v>238</v>
      </c>
      <c r="W220" s="6" t="s">
        <v>238</v>
      </c>
      <c r="X220" s="6" t="s">
        <v>238</v>
      </c>
      <c r="Y220" s="6" t="s">
        <v>238</v>
      </c>
      <c r="Z220" s="6" t="s">
        <v>238</v>
      </c>
    </row>
    <row r="221" spans="1:26" x14ac:dyDescent="0.3">
      <c r="A221" s="9" t="s">
        <v>389</v>
      </c>
      <c r="B221" s="19">
        <v>19</v>
      </c>
      <c r="C221" s="6" t="s">
        <v>238</v>
      </c>
      <c r="D221" s="6" t="s">
        <v>238</v>
      </c>
      <c r="E221" s="6" t="s">
        <v>238</v>
      </c>
      <c r="F221" s="6" t="s">
        <v>238</v>
      </c>
      <c r="G221" s="6" t="s">
        <v>238</v>
      </c>
      <c r="H221" s="6" t="s">
        <v>238</v>
      </c>
      <c r="I221" s="6" t="s">
        <v>238</v>
      </c>
      <c r="J221" s="6" t="s">
        <v>238</v>
      </c>
      <c r="K221" s="6" t="s">
        <v>238</v>
      </c>
      <c r="L221" s="6" t="s">
        <v>238</v>
      </c>
      <c r="M221" s="6" t="s">
        <v>238</v>
      </c>
      <c r="N221" s="6" t="s">
        <v>238</v>
      </c>
      <c r="O221" s="6" t="s">
        <v>238</v>
      </c>
      <c r="P221" s="6" t="s">
        <v>238</v>
      </c>
      <c r="Q221" s="6" t="s">
        <v>238</v>
      </c>
      <c r="R221" s="6" t="s">
        <v>238</v>
      </c>
      <c r="S221" s="6" t="s">
        <v>238</v>
      </c>
      <c r="T221" s="6" t="s">
        <v>238</v>
      </c>
      <c r="U221" s="6" t="s">
        <v>239</v>
      </c>
      <c r="V221" s="6" t="s">
        <v>238</v>
      </c>
      <c r="W221" s="6" t="s">
        <v>238</v>
      </c>
      <c r="X221" s="6" t="s">
        <v>238</v>
      </c>
      <c r="Y221" s="6" t="s">
        <v>238</v>
      </c>
      <c r="Z221" s="6" t="s">
        <v>238</v>
      </c>
    </row>
    <row r="222" spans="1:26" x14ac:dyDescent="0.3">
      <c r="A222" s="9" t="s">
        <v>390</v>
      </c>
      <c r="B222" s="19">
        <v>19</v>
      </c>
      <c r="C222" s="6" t="s">
        <v>238</v>
      </c>
      <c r="D222" s="6" t="s">
        <v>238</v>
      </c>
      <c r="E222" s="6" t="s">
        <v>238</v>
      </c>
      <c r="F222" s="6" t="s">
        <v>238</v>
      </c>
      <c r="G222" s="6" t="s">
        <v>238</v>
      </c>
      <c r="H222" s="6" t="s">
        <v>238</v>
      </c>
      <c r="I222" s="6" t="s">
        <v>238</v>
      </c>
      <c r="J222" s="6" t="s">
        <v>238</v>
      </c>
      <c r="K222" s="6" t="s">
        <v>238</v>
      </c>
      <c r="L222" s="6" t="s">
        <v>238</v>
      </c>
      <c r="M222" s="6" t="s">
        <v>238</v>
      </c>
      <c r="N222" s="6" t="s">
        <v>238</v>
      </c>
      <c r="O222" s="6" t="s">
        <v>238</v>
      </c>
      <c r="P222" s="6" t="s">
        <v>238</v>
      </c>
      <c r="Q222" s="6" t="s">
        <v>238</v>
      </c>
      <c r="R222" s="6" t="s">
        <v>238</v>
      </c>
      <c r="S222" s="6" t="s">
        <v>238</v>
      </c>
      <c r="T222" s="6" t="s">
        <v>238</v>
      </c>
      <c r="U222" s="6" t="s">
        <v>238</v>
      </c>
      <c r="V222" s="6" t="s">
        <v>238</v>
      </c>
      <c r="W222" s="6" t="s">
        <v>238</v>
      </c>
      <c r="X222" s="6" t="s">
        <v>238</v>
      </c>
      <c r="Y222" s="6" t="s">
        <v>238</v>
      </c>
      <c r="Z222" s="6" t="s">
        <v>238</v>
      </c>
    </row>
    <row r="223" spans="1:26" x14ac:dyDescent="0.3">
      <c r="A223" s="79" t="s">
        <v>391</v>
      </c>
      <c r="B223" s="159">
        <v>19</v>
      </c>
      <c r="C223" s="6" t="s">
        <v>238</v>
      </c>
      <c r="D223" s="6" t="s">
        <v>238</v>
      </c>
      <c r="E223" s="6" t="s">
        <v>238</v>
      </c>
      <c r="F223" s="6" t="s">
        <v>238</v>
      </c>
      <c r="G223" s="6" t="s">
        <v>238</v>
      </c>
      <c r="H223" s="6" t="s">
        <v>238</v>
      </c>
      <c r="I223" s="6" t="s">
        <v>238</v>
      </c>
      <c r="J223" s="6" t="s">
        <v>238</v>
      </c>
      <c r="K223" s="6" t="s">
        <v>238</v>
      </c>
      <c r="L223" s="6" t="s">
        <v>238</v>
      </c>
      <c r="M223" s="6" t="s">
        <v>238</v>
      </c>
      <c r="N223" s="6" t="s">
        <v>238</v>
      </c>
      <c r="O223" s="6" t="s">
        <v>238</v>
      </c>
      <c r="P223" s="6" t="s">
        <v>238</v>
      </c>
      <c r="Q223" s="6" t="s">
        <v>238</v>
      </c>
      <c r="R223" s="6" t="s">
        <v>238</v>
      </c>
      <c r="S223" s="6" t="s">
        <v>238</v>
      </c>
      <c r="T223" s="6" t="s">
        <v>238</v>
      </c>
      <c r="U223" s="6" t="s">
        <v>241</v>
      </c>
      <c r="V223" s="6" t="s">
        <v>238</v>
      </c>
      <c r="W223" s="6" t="s">
        <v>238</v>
      </c>
      <c r="X223" s="6" t="s">
        <v>238</v>
      </c>
      <c r="Y223" s="6" t="s">
        <v>238</v>
      </c>
      <c r="Z223" s="6" t="s">
        <v>238</v>
      </c>
    </row>
    <row r="224" spans="1:26" x14ac:dyDescent="0.3">
      <c r="A224" s="9" t="s">
        <v>154</v>
      </c>
      <c r="B224" s="19">
        <v>19</v>
      </c>
      <c r="C224" s="6" t="s">
        <v>238</v>
      </c>
      <c r="D224" s="6" t="s">
        <v>238</v>
      </c>
      <c r="E224" s="6" t="s">
        <v>238</v>
      </c>
      <c r="F224" s="6" t="s">
        <v>238</v>
      </c>
      <c r="G224" s="6" t="s">
        <v>238</v>
      </c>
      <c r="H224" s="6" t="s">
        <v>238</v>
      </c>
      <c r="I224" s="6" t="s">
        <v>238</v>
      </c>
      <c r="J224" s="6" t="s">
        <v>238</v>
      </c>
      <c r="K224" s="6" t="s">
        <v>238</v>
      </c>
      <c r="L224" s="6" t="s">
        <v>238</v>
      </c>
      <c r="M224" s="6" t="s">
        <v>238</v>
      </c>
      <c r="N224" s="6" t="s">
        <v>238</v>
      </c>
      <c r="O224" s="6" t="s">
        <v>238</v>
      </c>
      <c r="P224" s="6" t="s">
        <v>238</v>
      </c>
      <c r="Q224" s="6" t="s">
        <v>238</v>
      </c>
      <c r="R224" s="6" t="s">
        <v>238</v>
      </c>
      <c r="S224" s="6" t="s">
        <v>238</v>
      </c>
      <c r="T224" s="6" t="s">
        <v>238</v>
      </c>
      <c r="U224" s="6" t="s">
        <v>238</v>
      </c>
      <c r="V224" s="6" t="s">
        <v>238</v>
      </c>
      <c r="W224" s="6" t="s">
        <v>238</v>
      </c>
      <c r="X224" s="6" t="s">
        <v>238</v>
      </c>
      <c r="Y224" s="6" t="s">
        <v>238</v>
      </c>
      <c r="Z224" s="6" t="s">
        <v>238</v>
      </c>
    </row>
    <row r="225" spans="1:26" x14ac:dyDescent="0.3">
      <c r="A225" s="9" t="s">
        <v>149</v>
      </c>
      <c r="B225" s="19">
        <v>19</v>
      </c>
      <c r="C225" s="6" t="s">
        <v>238</v>
      </c>
      <c r="D225" s="6" t="s">
        <v>238</v>
      </c>
      <c r="E225" s="6" t="s">
        <v>238</v>
      </c>
      <c r="F225" s="6" t="s">
        <v>238</v>
      </c>
      <c r="G225" s="6" t="s">
        <v>238</v>
      </c>
      <c r="H225" s="6" t="s">
        <v>238</v>
      </c>
      <c r="I225" s="6" t="s">
        <v>238</v>
      </c>
      <c r="J225" s="6" t="s">
        <v>238</v>
      </c>
      <c r="K225" s="6" t="s">
        <v>238</v>
      </c>
      <c r="L225" s="6" t="s">
        <v>238</v>
      </c>
      <c r="M225" s="6" t="s">
        <v>238</v>
      </c>
      <c r="N225" s="6" t="s">
        <v>238</v>
      </c>
      <c r="O225" s="6" t="s">
        <v>238</v>
      </c>
      <c r="P225" s="6" t="s">
        <v>238</v>
      </c>
      <c r="Q225" s="6" t="s">
        <v>238</v>
      </c>
      <c r="R225" s="6" t="s">
        <v>238</v>
      </c>
      <c r="S225" s="6" t="s">
        <v>238</v>
      </c>
      <c r="T225" s="6" t="s">
        <v>238</v>
      </c>
      <c r="U225" s="6" t="s">
        <v>238</v>
      </c>
      <c r="V225" s="6" t="s">
        <v>238</v>
      </c>
      <c r="W225" s="6" t="s">
        <v>238</v>
      </c>
      <c r="X225" s="6" t="s">
        <v>238</v>
      </c>
      <c r="Y225" s="6" t="s">
        <v>238</v>
      </c>
      <c r="Z225" s="6" t="s">
        <v>238</v>
      </c>
    </row>
    <row r="226" spans="1:26" x14ac:dyDescent="0.3">
      <c r="A226" s="9" t="s">
        <v>152</v>
      </c>
      <c r="B226" s="19">
        <v>19</v>
      </c>
      <c r="C226" s="6" t="s">
        <v>238</v>
      </c>
      <c r="D226" s="6" t="s">
        <v>238</v>
      </c>
      <c r="E226" s="6" t="s">
        <v>238</v>
      </c>
      <c r="F226" s="6" t="s">
        <v>238</v>
      </c>
      <c r="G226" s="6" t="s">
        <v>238</v>
      </c>
      <c r="H226" s="6" t="s">
        <v>238</v>
      </c>
      <c r="I226" s="6" t="s">
        <v>238</v>
      </c>
      <c r="J226" s="6" t="s">
        <v>238</v>
      </c>
      <c r="K226" s="6" t="s">
        <v>238</v>
      </c>
      <c r="L226" s="6" t="s">
        <v>238</v>
      </c>
      <c r="M226" s="6" t="s">
        <v>238</v>
      </c>
      <c r="N226" s="6" t="s">
        <v>238</v>
      </c>
      <c r="O226" s="6" t="s">
        <v>238</v>
      </c>
      <c r="P226" s="6" t="s">
        <v>238</v>
      </c>
      <c r="Q226" s="6" t="s">
        <v>238</v>
      </c>
      <c r="R226" s="6" t="s">
        <v>238</v>
      </c>
      <c r="S226" s="6" t="s">
        <v>238</v>
      </c>
      <c r="T226" s="6" t="s">
        <v>238</v>
      </c>
      <c r="U226" s="6" t="s">
        <v>238</v>
      </c>
      <c r="V226" s="6" t="s">
        <v>238</v>
      </c>
      <c r="W226" s="6" t="s">
        <v>238</v>
      </c>
      <c r="X226" s="6" t="s">
        <v>238</v>
      </c>
      <c r="Y226" s="6" t="s">
        <v>238</v>
      </c>
      <c r="Z226" s="6" t="s">
        <v>238</v>
      </c>
    </row>
    <row r="227" spans="1:26" x14ac:dyDescent="0.3">
      <c r="A227" s="9" t="s">
        <v>151</v>
      </c>
      <c r="B227" s="19">
        <v>19</v>
      </c>
      <c r="C227" s="6" t="s">
        <v>238</v>
      </c>
      <c r="D227" s="6" t="s">
        <v>238</v>
      </c>
      <c r="E227" s="6" t="s">
        <v>238</v>
      </c>
      <c r="F227" s="6" t="s">
        <v>238</v>
      </c>
      <c r="G227" s="6" t="s">
        <v>238</v>
      </c>
      <c r="H227" s="6" t="s">
        <v>238</v>
      </c>
      <c r="I227" s="6" t="s">
        <v>238</v>
      </c>
      <c r="J227" s="6" t="s">
        <v>238</v>
      </c>
      <c r="K227" s="6" t="s">
        <v>238</v>
      </c>
      <c r="L227" s="6" t="s">
        <v>238</v>
      </c>
      <c r="M227" s="6" t="s">
        <v>238</v>
      </c>
      <c r="N227" s="6" t="s">
        <v>238</v>
      </c>
      <c r="O227" s="6" t="s">
        <v>238</v>
      </c>
      <c r="P227" s="6" t="s">
        <v>238</v>
      </c>
      <c r="Q227" s="6" t="s">
        <v>238</v>
      </c>
      <c r="R227" s="6" t="s">
        <v>238</v>
      </c>
      <c r="S227" s="6" t="s">
        <v>238</v>
      </c>
      <c r="T227" s="6" t="s">
        <v>238</v>
      </c>
      <c r="U227" s="6" t="s">
        <v>238</v>
      </c>
      <c r="V227" s="6" t="s">
        <v>238</v>
      </c>
      <c r="W227" s="6" t="s">
        <v>238</v>
      </c>
      <c r="X227" s="6" t="s">
        <v>238</v>
      </c>
      <c r="Y227" s="6" t="s">
        <v>238</v>
      </c>
      <c r="Z227" s="6" t="s">
        <v>238</v>
      </c>
    </row>
    <row r="228" spans="1:26" x14ac:dyDescent="0.3">
      <c r="A228" s="9" t="s">
        <v>392</v>
      </c>
      <c r="B228" s="19">
        <v>19</v>
      </c>
      <c r="C228" s="6" t="s">
        <v>238</v>
      </c>
      <c r="D228" s="6" t="s">
        <v>238</v>
      </c>
      <c r="E228" s="6" t="s">
        <v>238</v>
      </c>
      <c r="F228" s="6" t="s">
        <v>238</v>
      </c>
      <c r="G228" s="6" t="s">
        <v>238</v>
      </c>
      <c r="H228" s="6" t="s">
        <v>238</v>
      </c>
      <c r="I228" s="6" t="s">
        <v>238</v>
      </c>
      <c r="J228" s="6" t="s">
        <v>238</v>
      </c>
      <c r="K228" s="6" t="s">
        <v>238</v>
      </c>
      <c r="L228" s="6" t="s">
        <v>238</v>
      </c>
      <c r="M228" s="6" t="s">
        <v>238</v>
      </c>
      <c r="N228" s="6" t="s">
        <v>238</v>
      </c>
      <c r="O228" s="6" t="s">
        <v>238</v>
      </c>
      <c r="P228" s="6" t="s">
        <v>238</v>
      </c>
      <c r="Q228" s="6" t="s">
        <v>238</v>
      </c>
      <c r="R228" s="6" t="s">
        <v>238</v>
      </c>
      <c r="S228" s="6" t="s">
        <v>238</v>
      </c>
      <c r="T228" s="6" t="s">
        <v>238</v>
      </c>
      <c r="U228" s="6" t="s">
        <v>239</v>
      </c>
      <c r="V228" s="6" t="s">
        <v>238</v>
      </c>
      <c r="W228" s="6" t="s">
        <v>238</v>
      </c>
      <c r="X228" s="6" t="s">
        <v>238</v>
      </c>
      <c r="Y228" s="6" t="s">
        <v>238</v>
      </c>
      <c r="Z228" s="6" t="s">
        <v>238</v>
      </c>
    </row>
    <row r="229" spans="1:26" x14ac:dyDescent="0.3">
      <c r="A229" s="68" t="s">
        <v>144</v>
      </c>
      <c r="B229" s="95">
        <v>19</v>
      </c>
      <c r="C229" s="93" t="s">
        <v>238</v>
      </c>
      <c r="D229" s="93" t="s">
        <v>238</v>
      </c>
      <c r="E229" s="93" t="s">
        <v>238</v>
      </c>
      <c r="F229" s="93" t="s">
        <v>238</v>
      </c>
      <c r="G229" s="93" t="s">
        <v>238</v>
      </c>
      <c r="H229" s="93" t="s">
        <v>238</v>
      </c>
      <c r="I229" s="93" t="s">
        <v>238</v>
      </c>
      <c r="J229" s="93" t="s">
        <v>238</v>
      </c>
      <c r="K229" s="93" t="s">
        <v>238</v>
      </c>
      <c r="L229" s="93" t="s">
        <v>238</v>
      </c>
      <c r="M229" s="93" t="s">
        <v>238</v>
      </c>
      <c r="N229" s="93" t="s">
        <v>238</v>
      </c>
      <c r="O229" s="93" t="s">
        <v>238</v>
      </c>
      <c r="P229" s="93" t="s">
        <v>238</v>
      </c>
      <c r="Q229" s="93" t="s">
        <v>238</v>
      </c>
      <c r="R229" s="93" t="s">
        <v>238</v>
      </c>
      <c r="S229" s="93" t="s">
        <v>238</v>
      </c>
      <c r="T229" s="93" t="s">
        <v>238</v>
      </c>
      <c r="U229" s="93" t="s">
        <v>238</v>
      </c>
      <c r="V229" s="93" t="s">
        <v>238</v>
      </c>
      <c r="W229" s="93" t="s">
        <v>238</v>
      </c>
      <c r="X229" s="93" t="s">
        <v>238</v>
      </c>
      <c r="Y229" s="93" t="s">
        <v>238</v>
      </c>
      <c r="Z229" s="93" t="s">
        <v>238</v>
      </c>
    </row>
    <row r="230" spans="1:26" x14ac:dyDescent="0.3">
      <c r="A230" s="1" t="s">
        <v>142</v>
      </c>
      <c r="B230" s="6">
        <v>19</v>
      </c>
      <c r="C230" s="6" t="s">
        <v>238</v>
      </c>
      <c r="D230" s="6" t="s">
        <v>238</v>
      </c>
      <c r="E230" s="6" t="s">
        <v>238</v>
      </c>
      <c r="F230" s="6" t="s">
        <v>238</v>
      </c>
      <c r="G230" s="6" t="s">
        <v>238</v>
      </c>
      <c r="H230" s="6" t="s">
        <v>238</v>
      </c>
      <c r="I230" s="6" t="s">
        <v>238</v>
      </c>
      <c r="J230" s="6" t="s">
        <v>238</v>
      </c>
      <c r="K230" s="6" t="s">
        <v>238</v>
      </c>
      <c r="L230" s="6" t="s">
        <v>238</v>
      </c>
      <c r="M230" s="6" t="s">
        <v>238</v>
      </c>
      <c r="N230" s="6" t="s">
        <v>238</v>
      </c>
      <c r="O230" s="6" t="s">
        <v>238</v>
      </c>
      <c r="P230" s="6" t="s">
        <v>238</v>
      </c>
      <c r="Q230" s="6" t="s">
        <v>238</v>
      </c>
      <c r="R230" s="6" t="s">
        <v>238</v>
      </c>
      <c r="S230" s="6" t="s">
        <v>238</v>
      </c>
      <c r="T230" s="6" t="s">
        <v>238</v>
      </c>
      <c r="U230" s="6" t="s">
        <v>238</v>
      </c>
      <c r="V230" s="6" t="s">
        <v>238</v>
      </c>
      <c r="W230" s="6" t="s">
        <v>238</v>
      </c>
      <c r="X230" s="6" t="s">
        <v>238</v>
      </c>
      <c r="Y230" s="6" t="s">
        <v>238</v>
      </c>
      <c r="Z230" s="6" t="s">
        <v>238</v>
      </c>
    </row>
    <row r="231" spans="1:26" x14ac:dyDescent="0.3">
      <c r="A231" s="1" t="s">
        <v>393</v>
      </c>
      <c r="B231" s="6">
        <v>20</v>
      </c>
      <c r="C231" s="6" t="s">
        <v>238</v>
      </c>
      <c r="D231" s="6" t="s">
        <v>238</v>
      </c>
      <c r="E231" s="6" t="s">
        <v>238</v>
      </c>
      <c r="F231" s="6" t="s">
        <v>238</v>
      </c>
      <c r="G231" s="6" t="s">
        <v>238</v>
      </c>
      <c r="H231" s="6" t="s">
        <v>238</v>
      </c>
      <c r="I231" s="6" t="s">
        <v>238</v>
      </c>
      <c r="J231" s="6" t="s">
        <v>238</v>
      </c>
      <c r="K231" s="6" t="s">
        <v>238</v>
      </c>
      <c r="L231" s="6" t="s">
        <v>238</v>
      </c>
      <c r="M231" s="6" t="s">
        <v>238</v>
      </c>
      <c r="N231" s="6" t="s">
        <v>238</v>
      </c>
      <c r="O231" s="6" t="s">
        <v>238</v>
      </c>
      <c r="P231" s="6" t="s">
        <v>238</v>
      </c>
      <c r="Q231" s="6" t="s">
        <v>238</v>
      </c>
      <c r="R231" s="6" t="s">
        <v>238</v>
      </c>
      <c r="S231" s="6" t="s">
        <v>238</v>
      </c>
      <c r="T231" s="6" t="s">
        <v>238</v>
      </c>
      <c r="U231" s="6" t="s">
        <v>238</v>
      </c>
      <c r="V231" s="6" t="s">
        <v>241</v>
      </c>
      <c r="W231" s="6"/>
      <c r="X231" s="6"/>
      <c r="Y231" s="6"/>
      <c r="Z231" s="6"/>
    </row>
    <row r="232" spans="1:26" x14ac:dyDescent="0.3">
      <c r="A232" s="1" t="s">
        <v>394</v>
      </c>
      <c r="B232" s="6">
        <v>20</v>
      </c>
      <c r="C232" s="6" t="s">
        <v>238</v>
      </c>
      <c r="D232" s="6" t="s">
        <v>238</v>
      </c>
      <c r="E232" s="6" t="s">
        <v>238</v>
      </c>
      <c r="F232" s="6" t="s">
        <v>238</v>
      </c>
      <c r="G232" s="6" t="s">
        <v>238</v>
      </c>
      <c r="H232" s="6" t="s">
        <v>238</v>
      </c>
      <c r="I232" s="6" t="s">
        <v>238</v>
      </c>
      <c r="J232" s="6" t="s">
        <v>238</v>
      </c>
      <c r="K232" s="6" t="s">
        <v>238</v>
      </c>
      <c r="L232" s="6" t="s">
        <v>238</v>
      </c>
      <c r="M232" s="6" t="s">
        <v>238</v>
      </c>
      <c r="N232" s="6" t="s">
        <v>238</v>
      </c>
      <c r="O232" s="6" t="s">
        <v>238</v>
      </c>
      <c r="P232" s="6" t="s">
        <v>238</v>
      </c>
      <c r="Q232" s="6" t="s">
        <v>238</v>
      </c>
      <c r="R232" s="6" t="s">
        <v>238</v>
      </c>
      <c r="S232" s="6" t="s">
        <v>238</v>
      </c>
      <c r="T232" s="6" t="s">
        <v>238</v>
      </c>
      <c r="U232" s="6" t="s">
        <v>238</v>
      </c>
      <c r="V232" s="6" t="s">
        <v>241</v>
      </c>
      <c r="W232" s="6"/>
      <c r="X232" s="6"/>
      <c r="Y232" s="6"/>
      <c r="Z232" s="6"/>
    </row>
    <row r="233" spans="1:26" x14ac:dyDescent="0.3">
      <c r="A233" s="1" t="s">
        <v>145</v>
      </c>
      <c r="B233" s="6">
        <v>20</v>
      </c>
      <c r="C233" s="6" t="s">
        <v>238</v>
      </c>
      <c r="D233" s="6" t="s">
        <v>238</v>
      </c>
      <c r="E233" s="6" t="s">
        <v>238</v>
      </c>
      <c r="F233" s="6" t="s">
        <v>238</v>
      </c>
      <c r="G233" s="6" t="s">
        <v>238</v>
      </c>
      <c r="H233" s="6" t="s">
        <v>238</v>
      </c>
      <c r="I233" s="6" t="s">
        <v>238</v>
      </c>
      <c r="J233" s="6" t="s">
        <v>238</v>
      </c>
      <c r="K233" s="6" t="s">
        <v>238</v>
      </c>
      <c r="L233" s="6" t="s">
        <v>238</v>
      </c>
      <c r="M233" s="6" t="s">
        <v>238</v>
      </c>
      <c r="N233" s="6" t="s">
        <v>238</v>
      </c>
      <c r="O233" s="6" t="s">
        <v>238</v>
      </c>
      <c r="P233" s="6" t="s">
        <v>238</v>
      </c>
      <c r="Q233" s="6" t="s">
        <v>238</v>
      </c>
      <c r="R233" s="6" t="s">
        <v>238</v>
      </c>
      <c r="S233" s="6" t="s">
        <v>238</v>
      </c>
      <c r="T233" s="6" t="s">
        <v>238</v>
      </c>
      <c r="U233" s="6" t="s">
        <v>238</v>
      </c>
      <c r="V233" s="6" t="s">
        <v>241</v>
      </c>
      <c r="W233" s="6" t="s">
        <v>241</v>
      </c>
      <c r="X233" s="6"/>
      <c r="Y233" s="6"/>
      <c r="Z233" s="6"/>
    </row>
    <row r="234" spans="1:26" x14ac:dyDescent="0.3">
      <c r="A234" s="1" t="s">
        <v>156</v>
      </c>
      <c r="B234" s="6">
        <v>20</v>
      </c>
      <c r="C234" s="6" t="s">
        <v>238</v>
      </c>
      <c r="D234" s="6" t="s">
        <v>238</v>
      </c>
      <c r="E234" s="6" t="s">
        <v>238</v>
      </c>
      <c r="F234" s="6" t="s">
        <v>238</v>
      </c>
      <c r="G234" s="6" t="s">
        <v>238</v>
      </c>
      <c r="H234" s="6" t="s">
        <v>238</v>
      </c>
      <c r="I234" s="6" t="s">
        <v>238</v>
      </c>
      <c r="J234" s="6" t="s">
        <v>238</v>
      </c>
      <c r="K234" s="6" t="s">
        <v>238</v>
      </c>
      <c r="L234" s="6" t="s">
        <v>238</v>
      </c>
      <c r="M234" s="6" t="s">
        <v>238</v>
      </c>
      <c r="N234" s="6" t="s">
        <v>238</v>
      </c>
      <c r="O234" s="6" t="s">
        <v>238</v>
      </c>
      <c r="P234" s="6" t="s">
        <v>238</v>
      </c>
      <c r="Q234" s="6" t="s">
        <v>238</v>
      </c>
      <c r="R234" s="6" t="s">
        <v>238</v>
      </c>
      <c r="S234" s="6" t="s">
        <v>238</v>
      </c>
      <c r="T234" s="6" t="s">
        <v>238</v>
      </c>
      <c r="U234" s="6" t="s">
        <v>238</v>
      </c>
      <c r="V234" s="6"/>
      <c r="W234" s="6"/>
      <c r="X234" s="6"/>
      <c r="Y234" s="6"/>
      <c r="Z234" s="6"/>
    </row>
    <row r="235" spans="1:26" x14ac:dyDescent="0.3">
      <c r="A235" s="1" t="s">
        <v>395</v>
      </c>
      <c r="B235" s="6">
        <v>20</v>
      </c>
      <c r="C235" s="6" t="s">
        <v>238</v>
      </c>
      <c r="D235" s="6" t="s">
        <v>238</v>
      </c>
      <c r="E235" s="6" t="s">
        <v>238</v>
      </c>
      <c r="F235" s="6" t="s">
        <v>238</v>
      </c>
      <c r="G235" s="6" t="s">
        <v>238</v>
      </c>
      <c r="H235" s="6" t="s">
        <v>238</v>
      </c>
      <c r="I235" s="6" t="s">
        <v>238</v>
      </c>
      <c r="J235" s="6" t="s">
        <v>238</v>
      </c>
      <c r="K235" s="6" t="s">
        <v>238</v>
      </c>
      <c r="L235" s="6" t="s">
        <v>238</v>
      </c>
      <c r="M235" s="6" t="s">
        <v>238</v>
      </c>
      <c r="N235" s="6" t="s">
        <v>238</v>
      </c>
      <c r="O235" s="6" t="s">
        <v>238</v>
      </c>
      <c r="P235" s="6" t="s">
        <v>238</v>
      </c>
      <c r="Q235" s="6" t="s">
        <v>238</v>
      </c>
      <c r="R235" s="6" t="s">
        <v>238</v>
      </c>
      <c r="S235" s="6" t="s">
        <v>238</v>
      </c>
      <c r="T235" s="6" t="s">
        <v>238</v>
      </c>
      <c r="U235" s="6" t="s">
        <v>241</v>
      </c>
      <c r="V235" s="6" t="s">
        <v>241</v>
      </c>
      <c r="W235" s="6"/>
      <c r="X235" s="6"/>
      <c r="Y235" s="6"/>
      <c r="Z235" s="6"/>
    </row>
    <row r="236" spans="1:26" x14ac:dyDescent="0.3">
      <c r="A236" s="1" t="s">
        <v>147</v>
      </c>
      <c r="B236" s="6">
        <v>20</v>
      </c>
      <c r="C236" s="6" t="s">
        <v>238</v>
      </c>
      <c r="D236" s="6" t="s">
        <v>238</v>
      </c>
      <c r="E236" s="6" t="s">
        <v>238</v>
      </c>
      <c r="F236" s="6" t="s">
        <v>238</v>
      </c>
      <c r="G236" s="6" t="s">
        <v>238</v>
      </c>
      <c r="H236" s="6" t="s">
        <v>238</v>
      </c>
      <c r="I236" s="6" t="s">
        <v>238</v>
      </c>
      <c r="J236" s="6" t="s">
        <v>238</v>
      </c>
      <c r="K236" s="6" t="s">
        <v>238</v>
      </c>
      <c r="L236" s="6" t="s">
        <v>238</v>
      </c>
      <c r="M236" s="6" t="s">
        <v>238</v>
      </c>
      <c r="N236" s="6" t="s">
        <v>238</v>
      </c>
      <c r="O236" s="6" t="s">
        <v>238</v>
      </c>
      <c r="P236" s="6" t="s">
        <v>238</v>
      </c>
      <c r="Q236" s="6" t="s">
        <v>238</v>
      </c>
      <c r="R236" s="6" t="s">
        <v>238</v>
      </c>
      <c r="S236" s="6" t="s">
        <v>238</v>
      </c>
      <c r="T236" s="6" t="s">
        <v>238</v>
      </c>
      <c r="U236" s="6" t="s">
        <v>238</v>
      </c>
      <c r="V236" s="6"/>
      <c r="W236" s="6" t="s">
        <v>241</v>
      </c>
      <c r="X236" s="6"/>
      <c r="Y236" s="6"/>
      <c r="Z236" s="6"/>
    </row>
    <row r="237" spans="1:26" x14ac:dyDescent="0.3">
      <c r="A237" s="1" t="s">
        <v>396</v>
      </c>
      <c r="B237" s="6">
        <v>20</v>
      </c>
      <c r="C237" s="6" t="s">
        <v>238</v>
      </c>
      <c r="D237" s="6" t="s">
        <v>238</v>
      </c>
      <c r="E237" s="6" t="s">
        <v>238</v>
      </c>
      <c r="F237" s="6" t="s">
        <v>238</v>
      </c>
      <c r="G237" s="6" t="s">
        <v>238</v>
      </c>
      <c r="H237" s="6" t="s">
        <v>238</v>
      </c>
      <c r="I237" s="6" t="s">
        <v>238</v>
      </c>
      <c r="J237" s="6" t="s">
        <v>238</v>
      </c>
      <c r="K237" s="6" t="s">
        <v>238</v>
      </c>
      <c r="L237" s="6" t="s">
        <v>238</v>
      </c>
      <c r="M237" s="6" t="s">
        <v>238</v>
      </c>
      <c r="N237" s="6" t="s">
        <v>238</v>
      </c>
      <c r="O237" s="6" t="s">
        <v>238</v>
      </c>
      <c r="P237" s="6" t="s">
        <v>238</v>
      </c>
      <c r="Q237" s="6" t="s">
        <v>238</v>
      </c>
      <c r="R237" s="6" t="s">
        <v>238</v>
      </c>
      <c r="S237" s="6" t="s">
        <v>238</v>
      </c>
      <c r="T237" s="6" t="s">
        <v>238</v>
      </c>
      <c r="U237" s="6" t="s">
        <v>238</v>
      </c>
      <c r="V237" s="6" t="s">
        <v>241</v>
      </c>
      <c r="W237" s="6"/>
      <c r="X237" s="6"/>
      <c r="Y237" s="6"/>
      <c r="Z237" s="6"/>
    </row>
    <row r="238" spans="1:26" x14ac:dyDescent="0.3">
      <c r="A238" s="1" t="s">
        <v>397</v>
      </c>
      <c r="B238" s="6">
        <v>20</v>
      </c>
      <c r="C238" s="6" t="s">
        <v>238</v>
      </c>
      <c r="D238" s="6" t="s">
        <v>238</v>
      </c>
      <c r="E238" s="6" t="s">
        <v>238</v>
      </c>
      <c r="F238" s="6" t="s">
        <v>238</v>
      </c>
      <c r="G238" s="6" t="s">
        <v>238</v>
      </c>
      <c r="H238" s="6" t="s">
        <v>238</v>
      </c>
      <c r="I238" s="6" t="s">
        <v>238</v>
      </c>
      <c r="J238" s="6" t="s">
        <v>238</v>
      </c>
      <c r="K238" s="6" t="s">
        <v>238</v>
      </c>
      <c r="L238" s="6" t="s">
        <v>238</v>
      </c>
      <c r="M238" s="6" t="s">
        <v>238</v>
      </c>
      <c r="N238" s="6" t="s">
        <v>238</v>
      </c>
      <c r="O238" s="6" t="s">
        <v>238</v>
      </c>
      <c r="P238" s="6" t="s">
        <v>238</v>
      </c>
      <c r="Q238" s="6" t="s">
        <v>238</v>
      </c>
      <c r="R238" s="6" t="s">
        <v>238</v>
      </c>
      <c r="S238" s="6" t="s">
        <v>238</v>
      </c>
      <c r="T238" s="6" t="s">
        <v>238</v>
      </c>
      <c r="U238" s="6" t="s">
        <v>238</v>
      </c>
      <c r="V238" s="6"/>
      <c r="W238" s="6"/>
      <c r="X238" s="6"/>
      <c r="Y238" s="6"/>
      <c r="Z238" s="6"/>
    </row>
    <row r="239" spans="1:26" x14ac:dyDescent="0.3">
      <c r="A239" s="1" t="s">
        <v>153</v>
      </c>
      <c r="B239" s="6">
        <v>20</v>
      </c>
      <c r="C239" s="6" t="s">
        <v>238</v>
      </c>
      <c r="D239" s="6" t="s">
        <v>238</v>
      </c>
      <c r="E239" s="6" t="s">
        <v>238</v>
      </c>
      <c r="F239" s="6" t="s">
        <v>238</v>
      </c>
      <c r="G239" s="6" t="s">
        <v>238</v>
      </c>
      <c r="H239" s="6" t="s">
        <v>238</v>
      </c>
      <c r="I239" s="6" t="s">
        <v>238</v>
      </c>
      <c r="J239" s="6" t="s">
        <v>238</v>
      </c>
      <c r="K239" s="6" t="s">
        <v>238</v>
      </c>
      <c r="L239" s="6" t="s">
        <v>238</v>
      </c>
      <c r="M239" s="6" t="s">
        <v>238</v>
      </c>
      <c r="N239" s="6" t="s">
        <v>238</v>
      </c>
      <c r="O239" s="6" t="s">
        <v>238</v>
      </c>
      <c r="P239" s="6" t="s">
        <v>238</v>
      </c>
      <c r="Q239" s="6" t="s">
        <v>238</v>
      </c>
      <c r="R239" s="6" t="s">
        <v>238</v>
      </c>
      <c r="S239" s="6" t="s">
        <v>238</v>
      </c>
      <c r="T239" s="6" t="s">
        <v>238</v>
      </c>
      <c r="U239" s="6" t="s">
        <v>238</v>
      </c>
      <c r="V239" s="6"/>
      <c r="W239" s="6" t="s">
        <v>241</v>
      </c>
      <c r="X239" s="6"/>
      <c r="Y239" s="6"/>
      <c r="Z239" s="6"/>
    </row>
    <row r="240" spans="1:26" x14ac:dyDescent="0.3">
      <c r="A240" s="1" t="s">
        <v>398</v>
      </c>
      <c r="B240" s="6">
        <v>20</v>
      </c>
      <c r="C240" s="6" t="s">
        <v>238</v>
      </c>
      <c r="D240" s="6" t="s">
        <v>238</v>
      </c>
      <c r="E240" s="6" t="s">
        <v>238</v>
      </c>
      <c r="F240" s="6" t="s">
        <v>238</v>
      </c>
      <c r="G240" s="6" t="s">
        <v>238</v>
      </c>
      <c r="H240" s="6" t="s">
        <v>238</v>
      </c>
      <c r="I240" s="6" t="s">
        <v>238</v>
      </c>
      <c r="J240" s="6" t="s">
        <v>238</v>
      </c>
      <c r="K240" s="6" t="s">
        <v>238</v>
      </c>
      <c r="L240" s="6" t="s">
        <v>238</v>
      </c>
      <c r="M240" s="6" t="s">
        <v>238</v>
      </c>
      <c r="N240" s="6" t="s">
        <v>238</v>
      </c>
      <c r="O240" s="6" t="s">
        <v>238</v>
      </c>
      <c r="P240" s="6" t="s">
        <v>238</v>
      </c>
      <c r="Q240" s="6" t="s">
        <v>238</v>
      </c>
      <c r="R240" s="6" t="s">
        <v>238</v>
      </c>
      <c r="S240" s="6" t="s">
        <v>238</v>
      </c>
      <c r="T240" s="6" t="s">
        <v>238</v>
      </c>
      <c r="U240" s="6" t="s">
        <v>238</v>
      </c>
      <c r="V240" s="6" t="s">
        <v>241</v>
      </c>
      <c r="W240" s="6" t="s">
        <v>241</v>
      </c>
      <c r="X240" s="6"/>
      <c r="Y240" s="6"/>
      <c r="Z240" s="6"/>
    </row>
    <row r="241" spans="1:26" x14ac:dyDescent="0.3">
      <c r="A241" s="1" t="s">
        <v>399</v>
      </c>
      <c r="B241" s="6">
        <v>20</v>
      </c>
      <c r="C241" s="6" t="s">
        <v>238</v>
      </c>
      <c r="D241" s="6" t="s">
        <v>238</v>
      </c>
      <c r="E241" s="6" t="s">
        <v>238</v>
      </c>
      <c r="F241" s="6" t="s">
        <v>238</v>
      </c>
      <c r="G241" s="6" t="s">
        <v>238</v>
      </c>
      <c r="H241" s="6" t="s">
        <v>238</v>
      </c>
      <c r="I241" s="6" t="s">
        <v>238</v>
      </c>
      <c r="J241" s="6" t="s">
        <v>238</v>
      </c>
      <c r="K241" s="6" t="s">
        <v>238</v>
      </c>
      <c r="L241" s="6" t="s">
        <v>238</v>
      </c>
      <c r="M241" s="6" t="s">
        <v>238</v>
      </c>
      <c r="N241" s="6" t="s">
        <v>238</v>
      </c>
      <c r="O241" s="6" t="s">
        <v>238</v>
      </c>
      <c r="P241" s="6" t="s">
        <v>238</v>
      </c>
      <c r="Q241" s="6" t="s">
        <v>238</v>
      </c>
      <c r="R241" s="6" t="s">
        <v>238</v>
      </c>
      <c r="S241" s="6" t="s">
        <v>238</v>
      </c>
      <c r="T241" s="6" t="s">
        <v>238</v>
      </c>
      <c r="U241" s="6" t="s">
        <v>238</v>
      </c>
      <c r="V241" s="6" t="s">
        <v>241</v>
      </c>
      <c r="W241" s="6"/>
      <c r="X241" s="6"/>
      <c r="Y241" s="6"/>
      <c r="Z241" s="6"/>
    </row>
    <row r="242" spans="1:26" x14ac:dyDescent="0.3">
      <c r="A242" s="1" t="s">
        <v>161</v>
      </c>
      <c r="B242" s="6">
        <v>20</v>
      </c>
      <c r="C242" s="6" t="s">
        <v>238</v>
      </c>
      <c r="D242" s="6" t="s">
        <v>238</v>
      </c>
      <c r="E242" s="6" t="s">
        <v>238</v>
      </c>
      <c r="F242" s="6" t="s">
        <v>238</v>
      </c>
      <c r="G242" s="6" t="s">
        <v>238</v>
      </c>
      <c r="H242" s="6" t="s">
        <v>238</v>
      </c>
      <c r="I242" s="6" t="s">
        <v>238</v>
      </c>
      <c r="J242" s="6" t="s">
        <v>238</v>
      </c>
      <c r="K242" s="6" t="s">
        <v>238</v>
      </c>
      <c r="L242" s="6" t="s">
        <v>238</v>
      </c>
      <c r="M242" s="6" t="s">
        <v>238</v>
      </c>
      <c r="N242" s="6" t="s">
        <v>238</v>
      </c>
      <c r="O242" s="6" t="s">
        <v>238</v>
      </c>
      <c r="P242" s="6" t="s">
        <v>238</v>
      </c>
      <c r="Q242" s="6" t="s">
        <v>238</v>
      </c>
      <c r="R242" s="6" t="s">
        <v>238</v>
      </c>
      <c r="S242" s="6" t="s">
        <v>238</v>
      </c>
      <c r="T242" s="6" t="s">
        <v>238</v>
      </c>
      <c r="U242" s="6" t="s">
        <v>238</v>
      </c>
      <c r="V242" s="6"/>
      <c r="W242" s="6" t="s">
        <v>241</v>
      </c>
      <c r="X242" s="6"/>
      <c r="Y242" s="6"/>
      <c r="Z242" s="6"/>
    </row>
    <row r="243" spans="1:26" x14ac:dyDescent="0.3">
      <c r="A243" s="1" t="s">
        <v>400</v>
      </c>
      <c r="B243" s="6">
        <v>20</v>
      </c>
      <c r="C243" s="6" t="s">
        <v>238</v>
      </c>
      <c r="D243" s="6" t="s">
        <v>238</v>
      </c>
      <c r="E243" s="6" t="s">
        <v>238</v>
      </c>
      <c r="F243" s="6" t="s">
        <v>238</v>
      </c>
      <c r="G243" s="6" t="s">
        <v>238</v>
      </c>
      <c r="H243" s="6" t="s">
        <v>238</v>
      </c>
      <c r="I243" s="6" t="s">
        <v>238</v>
      </c>
      <c r="J243" s="6" t="s">
        <v>238</v>
      </c>
      <c r="K243" s="6" t="s">
        <v>238</v>
      </c>
      <c r="L243" s="6" t="s">
        <v>238</v>
      </c>
      <c r="M243" s="6" t="s">
        <v>238</v>
      </c>
      <c r="N243" s="6" t="s">
        <v>238</v>
      </c>
      <c r="O243" s="6" t="s">
        <v>238</v>
      </c>
      <c r="P243" s="6" t="s">
        <v>238</v>
      </c>
      <c r="Q243" s="6" t="s">
        <v>238</v>
      </c>
      <c r="R243" s="6" t="s">
        <v>238</v>
      </c>
      <c r="S243" s="6" t="s">
        <v>238</v>
      </c>
      <c r="T243" s="6" t="s">
        <v>238</v>
      </c>
      <c r="U243" s="6" t="s">
        <v>238</v>
      </c>
      <c r="V243" s="6" t="s">
        <v>241</v>
      </c>
      <c r="W243" s="6"/>
      <c r="X243" s="6" t="s">
        <v>241</v>
      </c>
      <c r="Y243" s="6"/>
      <c r="Z243" s="6"/>
    </row>
    <row r="244" spans="1:26" x14ac:dyDescent="0.3">
      <c r="A244" s="1" t="s">
        <v>166</v>
      </c>
      <c r="B244" s="6">
        <v>20</v>
      </c>
      <c r="C244" s="6" t="s">
        <v>238</v>
      </c>
      <c r="D244" s="6" t="s">
        <v>238</v>
      </c>
      <c r="E244" s="6" t="s">
        <v>238</v>
      </c>
      <c r="F244" s="6" t="s">
        <v>238</v>
      </c>
      <c r="G244" s="6" t="s">
        <v>238</v>
      </c>
      <c r="H244" s="6" t="s">
        <v>238</v>
      </c>
      <c r="I244" s="6" t="s">
        <v>238</v>
      </c>
      <c r="J244" s="6" t="s">
        <v>238</v>
      </c>
      <c r="K244" s="6" t="s">
        <v>238</v>
      </c>
      <c r="L244" s="6" t="s">
        <v>238</v>
      </c>
      <c r="M244" s="6" t="s">
        <v>238</v>
      </c>
      <c r="N244" s="6" t="s">
        <v>238</v>
      </c>
      <c r="O244" s="6" t="s">
        <v>238</v>
      </c>
      <c r="P244" s="6" t="s">
        <v>238</v>
      </c>
      <c r="Q244" s="6" t="s">
        <v>238</v>
      </c>
      <c r="R244" s="6" t="s">
        <v>238</v>
      </c>
      <c r="S244" s="6" t="s">
        <v>238</v>
      </c>
      <c r="T244" s="6" t="s">
        <v>238</v>
      </c>
      <c r="U244" s="6" t="s">
        <v>238</v>
      </c>
      <c r="V244" s="6"/>
      <c r="W244" s="6"/>
      <c r="X244" s="6"/>
      <c r="Y244" s="6"/>
      <c r="Z244" s="6"/>
    </row>
    <row r="245" spans="1:26" x14ac:dyDescent="0.3">
      <c r="A245" s="1" t="s">
        <v>158</v>
      </c>
      <c r="B245" s="6">
        <v>20</v>
      </c>
      <c r="C245" s="6" t="s">
        <v>238</v>
      </c>
      <c r="D245" s="6" t="s">
        <v>238</v>
      </c>
      <c r="E245" s="6" t="s">
        <v>238</v>
      </c>
      <c r="F245" s="6" t="s">
        <v>238</v>
      </c>
      <c r="G245" s="6" t="s">
        <v>238</v>
      </c>
      <c r="H245" s="6" t="s">
        <v>238</v>
      </c>
      <c r="I245" s="6" t="s">
        <v>238</v>
      </c>
      <c r="J245" s="6" t="s">
        <v>238</v>
      </c>
      <c r="K245" s="6" t="s">
        <v>238</v>
      </c>
      <c r="L245" s="6" t="s">
        <v>238</v>
      </c>
      <c r="M245" s="6" t="s">
        <v>238</v>
      </c>
      <c r="N245" s="6" t="s">
        <v>238</v>
      </c>
      <c r="O245" s="6" t="s">
        <v>238</v>
      </c>
      <c r="P245" s="6" t="s">
        <v>238</v>
      </c>
      <c r="Q245" s="6" t="s">
        <v>238</v>
      </c>
      <c r="R245" s="6" t="s">
        <v>238</v>
      </c>
      <c r="S245" s="6" t="s">
        <v>238</v>
      </c>
      <c r="T245" s="6" t="s">
        <v>238</v>
      </c>
      <c r="U245" s="6" t="s">
        <v>238</v>
      </c>
      <c r="V245" s="6"/>
      <c r="W245" s="6"/>
      <c r="X245" s="6"/>
      <c r="Y245" s="6"/>
      <c r="Z245" s="6"/>
    </row>
    <row r="246" spans="1:26" x14ac:dyDescent="0.3">
      <c r="A246" s="1" t="s">
        <v>169</v>
      </c>
      <c r="B246" s="6">
        <v>20</v>
      </c>
      <c r="C246" s="6" t="s">
        <v>238</v>
      </c>
      <c r="D246" s="6" t="s">
        <v>238</v>
      </c>
      <c r="E246" s="6" t="s">
        <v>238</v>
      </c>
      <c r="F246" s="6" t="s">
        <v>238</v>
      </c>
      <c r="G246" s="6" t="s">
        <v>238</v>
      </c>
      <c r="H246" s="6" t="s">
        <v>238</v>
      </c>
      <c r="I246" s="6" t="s">
        <v>238</v>
      </c>
      <c r="J246" s="6" t="s">
        <v>238</v>
      </c>
      <c r="K246" s="6" t="s">
        <v>238</v>
      </c>
      <c r="L246" s="6" t="s">
        <v>238</v>
      </c>
      <c r="M246" s="6" t="s">
        <v>238</v>
      </c>
      <c r="N246" s="6" t="s">
        <v>238</v>
      </c>
      <c r="O246" s="6" t="s">
        <v>238</v>
      </c>
      <c r="P246" s="6" t="s">
        <v>238</v>
      </c>
      <c r="Q246" s="6" t="s">
        <v>238</v>
      </c>
      <c r="R246" s="6" t="s">
        <v>238</v>
      </c>
      <c r="S246" s="6" t="s">
        <v>238</v>
      </c>
      <c r="T246" s="6" t="s">
        <v>238</v>
      </c>
      <c r="U246" s="6" t="s">
        <v>238</v>
      </c>
      <c r="V246" s="6"/>
      <c r="W246" s="6"/>
      <c r="X246" s="6"/>
      <c r="Y246" s="6"/>
      <c r="Z246" s="6"/>
    </row>
    <row r="247" spans="1:26" x14ac:dyDescent="0.3">
      <c r="A247" s="1" t="s">
        <v>162</v>
      </c>
      <c r="B247" s="6">
        <v>20</v>
      </c>
      <c r="C247" s="6" t="s">
        <v>238</v>
      </c>
      <c r="D247" s="6" t="s">
        <v>238</v>
      </c>
      <c r="E247" s="6" t="s">
        <v>238</v>
      </c>
      <c r="F247" s="6" t="s">
        <v>238</v>
      </c>
      <c r="G247" s="6" t="s">
        <v>238</v>
      </c>
      <c r="H247" s="6" t="s">
        <v>238</v>
      </c>
      <c r="I247" s="6" t="s">
        <v>238</v>
      </c>
      <c r="J247" s="6" t="s">
        <v>238</v>
      </c>
      <c r="K247" s="6" t="s">
        <v>238</v>
      </c>
      <c r="L247" s="6" t="s">
        <v>238</v>
      </c>
      <c r="M247" s="6" t="s">
        <v>238</v>
      </c>
      <c r="N247" s="6" t="s">
        <v>238</v>
      </c>
      <c r="O247" s="6" t="s">
        <v>238</v>
      </c>
      <c r="P247" s="6" t="s">
        <v>238</v>
      </c>
      <c r="Q247" s="6" t="s">
        <v>238</v>
      </c>
      <c r="R247" s="6" t="s">
        <v>238</v>
      </c>
      <c r="S247" s="6" t="s">
        <v>238</v>
      </c>
      <c r="T247" s="6" t="s">
        <v>238</v>
      </c>
      <c r="U247" s="6" t="s">
        <v>238</v>
      </c>
      <c r="V247" s="6"/>
      <c r="W247" s="6" t="s">
        <v>241</v>
      </c>
      <c r="X247" s="6"/>
      <c r="Y247" s="6"/>
      <c r="Z247" s="6"/>
    </row>
    <row r="248" spans="1:26" x14ac:dyDescent="0.3">
      <c r="A248" s="33" t="s">
        <v>157</v>
      </c>
      <c r="B248" s="93">
        <v>20</v>
      </c>
      <c r="C248" s="93" t="s">
        <v>238</v>
      </c>
      <c r="D248" s="93" t="s">
        <v>238</v>
      </c>
      <c r="E248" s="93" t="s">
        <v>238</v>
      </c>
      <c r="F248" s="93" t="s">
        <v>238</v>
      </c>
      <c r="G248" s="93" t="s">
        <v>238</v>
      </c>
      <c r="H248" s="93" t="s">
        <v>238</v>
      </c>
      <c r="I248" s="93" t="s">
        <v>238</v>
      </c>
      <c r="J248" s="93" t="s">
        <v>238</v>
      </c>
      <c r="K248" s="93" t="s">
        <v>238</v>
      </c>
      <c r="L248" s="93" t="s">
        <v>238</v>
      </c>
      <c r="M248" s="93" t="s">
        <v>238</v>
      </c>
      <c r="N248" s="93" t="s">
        <v>238</v>
      </c>
      <c r="O248" s="93" t="s">
        <v>238</v>
      </c>
      <c r="P248" s="93" t="s">
        <v>238</v>
      </c>
      <c r="Q248" s="93" t="s">
        <v>238</v>
      </c>
      <c r="R248" s="93" t="s">
        <v>238</v>
      </c>
      <c r="S248" s="93" t="s">
        <v>238</v>
      </c>
      <c r="T248" s="93" t="s">
        <v>238</v>
      </c>
      <c r="U248" s="93" t="s">
        <v>238</v>
      </c>
      <c r="V248" s="93"/>
      <c r="W248" s="93"/>
      <c r="X248" s="93"/>
      <c r="Y248" s="93"/>
      <c r="Z248" s="93"/>
    </row>
    <row r="249" spans="1:26" x14ac:dyDescent="0.3">
      <c r="A249" s="1" t="s">
        <v>167</v>
      </c>
      <c r="B249" s="6">
        <v>20</v>
      </c>
      <c r="C249" s="6" t="s">
        <v>238</v>
      </c>
      <c r="D249" s="6" t="s">
        <v>238</v>
      </c>
      <c r="E249" s="6" t="s">
        <v>238</v>
      </c>
      <c r="F249" s="6" t="s">
        <v>238</v>
      </c>
      <c r="G249" s="6" t="s">
        <v>238</v>
      </c>
      <c r="H249" s="6" t="s">
        <v>238</v>
      </c>
      <c r="I249" s="6" t="s">
        <v>238</v>
      </c>
      <c r="J249" s="6" t="s">
        <v>238</v>
      </c>
      <c r="K249" s="6" t="s">
        <v>238</v>
      </c>
      <c r="L249" s="6" t="s">
        <v>238</v>
      </c>
      <c r="M249" s="6" t="s">
        <v>238</v>
      </c>
      <c r="N249" s="6" t="s">
        <v>238</v>
      </c>
      <c r="O249" s="6" t="s">
        <v>238</v>
      </c>
      <c r="P249" s="6" t="s">
        <v>238</v>
      </c>
      <c r="Q249" s="6" t="s">
        <v>238</v>
      </c>
      <c r="R249" s="6" t="s">
        <v>238</v>
      </c>
      <c r="S249" s="6" t="s">
        <v>238</v>
      </c>
      <c r="T249" s="6" t="s">
        <v>238</v>
      </c>
      <c r="U249" s="6" t="s">
        <v>238</v>
      </c>
      <c r="V249" s="6" t="s">
        <v>238</v>
      </c>
      <c r="W249" s="6" t="s">
        <v>238</v>
      </c>
      <c r="X249" s="6" t="s">
        <v>238</v>
      </c>
      <c r="Y249" s="6" t="s">
        <v>238</v>
      </c>
      <c r="Z249" s="6" t="s">
        <v>238</v>
      </c>
    </row>
    <row r="250" spans="1:26" x14ac:dyDescent="0.3">
      <c r="A250" s="1" t="s">
        <v>200</v>
      </c>
      <c r="B250" s="6">
        <v>21</v>
      </c>
      <c r="C250" s="6" t="s">
        <v>238</v>
      </c>
      <c r="D250" s="6" t="s">
        <v>238</v>
      </c>
      <c r="E250" s="6" t="s">
        <v>238</v>
      </c>
      <c r="F250" s="6" t="s">
        <v>238</v>
      </c>
      <c r="G250" s="6" t="s">
        <v>238</v>
      </c>
      <c r="H250" s="6" t="s">
        <v>238</v>
      </c>
      <c r="I250" s="6" t="s">
        <v>238</v>
      </c>
      <c r="J250" s="6" t="s">
        <v>238</v>
      </c>
      <c r="K250" s="6" t="s">
        <v>238</v>
      </c>
      <c r="L250" s="6" t="s">
        <v>238</v>
      </c>
      <c r="M250" s="6" t="s">
        <v>238</v>
      </c>
      <c r="N250" s="6" t="s">
        <v>238</v>
      </c>
      <c r="O250" s="6" t="s">
        <v>238</v>
      </c>
      <c r="P250" s="6" t="s">
        <v>238</v>
      </c>
      <c r="Q250" s="6" t="s">
        <v>238</v>
      </c>
      <c r="R250" s="6" t="s">
        <v>238</v>
      </c>
      <c r="S250" s="6" t="s">
        <v>238</v>
      </c>
      <c r="T250" s="6" t="s">
        <v>238</v>
      </c>
      <c r="U250" s="6" t="s">
        <v>238</v>
      </c>
      <c r="V250" s="6" t="s">
        <v>238</v>
      </c>
      <c r="W250" s="6" t="s">
        <v>238</v>
      </c>
      <c r="X250" s="6" t="s">
        <v>238</v>
      </c>
      <c r="Y250" s="6" t="s">
        <v>238</v>
      </c>
      <c r="Z250" s="6" t="s">
        <v>238</v>
      </c>
    </row>
    <row r="251" spans="1:26" x14ac:dyDescent="0.3">
      <c r="A251" s="1" t="s">
        <v>164</v>
      </c>
      <c r="B251" s="6">
        <v>21</v>
      </c>
      <c r="C251" s="6" t="s">
        <v>238</v>
      </c>
      <c r="D251" s="6" t="s">
        <v>238</v>
      </c>
      <c r="E251" s="6" t="s">
        <v>238</v>
      </c>
      <c r="F251" s="6" t="s">
        <v>238</v>
      </c>
      <c r="G251" s="6" t="s">
        <v>238</v>
      </c>
      <c r="H251" s="6" t="s">
        <v>238</v>
      </c>
      <c r="I251" s="6" t="s">
        <v>238</v>
      </c>
      <c r="J251" s="6" t="s">
        <v>238</v>
      </c>
      <c r="K251" s="6" t="s">
        <v>238</v>
      </c>
      <c r="L251" s="6" t="s">
        <v>238</v>
      </c>
      <c r="M251" s="6" t="s">
        <v>238</v>
      </c>
      <c r="N251" s="6" t="s">
        <v>238</v>
      </c>
      <c r="O251" s="6" t="s">
        <v>238</v>
      </c>
      <c r="P251" s="6" t="s">
        <v>238</v>
      </c>
      <c r="Q251" s="6" t="s">
        <v>238</v>
      </c>
      <c r="R251" s="6" t="s">
        <v>238</v>
      </c>
      <c r="S251" s="6" t="s">
        <v>238</v>
      </c>
      <c r="T251" s="6" t="s">
        <v>238</v>
      </c>
      <c r="U251" s="6" t="s">
        <v>238</v>
      </c>
      <c r="V251" s="6" t="s">
        <v>238</v>
      </c>
      <c r="W251" s="6" t="s">
        <v>241</v>
      </c>
      <c r="X251" s="6" t="s">
        <v>238</v>
      </c>
      <c r="Y251" s="6" t="s">
        <v>238</v>
      </c>
      <c r="Z251" s="6" t="s">
        <v>238</v>
      </c>
    </row>
    <row r="252" spans="1:26" x14ac:dyDescent="0.3">
      <c r="A252" s="1" t="s">
        <v>189</v>
      </c>
      <c r="B252" s="6">
        <v>21</v>
      </c>
      <c r="C252" s="6" t="s">
        <v>238</v>
      </c>
      <c r="D252" s="6" t="s">
        <v>238</v>
      </c>
      <c r="E252" s="6" t="s">
        <v>238</v>
      </c>
      <c r="F252" s="6" t="s">
        <v>238</v>
      </c>
      <c r="G252" s="6" t="s">
        <v>238</v>
      </c>
      <c r="H252" s="6" t="s">
        <v>238</v>
      </c>
      <c r="I252" s="6" t="s">
        <v>238</v>
      </c>
      <c r="J252" s="6" t="s">
        <v>238</v>
      </c>
      <c r="K252" s="6" t="s">
        <v>238</v>
      </c>
      <c r="L252" s="6" t="s">
        <v>238</v>
      </c>
      <c r="M252" s="6" t="s">
        <v>238</v>
      </c>
      <c r="N252" s="6" t="s">
        <v>238</v>
      </c>
      <c r="O252" s="6" t="s">
        <v>238</v>
      </c>
      <c r="P252" s="6" t="s">
        <v>238</v>
      </c>
      <c r="Q252" s="6" t="s">
        <v>238</v>
      </c>
      <c r="R252" s="6" t="s">
        <v>238</v>
      </c>
      <c r="S252" s="6" t="s">
        <v>238</v>
      </c>
      <c r="T252" s="6" t="s">
        <v>238</v>
      </c>
      <c r="U252" s="6" t="s">
        <v>238</v>
      </c>
      <c r="V252" s="6" t="s">
        <v>238</v>
      </c>
      <c r="W252" s="6" t="s">
        <v>238</v>
      </c>
      <c r="X252" s="6" t="s">
        <v>238</v>
      </c>
      <c r="Y252" s="6" t="s">
        <v>238</v>
      </c>
      <c r="Z252" s="6" t="s">
        <v>238</v>
      </c>
    </row>
    <row r="253" spans="1:26" x14ac:dyDescent="0.3">
      <c r="A253" s="1" t="s">
        <v>170</v>
      </c>
      <c r="B253" s="6">
        <v>21</v>
      </c>
      <c r="C253" s="6" t="s">
        <v>238</v>
      </c>
      <c r="D253" s="6" t="s">
        <v>238</v>
      </c>
      <c r="E253" s="6" t="s">
        <v>238</v>
      </c>
      <c r="F253" s="6" t="s">
        <v>238</v>
      </c>
      <c r="G253" s="6" t="s">
        <v>238</v>
      </c>
      <c r="H253" s="6" t="s">
        <v>238</v>
      </c>
      <c r="I253" s="6" t="s">
        <v>238</v>
      </c>
      <c r="J253" s="6" t="s">
        <v>238</v>
      </c>
      <c r="K253" s="6" t="s">
        <v>238</v>
      </c>
      <c r="L253" s="6" t="s">
        <v>238</v>
      </c>
      <c r="M253" s="6" t="s">
        <v>238</v>
      </c>
      <c r="N253" s="6" t="s">
        <v>238</v>
      </c>
      <c r="O253" s="6" t="s">
        <v>238</v>
      </c>
      <c r="P253" s="6" t="s">
        <v>238</v>
      </c>
      <c r="Q253" s="6" t="s">
        <v>238</v>
      </c>
      <c r="R253" s="6" t="s">
        <v>238</v>
      </c>
      <c r="S253" s="6" t="s">
        <v>238</v>
      </c>
      <c r="T253" s="6" t="s">
        <v>238</v>
      </c>
      <c r="U253" s="6" t="s">
        <v>238</v>
      </c>
      <c r="V253" s="6" t="s">
        <v>238</v>
      </c>
      <c r="W253" s="6" t="s">
        <v>241</v>
      </c>
      <c r="X253" s="6" t="s">
        <v>238</v>
      </c>
      <c r="Y253" s="6" t="s">
        <v>238</v>
      </c>
      <c r="Z253" s="6" t="s">
        <v>238</v>
      </c>
    </row>
    <row r="254" spans="1:26" x14ac:dyDescent="0.3">
      <c r="A254" s="1" t="s">
        <v>171</v>
      </c>
      <c r="B254" s="6">
        <v>21</v>
      </c>
      <c r="C254" s="6" t="s">
        <v>238</v>
      </c>
      <c r="D254" s="6" t="s">
        <v>238</v>
      </c>
      <c r="E254" s="6" t="s">
        <v>238</v>
      </c>
      <c r="F254" s="6" t="s">
        <v>238</v>
      </c>
      <c r="G254" s="6" t="s">
        <v>238</v>
      </c>
      <c r="H254" s="6" t="s">
        <v>238</v>
      </c>
      <c r="I254" s="6" t="s">
        <v>238</v>
      </c>
      <c r="J254" s="6" t="s">
        <v>238</v>
      </c>
      <c r="K254" s="6" t="s">
        <v>238</v>
      </c>
      <c r="L254" s="6" t="s">
        <v>238</v>
      </c>
      <c r="M254" s="6" t="s">
        <v>238</v>
      </c>
      <c r="N254" s="6" t="s">
        <v>238</v>
      </c>
      <c r="O254" s="6" t="s">
        <v>238</v>
      </c>
      <c r="P254" s="6" t="s">
        <v>238</v>
      </c>
      <c r="Q254" s="6" t="s">
        <v>238</v>
      </c>
      <c r="R254" s="6" t="s">
        <v>238</v>
      </c>
      <c r="S254" s="6" t="s">
        <v>238</v>
      </c>
      <c r="T254" s="6" t="s">
        <v>238</v>
      </c>
      <c r="U254" s="6" t="s">
        <v>238</v>
      </c>
      <c r="V254" s="6" t="s">
        <v>238</v>
      </c>
      <c r="W254" s="6" t="s">
        <v>238</v>
      </c>
      <c r="X254" s="6" t="s">
        <v>238</v>
      </c>
      <c r="Y254" s="6" t="s">
        <v>238</v>
      </c>
      <c r="Z254" s="6" t="s">
        <v>238</v>
      </c>
    </row>
    <row r="255" spans="1:26" x14ac:dyDescent="0.3">
      <c r="A255" s="1" t="s">
        <v>172</v>
      </c>
      <c r="B255" s="6">
        <v>21</v>
      </c>
      <c r="C255" s="6" t="s">
        <v>238</v>
      </c>
      <c r="D255" s="6" t="s">
        <v>238</v>
      </c>
      <c r="E255" s="6" t="s">
        <v>238</v>
      </c>
      <c r="F255" s="6" t="s">
        <v>238</v>
      </c>
      <c r="G255" s="6" t="s">
        <v>238</v>
      </c>
      <c r="H255" s="6" t="s">
        <v>238</v>
      </c>
      <c r="I255" s="6" t="s">
        <v>238</v>
      </c>
      <c r="J255" s="6" t="s">
        <v>238</v>
      </c>
      <c r="K255" s="6" t="s">
        <v>238</v>
      </c>
      <c r="L255" s="6" t="s">
        <v>238</v>
      </c>
      <c r="M255" s="6" t="s">
        <v>238</v>
      </c>
      <c r="N255" s="6" t="s">
        <v>238</v>
      </c>
      <c r="O255" s="6" t="s">
        <v>238</v>
      </c>
      <c r="P255" s="6" t="s">
        <v>238</v>
      </c>
      <c r="Q255" s="6" t="s">
        <v>238</v>
      </c>
      <c r="R255" s="6" t="s">
        <v>238</v>
      </c>
      <c r="S255" s="6" t="s">
        <v>238</v>
      </c>
      <c r="T255" s="6" t="s">
        <v>238</v>
      </c>
      <c r="U255" s="6" t="s">
        <v>238</v>
      </c>
      <c r="V255" s="6" t="s">
        <v>238</v>
      </c>
      <c r="W255" s="6" t="s">
        <v>241</v>
      </c>
      <c r="X255" s="6" t="s">
        <v>238</v>
      </c>
      <c r="Y255" s="6" t="s">
        <v>238</v>
      </c>
      <c r="Z255" s="6" t="s">
        <v>238</v>
      </c>
    </row>
    <row r="256" spans="1:26" x14ac:dyDescent="0.3">
      <c r="A256" s="1" t="s">
        <v>176</v>
      </c>
      <c r="B256" s="6">
        <v>21</v>
      </c>
      <c r="C256" s="6" t="s">
        <v>238</v>
      </c>
      <c r="D256" s="6" t="s">
        <v>238</v>
      </c>
      <c r="E256" s="6" t="s">
        <v>238</v>
      </c>
      <c r="F256" s="6" t="s">
        <v>238</v>
      </c>
      <c r="G256" s="6" t="s">
        <v>238</v>
      </c>
      <c r="H256" s="6" t="s">
        <v>238</v>
      </c>
      <c r="I256" s="6" t="s">
        <v>238</v>
      </c>
      <c r="J256" s="6" t="s">
        <v>238</v>
      </c>
      <c r="K256" s="6" t="s">
        <v>238</v>
      </c>
      <c r="L256" s="6" t="s">
        <v>238</v>
      </c>
      <c r="M256" s="6" t="s">
        <v>238</v>
      </c>
      <c r="N256" s="6" t="s">
        <v>238</v>
      </c>
      <c r="O256" s="6" t="s">
        <v>238</v>
      </c>
      <c r="P256" s="6" t="s">
        <v>238</v>
      </c>
      <c r="Q256" s="6" t="s">
        <v>238</v>
      </c>
      <c r="R256" s="6" t="s">
        <v>238</v>
      </c>
      <c r="S256" s="6" t="s">
        <v>238</v>
      </c>
      <c r="T256" s="6" t="s">
        <v>238</v>
      </c>
      <c r="U256" s="6" t="s">
        <v>238</v>
      </c>
      <c r="V256" s="6" t="s">
        <v>238</v>
      </c>
      <c r="W256" s="6" t="s">
        <v>238</v>
      </c>
      <c r="X256" s="6" t="s">
        <v>238</v>
      </c>
      <c r="Y256" s="6" t="s">
        <v>238</v>
      </c>
      <c r="Z256" s="6" t="s">
        <v>238</v>
      </c>
    </row>
    <row r="257" spans="1:26" x14ac:dyDescent="0.3">
      <c r="A257" s="1" t="s">
        <v>191</v>
      </c>
      <c r="B257" s="6">
        <v>21</v>
      </c>
      <c r="C257" s="6" t="s">
        <v>238</v>
      </c>
      <c r="D257" s="6" t="s">
        <v>238</v>
      </c>
      <c r="E257" s="6" t="s">
        <v>238</v>
      </c>
      <c r="F257" s="6" t="s">
        <v>238</v>
      </c>
      <c r="G257" s="6" t="s">
        <v>238</v>
      </c>
      <c r="H257" s="6" t="s">
        <v>238</v>
      </c>
      <c r="I257" s="6" t="s">
        <v>238</v>
      </c>
      <c r="J257" s="6" t="s">
        <v>238</v>
      </c>
      <c r="K257" s="6" t="s">
        <v>238</v>
      </c>
      <c r="L257" s="6" t="s">
        <v>238</v>
      </c>
      <c r="M257" s="6" t="s">
        <v>238</v>
      </c>
      <c r="N257" s="6" t="s">
        <v>238</v>
      </c>
      <c r="O257" s="6" t="s">
        <v>238</v>
      </c>
      <c r="P257" s="6" t="s">
        <v>238</v>
      </c>
      <c r="Q257" s="6" t="s">
        <v>238</v>
      </c>
      <c r="R257" s="6" t="s">
        <v>238</v>
      </c>
      <c r="S257" s="6" t="s">
        <v>238</v>
      </c>
      <c r="T257" s="6" t="s">
        <v>238</v>
      </c>
      <c r="U257" s="6" t="s">
        <v>238</v>
      </c>
      <c r="V257" s="6" t="s">
        <v>238</v>
      </c>
      <c r="W257" s="6" t="s">
        <v>238</v>
      </c>
      <c r="X257" s="6" t="s">
        <v>238</v>
      </c>
      <c r="Y257" s="6" t="s">
        <v>238</v>
      </c>
      <c r="Z257" s="6" t="s">
        <v>238</v>
      </c>
    </row>
    <row r="258" spans="1:26" x14ac:dyDescent="0.3">
      <c r="A258" s="1" t="s">
        <v>184</v>
      </c>
      <c r="B258" s="6">
        <v>21</v>
      </c>
      <c r="C258" s="6" t="s">
        <v>238</v>
      </c>
      <c r="D258" s="6" t="s">
        <v>238</v>
      </c>
      <c r="E258" s="6" t="s">
        <v>238</v>
      </c>
      <c r="F258" s="6" t="s">
        <v>238</v>
      </c>
      <c r="G258" s="6" t="s">
        <v>238</v>
      </c>
      <c r="H258" s="6" t="s">
        <v>238</v>
      </c>
      <c r="I258" s="6" t="s">
        <v>238</v>
      </c>
      <c r="J258" s="6" t="s">
        <v>238</v>
      </c>
      <c r="K258" s="6" t="s">
        <v>238</v>
      </c>
      <c r="L258" s="6" t="s">
        <v>238</v>
      </c>
      <c r="M258" s="6" t="s">
        <v>238</v>
      </c>
      <c r="N258" s="6" t="s">
        <v>238</v>
      </c>
      <c r="O258" s="6" t="s">
        <v>238</v>
      </c>
      <c r="P258" s="6" t="s">
        <v>238</v>
      </c>
      <c r="Q258" s="6" t="s">
        <v>238</v>
      </c>
      <c r="R258" s="6" t="s">
        <v>238</v>
      </c>
      <c r="S258" s="6" t="s">
        <v>238</v>
      </c>
      <c r="T258" s="6" t="s">
        <v>238</v>
      </c>
      <c r="U258" s="6" t="s">
        <v>238</v>
      </c>
      <c r="V258" s="6" t="s">
        <v>238</v>
      </c>
      <c r="W258" s="6" t="s">
        <v>238</v>
      </c>
      <c r="X258" s="6" t="s">
        <v>238</v>
      </c>
      <c r="Y258" s="6" t="s">
        <v>238</v>
      </c>
      <c r="Z258" s="6" t="s">
        <v>238</v>
      </c>
    </row>
    <row r="259" spans="1:26" x14ac:dyDescent="0.3">
      <c r="A259" s="1" t="s">
        <v>180</v>
      </c>
      <c r="B259" s="6">
        <v>21</v>
      </c>
      <c r="C259" s="6" t="s">
        <v>238</v>
      </c>
      <c r="D259" s="6" t="s">
        <v>238</v>
      </c>
      <c r="E259" s="6" t="s">
        <v>238</v>
      </c>
      <c r="F259" s="6" t="s">
        <v>238</v>
      </c>
      <c r="G259" s="6" t="s">
        <v>238</v>
      </c>
      <c r="H259" s="6" t="s">
        <v>238</v>
      </c>
      <c r="I259" s="6" t="s">
        <v>238</v>
      </c>
      <c r="J259" s="6" t="s">
        <v>238</v>
      </c>
      <c r="K259" s="6" t="s">
        <v>238</v>
      </c>
      <c r="L259" s="6" t="s">
        <v>238</v>
      </c>
      <c r="M259" s="6" t="s">
        <v>238</v>
      </c>
      <c r="N259" s="6" t="s">
        <v>238</v>
      </c>
      <c r="O259" s="6" t="s">
        <v>238</v>
      </c>
      <c r="P259" s="6" t="s">
        <v>238</v>
      </c>
      <c r="Q259" s="6" t="s">
        <v>238</v>
      </c>
      <c r="R259" s="6" t="s">
        <v>238</v>
      </c>
      <c r="S259" s="6" t="s">
        <v>238</v>
      </c>
      <c r="T259" s="6" t="s">
        <v>238</v>
      </c>
      <c r="U259" s="6" t="s">
        <v>238</v>
      </c>
      <c r="V259" s="6" t="s">
        <v>238</v>
      </c>
      <c r="W259" s="6" t="s">
        <v>241</v>
      </c>
      <c r="X259" s="6" t="s">
        <v>238</v>
      </c>
      <c r="Y259" s="6" t="s">
        <v>238</v>
      </c>
      <c r="Z259" s="6" t="s">
        <v>238</v>
      </c>
    </row>
    <row r="260" spans="1:26" x14ac:dyDescent="0.3">
      <c r="A260" s="1" t="s">
        <v>197</v>
      </c>
      <c r="B260" s="6">
        <v>21</v>
      </c>
      <c r="C260" s="6" t="s">
        <v>238</v>
      </c>
      <c r="D260" s="6" t="s">
        <v>238</v>
      </c>
      <c r="E260" s="6" t="s">
        <v>238</v>
      </c>
      <c r="F260" s="6" t="s">
        <v>238</v>
      </c>
      <c r="G260" s="6" t="s">
        <v>238</v>
      </c>
      <c r="H260" s="6" t="s">
        <v>238</v>
      </c>
      <c r="I260" s="6" t="s">
        <v>238</v>
      </c>
      <c r="J260" s="6" t="s">
        <v>238</v>
      </c>
      <c r="K260" s="6" t="s">
        <v>238</v>
      </c>
      <c r="L260" s="6" t="s">
        <v>238</v>
      </c>
      <c r="M260" s="6" t="s">
        <v>238</v>
      </c>
      <c r="N260" s="6" t="s">
        <v>238</v>
      </c>
      <c r="O260" s="6" t="s">
        <v>238</v>
      </c>
      <c r="P260" s="6" t="s">
        <v>238</v>
      </c>
      <c r="Q260" s="6" t="s">
        <v>238</v>
      </c>
      <c r="R260" s="6" t="s">
        <v>238</v>
      </c>
      <c r="S260" s="6" t="s">
        <v>238</v>
      </c>
      <c r="T260" s="6" t="s">
        <v>238</v>
      </c>
      <c r="U260" s="6" t="s">
        <v>238</v>
      </c>
      <c r="V260" s="6" t="s">
        <v>238</v>
      </c>
      <c r="W260" s="6" t="s">
        <v>238</v>
      </c>
      <c r="X260" s="6" t="s">
        <v>238</v>
      </c>
      <c r="Y260" s="6" t="s">
        <v>238</v>
      </c>
      <c r="Z260" s="6" t="s">
        <v>238</v>
      </c>
    </row>
    <row r="261" spans="1:26" x14ac:dyDescent="0.3">
      <c r="A261" s="1" t="s">
        <v>178</v>
      </c>
      <c r="B261" s="6">
        <v>21</v>
      </c>
      <c r="C261" s="6" t="s">
        <v>238</v>
      </c>
      <c r="D261" s="6" t="s">
        <v>238</v>
      </c>
      <c r="E261" s="6" t="s">
        <v>238</v>
      </c>
      <c r="F261" s="6" t="s">
        <v>238</v>
      </c>
      <c r="G261" s="6" t="s">
        <v>238</v>
      </c>
      <c r="H261" s="6" t="s">
        <v>238</v>
      </c>
      <c r="I261" s="6" t="s">
        <v>238</v>
      </c>
      <c r="J261" s="6" t="s">
        <v>238</v>
      </c>
      <c r="K261" s="6" t="s">
        <v>238</v>
      </c>
      <c r="L261" s="6" t="s">
        <v>238</v>
      </c>
      <c r="M261" s="6" t="s">
        <v>238</v>
      </c>
      <c r="N261" s="6" t="s">
        <v>238</v>
      </c>
      <c r="O261" s="6" t="s">
        <v>238</v>
      </c>
      <c r="P261" s="6" t="s">
        <v>238</v>
      </c>
      <c r="Q261" s="6" t="s">
        <v>238</v>
      </c>
      <c r="R261" s="6" t="s">
        <v>238</v>
      </c>
      <c r="S261" s="6" t="s">
        <v>238</v>
      </c>
      <c r="T261" s="6" t="s">
        <v>238</v>
      </c>
      <c r="U261" s="6" t="s">
        <v>238</v>
      </c>
      <c r="V261" s="6" t="s">
        <v>238</v>
      </c>
      <c r="W261" s="6" t="s">
        <v>238</v>
      </c>
      <c r="X261" s="6" t="s">
        <v>241</v>
      </c>
      <c r="Y261" s="6" t="s">
        <v>238</v>
      </c>
      <c r="Z261" s="6" t="s">
        <v>238</v>
      </c>
    </row>
    <row r="262" spans="1:26" x14ac:dyDescent="0.3">
      <c r="A262" s="1" t="s">
        <v>183</v>
      </c>
      <c r="B262" s="6">
        <v>21</v>
      </c>
      <c r="C262" s="6" t="s">
        <v>238</v>
      </c>
      <c r="D262" s="6" t="s">
        <v>238</v>
      </c>
      <c r="E262" s="6" t="s">
        <v>238</v>
      </c>
      <c r="F262" s="6" t="s">
        <v>238</v>
      </c>
      <c r="G262" s="6" t="s">
        <v>238</v>
      </c>
      <c r="H262" s="6" t="s">
        <v>238</v>
      </c>
      <c r="I262" s="6" t="s">
        <v>238</v>
      </c>
      <c r="J262" s="6" t="s">
        <v>238</v>
      </c>
      <c r="K262" s="6" t="s">
        <v>238</v>
      </c>
      <c r="L262" s="6" t="s">
        <v>238</v>
      </c>
      <c r="M262" s="6" t="s">
        <v>238</v>
      </c>
      <c r="N262" s="6" t="s">
        <v>238</v>
      </c>
      <c r="O262" s="6" t="s">
        <v>238</v>
      </c>
      <c r="P262" s="6" t="s">
        <v>238</v>
      </c>
      <c r="Q262" s="6" t="s">
        <v>238</v>
      </c>
      <c r="R262" s="6" t="s">
        <v>238</v>
      </c>
      <c r="S262" s="6" t="s">
        <v>238</v>
      </c>
      <c r="T262" s="6" t="s">
        <v>238</v>
      </c>
      <c r="U262" s="6" t="s">
        <v>238</v>
      </c>
      <c r="V262" s="6" t="s">
        <v>238</v>
      </c>
      <c r="W262" s="6" t="s">
        <v>241</v>
      </c>
      <c r="X262" s="6" t="s">
        <v>238</v>
      </c>
      <c r="Y262" s="6" t="s">
        <v>238</v>
      </c>
      <c r="Z262" s="6" t="s">
        <v>238</v>
      </c>
    </row>
    <row r="263" spans="1:26" x14ac:dyDescent="0.3">
      <c r="A263" s="1" t="s">
        <v>185</v>
      </c>
      <c r="B263" s="6">
        <v>21</v>
      </c>
      <c r="C263" s="6" t="s">
        <v>238</v>
      </c>
      <c r="D263" s="6" t="s">
        <v>238</v>
      </c>
      <c r="E263" s="6" t="s">
        <v>238</v>
      </c>
      <c r="F263" s="6" t="s">
        <v>238</v>
      </c>
      <c r="G263" s="6" t="s">
        <v>238</v>
      </c>
      <c r="H263" s="6" t="s">
        <v>238</v>
      </c>
      <c r="I263" s="6" t="s">
        <v>238</v>
      </c>
      <c r="J263" s="6" t="s">
        <v>238</v>
      </c>
      <c r="K263" s="6" t="s">
        <v>238</v>
      </c>
      <c r="L263" s="6" t="s">
        <v>238</v>
      </c>
      <c r="M263" s="6" t="s">
        <v>238</v>
      </c>
      <c r="N263" s="6" t="s">
        <v>238</v>
      </c>
      <c r="O263" s="6" t="s">
        <v>238</v>
      </c>
      <c r="P263" s="6" t="s">
        <v>238</v>
      </c>
      <c r="Q263" s="6" t="s">
        <v>238</v>
      </c>
      <c r="R263" s="6" t="s">
        <v>238</v>
      </c>
      <c r="S263" s="6" t="s">
        <v>238</v>
      </c>
      <c r="T263" s="6" t="s">
        <v>238</v>
      </c>
      <c r="U263" s="6" t="s">
        <v>238</v>
      </c>
      <c r="V263" s="6" t="s">
        <v>238</v>
      </c>
      <c r="W263" s="6" t="s">
        <v>238</v>
      </c>
      <c r="X263" s="6" t="s">
        <v>238</v>
      </c>
      <c r="Y263" s="6" t="s">
        <v>238</v>
      </c>
      <c r="Z263" s="6" t="s">
        <v>238</v>
      </c>
    </row>
    <row r="264" spans="1:26" x14ac:dyDescent="0.3">
      <c r="A264" s="1" t="s">
        <v>173</v>
      </c>
      <c r="B264" s="6">
        <v>21</v>
      </c>
      <c r="C264" s="6" t="s">
        <v>238</v>
      </c>
      <c r="D264" s="6" t="s">
        <v>238</v>
      </c>
      <c r="E264" s="6" t="s">
        <v>238</v>
      </c>
      <c r="F264" s="6" t="s">
        <v>238</v>
      </c>
      <c r="G264" s="6" t="s">
        <v>238</v>
      </c>
      <c r="H264" s="6" t="s">
        <v>238</v>
      </c>
      <c r="I264" s="6" t="s">
        <v>238</v>
      </c>
      <c r="J264" s="6" t="s">
        <v>238</v>
      </c>
      <c r="K264" s="6" t="s">
        <v>238</v>
      </c>
      <c r="L264" s="6" t="s">
        <v>238</v>
      </c>
      <c r="M264" s="6" t="s">
        <v>238</v>
      </c>
      <c r="N264" s="6" t="s">
        <v>238</v>
      </c>
      <c r="O264" s="6" t="s">
        <v>238</v>
      </c>
      <c r="P264" s="6" t="s">
        <v>238</v>
      </c>
      <c r="Q264" s="6" t="s">
        <v>238</v>
      </c>
      <c r="R264" s="6" t="s">
        <v>238</v>
      </c>
      <c r="S264" s="6" t="s">
        <v>238</v>
      </c>
      <c r="T264" s="6" t="s">
        <v>238</v>
      </c>
      <c r="U264" s="6" t="s">
        <v>238</v>
      </c>
      <c r="V264" s="6" t="s">
        <v>238</v>
      </c>
      <c r="W264" s="6" t="s">
        <v>238</v>
      </c>
      <c r="X264" s="6" t="s">
        <v>238</v>
      </c>
      <c r="Y264" s="6" t="s">
        <v>238</v>
      </c>
      <c r="Z264" s="6" t="s">
        <v>238</v>
      </c>
    </row>
    <row r="265" spans="1:26" x14ac:dyDescent="0.3">
      <c r="A265" s="1" t="s">
        <v>188</v>
      </c>
      <c r="B265" s="6">
        <v>21</v>
      </c>
      <c r="C265" s="6" t="s">
        <v>238</v>
      </c>
      <c r="D265" s="6" t="s">
        <v>238</v>
      </c>
      <c r="E265" s="6" t="s">
        <v>238</v>
      </c>
      <c r="F265" s="6" t="s">
        <v>238</v>
      </c>
      <c r="G265" s="6" t="s">
        <v>238</v>
      </c>
      <c r="H265" s="6" t="s">
        <v>238</v>
      </c>
      <c r="I265" s="6" t="s">
        <v>238</v>
      </c>
      <c r="J265" s="6" t="s">
        <v>238</v>
      </c>
      <c r="K265" s="6" t="s">
        <v>238</v>
      </c>
      <c r="L265" s="6" t="s">
        <v>238</v>
      </c>
      <c r="M265" s="6" t="s">
        <v>238</v>
      </c>
      <c r="N265" s="6" t="s">
        <v>238</v>
      </c>
      <c r="O265" s="6" t="s">
        <v>238</v>
      </c>
      <c r="P265" s="6" t="s">
        <v>238</v>
      </c>
      <c r="Q265" s="6" t="s">
        <v>238</v>
      </c>
      <c r="R265" s="6" t="s">
        <v>238</v>
      </c>
      <c r="S265" s="6" t="s">
        <v>238</v>
      </c>
      <c r="T265" s="6" t="s">
        <v>238</v>
      </c>
      <c r="U265" s="6" t="s">
        <v>238</v>
      </c>
      <c r="V265" s="6" t="s">
        <v>238</v>
      </c>
      <c r="W265" s="6" t="s">
        <v>241</v>
      </c>
      <c r="X265" s="6" t="s">
        <v>238</v>
      </c>
      <c r="Y265" s="6" t="s">
        <v>238</v>
      </c>
      <c r="Z265" s="6" t="s">
        <v>238</v>
      </c>
    </row>
    <row r="266" spans="1:26" x14ac:dyDescent="0.3">
      <c r="A266" s="1" t="s">
        <v>192</v>
      </c>
      <c r="B266" s="6">
        <v>21</v>
      </c>
      <c r="C266" s="6" t="s">
        <v>238</v>
      </c>
      <c r="D266" s="6" t="s">
        <v>238</v>
      </c>
      <c r="E266" s="6" t="s">
        <v>238</v>
      </c>
      <c r="F266" s="6" t="s">
        <v>238</v>
      </c>
      <c r="G266" s="6" t="s">
        <v>238</v>
      </c>
      <c r="H266" s="6" t="s">
        <v>238</v>
      </c>
      <c r="I266" s="6" t="s">
        <v>238</v>
      </c>
      <c r="J266" s="6" t="s">
        <v>238</v>
      </c>
      <c r="K266" s="6" t="s">
        <v>238</v>
      </c>
      <c r="L266" s="6" t="s">
        <v>238</v>
      </c>
      <c r="M266" s="6" t="s">
        <v>238</v>
      </c>
      <c r="N266" s="6" t="s">
        <v>238</v>
      </c>
      <c r="O266" s="6" t="s">
        <v>238</v>
      </c>
      <c r="P266" s="6" t="s">
        <v>238</v>
      </c>
      <c r="Q266" s="6" t="s">
        <v>238</v>
      </c>
      <c r="R266" s="6" t="s">
        <v>238</v>
      </c>
      <c r="S266" s="6" t="s">
        <v>238</v>
      </c>
      <c r="T266" s="6" t="s">
        <v>238</v>
      </c>
      <c r="U266" s="6" t="s">
        <v>238</v>
      </c>
      <c r="V266" s="6" t="s">
        <v>238</v>
      </c>
      <c r="W266" s="6" t="s">
        <v>241</v>
      </c>
      <c r="X266" s="6" t="s">
        <v>238</v>
      </c>
      <c r="Y266" s="6" t="s">
        <v>238</v>
      </c>
      <c r="Z266" s="6" t="s">
        <v>238</v>
      </c>
    </row>
    <row r="267" spans="1:26" x14ac:dyDescent="0.3">
      <c r="A267" s="1" t="s">
        <v>194</v>
      </c>
      <c r="B267" s="6">
        <v>21</v>
      </c>
      <c r="C267" s="6" t="s">
        <v>238</v>
      </c>
      <c r="D267" s="6" t="s">
        <v>238</v>
      </c>
      <c r="E267" s="6" t="s">
        <v>238</v>
      </c>
      <c r="F267" s="6" t="s">
        <v>238</v>
      </c>
      <c r="G267" s="6" t="s">
        <v>238</v>
      </c>
      <c r="H267" s="6" t="s">
        <v>238</v>
      </c>
      <c r="I267" s="6" t="s">
        <v>238</v>
      </c>
      <c r="J267" s="6" t="s">
        <v>238</v>
      </c>
      <c r="K267" s="6" t="s">
        <v>238</v>
      </c>
      <c r="L267" s="6" t="s">
        <v>238</v>
      </c>
      <c r="M267" s="6" t="s">
        <v>238</v>
      </c>
      <c r="N267" s="6" t="s">
        <v>238</v>
      </c>
      <c r="O267" s="6" t="s">
        <v>238</v>
      </c>
      <c r="P267" s="6" t="s">
        <v>238</v>
      </c>
      <c r="Q267" s="6" t="s">
        <v>238</v>
      </c>
      <c r="R267" s="6" t="s">
        <v>238</v>
      </c>
      <c r="S267" s="6" t="s">
        <v>238</v>
      </c>
      <c r="T267" s="6" t="s">
        <v>238</v>
      </c>
      <c r="U267" s="6" t="s">
        <v>238</v>
      </c>
      <c r="V267" s="6" t="s">
        <v>238</v>
      </c>
      <c r="W267" s="6" t="s">
        <v>238</v>
      </c>
      <c r="X267" s="6" t="s">
        <v>238</v>
      </c>
      <c r="Y267" s="6" t="s">
        <v>238</v>
      </c>
      <c r="Z267" s="6" t="s">
        <v>238</v>
      </c>
    </row>
    <row r="268" spans="1:26" x14ac:dyDescent="0.3">
      <c r="A268" s="1" t="s">
        <v>195</v>
      </c>
      <c r="B268" s="6">
        <v>21</v>
      </c>
      <c r="C268" s="6" t="s">
        <v>238</v>
      </c>
      <c r="D268" s="6" t="s">
        <v>238</v>
      </c>
      <c r="E268" s="6" t="s">
        <v>238</v>
      </c>
      <c r="F268" s="6" t="s">
        <v>238</v>
      </c>
      <c r="G268" s="6" t="s">
        <v>238</v>
      </c>
      <c r="H268" s="6" t="s">
        <v>238</v>
      </c>
      <c r="I268" s="6" t="s">
        <v>238</v>
      </c>
      <c r="J268" s="6" t="s">
        <v>238</v>
      </c>
      <c r="K268" s="6" t="s">
        <v>238</v>
      </c>
      <c r="L268" s="6" t="s">
        <v>238</v>
      </c>
      <c r="M268" s="6" t="s">
        <v>238</v>
      </c>
      <c r="N268" s="6" t="s">
        <v>238</v>
      </c>
      <c r="O268" s="6" t="s">
        <v>238</v>
      </c>
      <c r="P268" s="6" t="s">
        <v>238</v>
      </c>
      <c r="Q268" s="6" t="s">
        <v>238</v>
      </c>
      <c r="R268" s="6" t="s">
        <v>238</v>
      </c>
      <c r="S268" s="6" t="s">
        <v>238</v>
      </c>
      <c r="T268" s="6" t="s">
        <v>238</v>
      </c>
      <c r="U268" s="6" t="s">
        <v>238</v>
      </c>
      <c r="V268" s="6" t="s">
        <v>238</v>
      </c>
      <c r="W268" s="6" t="s">
        <v>241</v>
      </c>
      <c r="X268" s="6" t="s">
        <v>238</v>
      </c>
      <c r="Y268" s="6" t="s">
        <v>238</v>
      </c>
      <c r="Z268" s="6" t="s">
        <v>238</v>
      </c>
    </row>
    <row r="269" spans="1:26" x14ac:dyDescent="0.3">
      <c r="A269" s="1" t="s">
        <v>174</v>
      </c>
      <c r="B269" s="6">
        <v>21</v>
      </c>
      <c r="C269" s="6" t="s">
        <v>238</v>
      </c>
      <c r="D269" s="6" t="s">
        <v>238</v>
      </c>
      <c r="E269" s="6" t="s">
        <v>238</v>
      </c>
      <c r="F269" s="6" t="s">
        <v>238</v>
      </c>
      <c r="G269" s="6" t="s">
        <v>238</v>
      </c>
      <c r="H269" s="6" t="s">
        <v>238</v>
      </c>
      <c r="I269" s="6" t="s">
        <v>238</v>
      </c>
      <c r="J269" s="6" t="s">
        <v>238</v>
      </c>
      <c r="K269" s="6" t="s">
        <v>238</v>
      </c>
      <c r="L269" s="6" t="s">
        <v>238</v>
      </c>
      <c r="M269" s="6" t="s">
        <v>238</v>
      </c>
      <c r="N269" s="6" t="s">
        <v>238</v>
      </c>
      <c r="O269" s="6" t="s">
        <v>238</v>
      </c>
      <c r="P269" s="6" t="s">
        <v>238</v>
      </c>
      <c r="Q269" s="6" t="s">
        <v>238</v>
      </c>
      <c r="R269" s="6" t="s">
        <v>238</v>
      </c>
      <c r="S269" s="6" t="s">
        <v>238</v>
      </c>
      <c r="T269" s="6" t="s">
        <v>238</v>
      </c>
      <c r="U269" s="6" t="s">
        <v>238</v>
      </c>
      <c r="V269" s="6" t="s">
        <v>238</v>
      </c>
      <c r="W269" s="6" t="s">
        <v>238</v>
      </c>
      <c r="X269" s="6" t="s">
        <v>238</v>
      </c>
      <c r="Y269" s="6" t="s">
        <v>238</v>
      </c>
      <c r="Z269" s="6" t="s">
        <v>238</v>
      </c>
    </row>
    <row r="270" spans="1:26" x14ac:dyDescent="0.3">
      <c r="A270" s="1" t="s">
        <v>199</v>
      </c>
      <c r="B270" s="6">
        <v>21</v>
      </c>
      <c r="C270" s="6" t="s">
        <v>238</v>
      </c>
      <c r="D270" s="6" t="s">
        <v>238</v>
      </c>
      <c r="E270" s="6" t="s">
        <v>238</v>
      </c>
      <c r="F270" s="6" t="s">
        <v>238</v>
      </c>
      <c r="G270" s="6" t="s">
        <v>238</v>
      </c>
      <c r="H270" s="6" t="s">
        <v>238</v>
      </c>
      <c r="I270" s="6" t="s">
        <v>238</v>
      </c>
      <c r="J270" s="6" t="s">
        <v>238</v>
      </c>
      <c r="K270" s="6" t="s">
        <v>238</v>
      </c>
      <c r="L270" s="6" t="s">
        <v>238</v>
      </c>
      <c r="M270" s="6" t="s">
        <v>238</v>
      </c>
      <c r="N270" s="6" t="s">
        <v>238</v>
      </c>
      <c r="O270" s="6" t="s">
        <v>238</v>
      </c>
      <c r="P270" s="6" t="s">
        <v>238</v>
      </c>
      <c r="Q270" s="6" t="s">
        <v>238</v>
      </c>
      <c r="R270" s="6" t="s">
        <v>238</v>
      </c>
      <c r="S270" s="6" t="s">
        <v>238</v>
      </c>
      <c r="T270" s="6" t="s">
        <v>238</v>
      </c>
      <c r="U270" s="6" t="s">
        <v>238</v>
      </c>
      <c r="V270" s="6" t="s">
        <v>238</v>
      </c>
      <c r="W270" s="6" t="s">
        <v>238</v>
      </c>
      <c r="X270" s="6" t="s">
        <v>238</v>
      </c>
      <c r="Y270" s="6" t="s">
        <v>238</v>
      </c>
      <c r="Z270" s="6" t="s">
        <v>238</v>
      </c>
    </row>
    <row r="271" spans="1:26" x14ac:dyDescent="0.3">
      <c r="A271" s="1" t="s">
        <v>182</v>
      </c>
      <c r="B271" s="6">
        <v>21</v>
      </c>
      <c r="C271" s="6" t="s">
        <v>238</v>
      </c>
      <c r="D271" s="6" t="s">
        <v>238</v>
      </c>
      <c r="E271" s="6" t="s">
        <v>238</v>
      </c>
      <c r="F271" s="6" t="s">
        <v>238</v>
      </c>
      <c r="G271" s="6" t="s">
        <v>238</v>
      </c>
      <c r="H271" s="6" t="s">
        <v>238</v>
      </c>
      <c r="I271" s="6" t="s">
        <v>238</v>
      </c>
      <c r="J271" s="6" t="s">
        <v>238</v>
      </c>
      <c r="K271" s="6" t="s">
        <v>238</v>
      </c>
      <c r="L271" s="6" t="s">
        <v>238</v>
      </c>
      <c r="M271" s="6" t="s">
        <v>238</v>
      </c>
      <c r="N271" s="6" t="s">
        <v>238</v>
      </c>
      <c r="O271" s="6" t="s">
        <v>238</v>
      </c>
      <c r="P271" s="6" t="s">
        <v>238</v>
      </c>
      <c r="Q271" s="6" t="s">
        <v>238</v>
      </c>
      <c r="R271" s="6" t="s">
        <v>238</v>
      </c>
      <c r="S271" s="6" t="s">
        <v>238</v>
      </c>
      <c r="T271" s="6" t="s">
        <v>238</v>
      </c>
      <c r="U271" s="6" t="s">
        <v>238</v>
      </c>
      <c r="V271" s="6" t="s">
        <v>238</v>
      </c>
      <c r="W271" s="6" t="s">
        <v>238</v>
      </c>
      <c r="X271" s="6" t="s">
        <v>238</v>
      </c>
      <c r="Y271" s="6" t="s">
        <v>238</v>
      </c>
      <c r="Z271" s="6" t="s">
        <v>238</v>
      </c>
    </row>
    <row r="272" spans="1:26" x14ac:dyDescent="0.3">
      <c r="A272" s="1" t="s">
        <v>196</v>
      </c>
      <c r="B272" s="6">
        <v>21</v>
      </c>
      <c r="C272" s="6" t="s">
        <v>238</v>
      </c>
      <c r="D272" s="6" t="s">
        <v>238</v>
      </c>
      <c r="E272" s="6" t="s">
        <v>238</v>
      </c>
      <c r="F272" s="6" t="s">
        <v>238</v>
      </c>
      <c r="G272" s="6" t="s">
        <v>238</v>
      </c>
      <c r="H272" s="6" t="s">
        <v>238</v>
      </c>
      <c r="I272" s="6" t="s">
        <v>238</v>
      </c>
      <c r="J272" s="6" t="s">
        <v>238</v>
      </c>
      <c r="K272" s="6" t="s">
        <v>238</v>
      </c>
      <c r="L272" s="6" t="s">
        <v>238</v>
      </c>
      <c r="M272" s="6" t="s">
        <v>238</v>
      </c>
      <c r="N272" s="6" t="s">
        <v>238</v>
      </c>
      <c r="O272" s="6" t="s">
        <v>238</v>
      </c>
      <c r="P272" s="6" t="s">
        <v>238</v>
      </c>
      <c r="Q272" s="6" t="s">
        <v>238</v>
      </c>
      <c r="R272" s="6" t="s">
        <v>238</v>
      </c>
      <c r="S272" s="6" t="s">
        <v>238</v>
      </c>
      <c r="T272" s="6" t="s">
        <v>238</v>
      </c>
      <c r="U272" s="6" t="s">
        <v>238</v>
      </c>
      <c r="V272" s="6" t="s">
        <v>238</v>
      </c>
      <c r="W272" s="6" t="s">
        <v>241</v>
      </c>
      <c r="X272" s="6" t="s">
        <v>241</v>
      </c>
      <c r="Y272" s="6" t="s">
        <v>238</v>
      </c>
      <c r="Z272" s="6" t="s">
        <v>238</v>
      </c>
    </row>
    <row r="273" spans="1:26" x14ac:dyDescent="0.3">
      <c r="A273" s="1" t="s">
        <v>201</v>
      </c>
      <c r="B273" s="6">
        <v>21</v>
      </c>
      <c r="C273" s="6" t="s">
        <v>238</v>
      </c>
      <c r="D273" s="6" t="s">
        <v>238</v>
      </c>
      <c r="E273" s="6" t="s">
        <v>238</v>
      </c>
      <c r="F273" s="6" t="s">
        <v>238</v>
      </c>
      <c r="G273" s="6" t="s">
        <v>238</v>
      </c>
      <c r="H273" s="6" t="s">
        <v>238</v>
      </c>
      <c r="I273" s="6" t="s">
        <v>238</v>
      </c>
      <c r="J273" s="6" t="s">
        <v>238</v>
      </c>
      <c r="K273" s="6" t="s">
        <v>238</v>
      </c>
      <c r="L273" s="6" t="s">
        <v>238</v>
      </c>
      <c r="M273" s="6" t="s">
        <v>238</v>
      </c>
      <c r="N273" s="6" t="s">
        <v>238</v>
      </c>
      <c r="O273" s="6" t="s">
        <v>238</v>
      </c>
      <c r="P273" s="6" t="s">
        <v>238</v>
      </c>
      <c r="Q273" s="6" t="s">
        <v>238</v>
      </c>
      <c r="R273" s="6" t="s">
        <v>238</v>
      </c>
      <c r="S273" s="6" t="s">
        <v>238</v>
      </c>
      <c r="T273" s="6" t="s">
        <v>238</v>
      </c>
      <c r="U273" s="6" t="s">
        <v>238</v>
      </c>
      <c r="V273" s="6" t="s">
        <v>238</v>
      </c>
      <c r="W273" s="6" t="s">
        <v>241</v>
      </c>
      <c r="X273" s="6" t="s">
        <v>238</v>
      </c>
      <c r="Y273" s="6" t="s">
        <v>238</v>
      </c>
      <c r="Z273" s="6" t="s">
        <v>238</v>
      </c>
    </row>
    <row r="274" spans="1:26" x14ac:dyDescent="0.3">
      <c r="A274" s="1" t="s">
        <v>401</v>
      </c>
      <c r="B274" s="6">
        <v>22</v>
      </c>
      <c r="C274" s="6" t="s">
        <v>238</v>
      </c>
      <c r="D274" s="6" t="s">
        <v>238</v>
      </c>
      <c r="E274" s="6" t="s">
        <v>238</v>
      </c>
      <c r="F274" s="6" t="s">
        <v>238</v>
      </c>
      <c r="G274" s="6" t="s">
        <v>238</v>
      </c>
      <c r="H274" s="6" t="s">
        <v>238</v>
      </c>
      <c r="I274" s="6" t="s">
        <v>238</v>
      </c>
      <c r="J274" s="6" t="s">
        <v>238</v>
      </c>
      <c r="K274" s="6" t="s">
        <v>238</v>
      </c>
      <c r="L274" s="6" t="s">
        <v>238</v>
      </c>
      <c r="M274" s="6" t="s">
        <v>238</v>
      </c>
      <c r="N274" s="6" t="s">
        <v>238</v>
      </c>
      <c r="O274" s="6" t="s">
        <v>238</v>
      </c>
      <c r="P274" s="6" t="s">
        <v>238</v>
      </c>
      <c r="Q274" s="6" t="s">
        <v>238</v>
      </c>
      <c r="R274" s="6" t="s">
        <v>238</v>
      </c>
      <c r="S274" s="6" t="s">
        <v>238</v>
      </c>
      <c r="T274" s="6" t="s">
        <v>238</v>
      </c>
      <c r="U274" s="6"/>
      <c r="V274" s="6" t="s">
        <v>238</v>
      </c>
      <c r="W274" s="6" t="s">
        <v>238</v>
      </c>
      <c r="X274" s="6" t="s">
        <v>238</v>
      </c>
      <c r="Y274" s="6" t="s">
        <v>238</v>
      </c>
      <c r="Z274" s="6" t="s">
        <v>238</v>
      </c>
    </row>
    <row r="275" spans="1:26" x14ac:dyDescent="0.3">
      <c r="A275" s="1" t="s">
        <v>402</v>
      </c>
      <c r="B275" s="6">
        <v>22</v>
      </c>
      <c r="C275" s="6" t="s">
        <v>238</v>
      </c>
      <c r="D275" s="6" t="s">
        <v>238</v>
      </c>
      <c r="E275" s="6" t="s">
        <v>238</v>
      </c>
      <c r="F275" s="6" t="s">
        <v>238</v>
      </c>
      <c r="G275" s="6" t="s">
        <v>238</v>
      </c>
      <c r="H275" s="6" t="s">
        <v>238</v>
      </c>
      <c r="I275" s="6" t="s">
        <v>238</v>
      </c>
      <c r="J275" s="6" t="s">
        <v>238</v>
      </c>
      <c r="K275" s="6" t="s">
        <v>238</v>
      </c>
      <c r="L275" s="6" t="s">
        <v>238</v>
      </c>
      <c r="M275" s="6" t="s">
        <v>238</v>
      </c>
      <c r="N275" s="6" t="s">
        <v>238</v>
      </c>
      <c r="O275" s="6" t="s">
        <v>238</v>
      </c>
      <c r="P275" s="6" t="s">
        <v>238</v>
      </c>
      <c r="Q275" s="6" t="s">
        <v>238</v>
      </c>
      <c r="R275" s="6" t="s">
        <v>238</v>
      </c>
      <c r="S275" s="6" t="s">
        <v>238</v>
      </c>
      <c r="T275" s="6" t="s">
        <v>238</v>
      </c>
      <c r="U275" s="6"/>
      <c r="V275" s="6" t="s">
        <v>238</v>
      </c>
      <c r="W275" s="6" t="s">
        <v>238</v>
      </c>
      <c r="X275" s="6"/>
      <c r="Y275" s="6" t="s">
        <v>238</v>
      </c>
      <c r="Z275" s="6" t="s">
        <v>238</v>
      </c>
    </row>
    <row r="276" spans="1:26" x14ac:dyDescent="0.3">
      <c r="A276" s="1" t="s">
        <v>403</v>
      </c>
      <c r="B276" s="6">
        <v>22</v>
      </c>
      <c r="C276" s="6" t="s">
        <v>238</v>
      </c>
      <c r="D276" s="6" t="s">
        <v>238</v>
      </c>
      <c r="E276" s="6" t="s">
        <v>238</v>
      </c>
      <c r="F276" s="6" t="s">
        <v>238</v>
      </c>
      <c r="G276" s="6" t="s">
        <v>238</v>
      </c>
      <c r="H276" s="6" t="s">
        <v>238</v>
      </c>
      <c r="I276" s="6" t="s">
        <v>238</v>
      </c>
      <c r="J276" s="6" t="s">
        <v>238</v>
      </c>
      <c r="K276" s="6" t="s">
        <v>238</v>
      </c>
      <c r="L276" s="6" t="s">
        <v>238</v>
      </c>
      <c r="M276" s="6" t="s">
        <v>238</v>
      </c>
      <c r="N276" s="6" t="s">
        <v>238</v>
      </c>
      <c r="O276" s="6" t="s">
        <v>238</v>
      </c>
      <c r="P276" s="6" t="s">
        <v>238</v>
      </c>
      <c r="Q276" s="6" t="s">
        <v>238</v>
      </c>
      <c r="R276" s="6" t="s">
        <v>238</v>
      </c>
      <c r="S276" s="6" t="s">
        <v>238</v>
      </c>
      <c r="T276" s="6" t="s">
        <v>238</v>
      </c>
      <c r="U276" s="6"/>
      <c r="V276" s="6" t="s">
        <v>238</v>
      </c>
      <c r="W276" s="6" t="s">
        <v>238</v>
      </c>
      <c r="X276" s="6" t="s">
        <v>238</v>
      </c>
      <c r="Y276" s="6" t="s">
        <v>238</v>
      </c>
      <c r="Z276" s="6" t="s">
        <v>238</v>
      </c>
    </row>
    <row r="277" spans="1:26" x14ac:dyDescent="0.3">
      <c r="A277" s="1" t="s">
        <v>404</v>
      </c>
      <c r="B277" s="6">
        <v>22</v>
      </c>
      <c r="C277" s="6" t="s">
        <v>238</v>
      </c>
      <c r="D277" s="6" t="s">
        <v>238</v>
      </c>
      <c r="E277" s="6" t="s">
        <v>238</v>
      </c>
      <c r="F277" s="6" t="s">
        <v>238</v>
      </c>
      <c r="G277" s="6" t="s">
        <v>238</v>
      </c>
      <c r="H277" s="6" t="s">
        <v>238</v>
      </c>
      <c r="I277" s="6" t="s">
        <v>238</v>
      </c>
      <c r="J277" s="6" t="s">
        <v>238</v>
      </c>
      <c r="K277" s="6" t="s">
        <v>238</v>
      </c>
      <c r="L277" s="6" t="s">
        <v>238</v>
      </c>
      <c r="M277" s="6" t="s">
        <v>238</v>
      </c>
      <c r="N277" s="6" t="s">
        <v>238</v>
      </c>
      <c r="O277" s="6" t="s">
        <v>238</v>
      </c>
      <c r="P277" s="6" t="s">
        <v>238</v>
      </c>
      <c r="Q277" s="6" t="s">
        <v>238</v>
      </c>
      <c r="R277" s="6" t="s">
        <v>238</v>
      </c>
      <c r="S277" s="6" t="s">
        <v>238</v>
      </c>
      <c r="T277" s="6" t="s">
        <v>238</v>
      </c>
      <c r="U277" s="6"/>
      <c r="V277" s="6" t="s">
        <v>238</v>
      </c>
      <c r="W277" s="6" t="s">
        <v>238</v>
      </c>
      <c r="X277" s="6" t="s">
        <v>241</v>
      </c>
      <c r="Y277" s="6" t="s">
        <v>238</v>
      </c>
      <c r="Z277" s="6" t="s">
        <v>238</v>
      </c>
    </row>
    <row r="278" spans="1:26" x14ac:dyDescent="0.3">
      <c r="A278" s="1" t="s">
        <v>405</v>
      </c>
      <c r="B278" s="6">
        <v>22</v>
      </c>
      <c r="C278" s="6" t="s">
        <v>238</v>
      </c>
      <c r="D278" s="6" t="s">
        <v>238</v>
      </c>
      <c r="E278" s="6" t="s">
        <v>238</v>
      </c>
      <c r="F278" s="6" t="s">
        <v>238</v>
      </c>
      <c r="G278" s="6" t="s">
        <v>238</v>
      </c>
      <c r="H278" s="6" t="s">
        <v>238</v>
      </c>
      <c r="I278" s="6" t="s">
        <v>238</v>
      </c>
      <c r="J278" s="6" t="s">
        <v>238</v>
      </c>
      <c r="K278" s="6" t="s">
        <v>238</v>
      </c>
      <c r="L278" s="6" t="s">
        <v>238</v>
      </c>
      <c r="M278" s="6" t="s">
        <v>238</v>
      </c>
      <c r="N278" s="6" t="s">
        <v>238</v>
      </c>
      <c r="O278" s="6" t="s">
        <v>238</v>
      </c>
      <c r="P278" s="6" t="s">
        <v>238</v>
      </c>
      <c r="Q278" s="6" t="s">
        <v>238</v>
      </c>
      <c r="R278" s="6" t="s">
        <v>238</v>
      </c>
      <c r="S278" s="6" t="s">
        <v>238</v>
      </c>
      <c r="T278" s="6" t="s">
        <v>238</v>
      </c>
      <c r="U278" s="6"/>
      <c r="V278" s="6" t="s">
        <v>238</v>
      </c>
      <c r="W278" s="6" t="s">
        <v>238</v>
      </c>
      <c r="X278" s="6" t="s">
        <v>238</v>
      </c>
      <c r="Y278" s="6" t="s">
        <v>238</v>
      </c>
      <c r="Z278" s="6" t="s">
        <v>238</v>
      </c>
    </row>
    <row r="279" spans="1:26" x14ac:dyDescent="0.3">
      <c r="A279" s="1" t="s">
        <v>406</v>
      </c>
      <c r="B279" s="6">
        <v>22</v>
      </c>
      <c r="C279" s="6" t="s">
        <v>238</v>
      </c>
      <c r="D279" s="6" t="s">
        <v>238</v>
      </c>
      <c r="E279" s="6" t="s">
        <v>238</v>
      </c>
      <c r="F279" s="6" t="s">
        <v>238</v>
      </c>
      <c r="G279" s="6" t="s">
        <v>238</v>
      </c>
      <c r="H279" s="6" t="s">
        <v>238</v>
      </c>
      <c r="I279" s="6" t="s">
        <v>238</v>
      </c>
      <c r="J279" s="6" t="s">
        <v>238</v>
      </c>
      <c r="K279" s="6" t="s">
        <v>238</v>
      </c>
      <c r="L279" s="6" t="s">
        <v>238</v>
      </c>
      <c r="M279" s="6" t="s">
        <v>238</v>
      </c>
      <c r="N279" s="6" t="s">
        <v>238</v>
      </c>
      <c r="O279" s="6" t="s">
        <v>238</v>
      </c>
      <c r="P279" s="6" t="s">
        <v>238</v>
      </c>
      <c r="Q279" s="6" t="s">
        <v>238</v>
      </c>
      <c r="R279" s="6" t="s">
        <v>238</v>
      </c>
      <c r="S279" s="6" t="s">
        <v>238</v>
      </c>
      <c r="T279" s="6" t="s">
        <v>238</v>
      </c>
      <c r="U279" s="6"/>
      <c r="V279" s="6" t="s">
        <v>238</v>
      </c>
      <c r="W279" s="6" t="s">
        <v>238</v>
      </c>
      <c r="X279" s="6" t="s">
        <v>238</v>
      </c>
      <c r="Y279" s="6" t="s">
        <v>238</v>
      </c>
      <c r="Z279" s="6" t="s">
        <v>238</v>
      </c>
    </row>
    <row r="280" spans="1:26" x14ac:dyDescent="0.3">
      <c r="A280" s="1" t="s">
        <v>407</v>
      </c>
      <c r="B280" s="6">
        <v>22</v>
      </c>
      <c r="C280" s="6" t="s">
        <v>238</v>
      </c>
      <c r="D280" s="6" t="s">
        <v>238</v>
      </c>
      <c r="E280" s="6" t="s">
        <v>238</v>
      </c>
      <c r="F280" s="6" t="s">
        <v>238</v>
      </c>
      <c r="G280" s="6" t="s">
        <v>238</v>
      </c>
      <c r="H280" s="6" t="s">
        <v>238</v>
      </c>
      <c r="I280" s="6" t="s">
        <v>238</v>
      </c>
      <c r="J280" s="6" t="s">
        <v>238</v>
      </c>
      <c r="K280" s="6" t="s">
        <v>238</v>
      </c>
      <c r="L280" s="6" t="s">
        <v>238</v>
      </c>
      <c r="M280" s="6" t="s">
        <v>238</v>
      </c>
      <c r="N280" s="6" t="s">
        <v>238</v>
      </c>
      <c r="O280" s="6" t="s">
        <v>238</v>
      </c>
      <c r="P280" s="6" t="s">
        <v>238</v>
      </c>
      <c r="Q280" s="6" t="s">
        <v>238</v>
      </c>
      <c r="R280" s="6" t="s">
        <v>238</v>
      </c>
      <c r="S280" s="6" t="s">
        <v>238</v>
      </c>
      <c r="T280" s="6" t="s">
        <v>238</v>
      </c>
      <c r="U280" s="6"/>
      <c r="V280" s="6" t="s">
        <v>238</v>
      </c>
      <c r="W280" s="6" t="s">
        <v>238</v>
      </c>
      <c r="X280" s="6" t="s">
        <v>238</v>
      </c>
      <c r="Y280" s="6" t="s">
        <v>238</v>
      </c>
      <c r="Z280" s="6" t="s">
        <v>238</v>
      </c>
    </row>
    <row r="281" spans="1:26" x14ac:dyDescent="0.3">
      <c r="A281" s="1" t="s">
        <v>408</v>
      </c>
      <c r="B281" s="6">
        <v>22</v>
      </c>
      <c r="C281" s="6" t="s">
        <v>238</v>
      </c>
      <c r="D281" s="6" t="s">
        <v>238</v>
      </c>
      <c r="E281" s="6" t="s">
        <v>238</v>
      </c>
      <c r="F281" s="6" t="s">
        <v>238</v>
      </c>
      <c r="G281" s="6" t="s">
        <v>238</v>
      </c>
      <c r="H281" s="6" t="s">
        <v>238</v>
      </c>
      <c r="I281" s="6" t="s">
        <v>238</v>
      </c>
      <c r="J281" s="6" t="s">
        <v>238</v>
      </c>
      <c r="K281" s="6" t="s">
        <v>238</v>
      </c>
      <c r="L281" s="6" t="s">
        <v>238</v>
      </c>
      <c r="M281" s="6" t="s">
        <v>238</v>
      </c>
      <c r="N281" s="6" t="s">
        <v>238</v>
      </c>
      <c r="O281" s="6" t="s">
        <v>238</v>
      </c>
      <c r="P281" s="6" t="s">
        <v>238</v>
      </c>
      <c r="Q281" s="6" t="s">
        <v>238</v>
      </c>
      <c r="R281" s="6" t="s">
        <v>238</v>
      </c>
      <c r="S281" s="6" t="s">
        <v>238</v>
      </c>
      <c r="T281" s="6" t="s">
        <v>238</v>
      </c>
      <c r="U281" s="6"/>
      <c r="V281" s="6" t="s">
        <v>238</v>
      </c>
      <c r="W281" s="6" t="s">
        <v>238</v>
      </c>
      <c r="X281" s="6" t="s">
        <v>241</v>
      </c>
      <c r="Y281" s="6" t="s">
        <v>238</v>
      </c>
      <c r="Z281" s="6" t="s">
        <v>238</v>
      </c>
    </row>
    <row r="282" spans="1:26" x14ac:dyDescent="0.3">
      <c r="A282" s="1" t="s">
        <v>409</v>
      </c>
      <c r="B282" s="6">
        <v>22</v>
      </c>
      <c r="C282" s="6" t="s">
        <v>238</v>
      </c>
      <c r="D282" s="6" t="s">
        <v>238</v>
      </c>
      <c r="E282" s="6" t="s">
        <v>238</v>
      </c>
      <c r="F282" s="6" t="s">
        <v>238</v>
      </c>
      <c r="G282" s="6" t="s">
        <v>238</v>
      </c>
      <c r="H282" s="6" t="s">
        <v>238</v>
      </c>
      <c r="I282" s="6" t="s">
        <v>238</v>
      </c>
      <c r="J282" s="6" t="s">
        <v>238</v>
      </c>
      <c r="K282" s="6" t="s">
        <v>238</v>
      </c>
      <c r="L282" s="6" t="s">
        <v>238</v>
      </c>
      <c r="M282" s="6" t="s">
        <v>238</v>
      </c>
      <c r="N282" s="6" t="s">
        <v>238</v>
      </c>
      <c r="O282" s="6" t="s">
        <v>238</v>
      </c>
      <c r="P282" s="6" t="s">
        <v>238</v>
      </c>
      <c r="Q282" s="6" t="s">
        <v>238</v>
      </c>
      <c r="R282" s="6" t="s">
        <v>238</v>
      </c>
      <c r="S282" s="6" t="s">
        <v>238</v>
      </c>
      <c r="T282" s="6" t="s">
        <v>238</v>
      </c>
      <c r="U282" s="6"/>
      <c r="V282" s="6" t="s">
        <v>238</v>
      </c>
      <c r="W282" s="6" t="s">
        <v>238</v>
      </c>
      <c r="X282" s="6" t="s">
        <v>238</v>
      </c>
      <c r="Y282" s="6" t="s">
        <v>238</v>
      </c>
      <c r="Z282" s="6" t="s">
        <v>238</v>
      </c>
    </row>
    <row r="283" spans="1:26" x14ac:dyDescent="0.3">
      <c r="A283" s="1" t="s">
        <v>410</v>
      </c>
      <c r="B283" s="6">
        <v>22</v>
      </c>
      <c r="C283" s="6" t="s">
        <v>238</v>
      </c>
      <c r="D283" s="6" t="s">
        <v>238</v>
      </c>
      <c r="E283" s="6" t="s">
        <v>238</v>
      </c>
      <c r="F283" s="6" t="s">
        <v>238</v>
      </c>
      <c r="G283" s="6" t="s">
        <v>238</v>
      </c>
      <c r="H283" s="6" t="s">
        <v>238</v>
      </c>
      <c r="I283" s="6" t="s">
        <v>238</v>
      </c>
      <c r="J283" s="6" t="s">
        <v>238</v>
      </c>
      <c r="K283" s="6" t="s">
        <v>238</v>
      </c>
      <c r="L283" s="6" t="s">
        <v>238</v>
      </c>
      <c r="M283" s="6" t="s">
        <v>238</v>
      </c>
      <c r="N283" s="6" t="s">
        <v>238</v>
      </c>
      <c r="O283" s="6" t="s">
        <v>238</v>
      </c>
      <c r="P283" s="6" t="s">
        <v>238</v>
      </c>
      <c r="Q283" s="6" t="s">
        <v>238</v>
      </c>
      <c r="R283" s="6" t="s">
        <v>238</v>
      </c>
      <c r="S283" s="6" t="s">
        <v>238</v>
      </c>
      <c r="T283" s="6" t="s">
        <v>238</v>
      </c>
      <c r="U283" s="6"/>
      <c r="V283" s="6" t="s">
        <v>238</v>
      </c>
      <c r="W283" s="6" t="s">
        <v>238</v>
      </c>
      <c r="X283" s="6" t="s">
        <v>241</v>
      </c>
      <c r="Y283" s="6" t="s">
        <v>238</v>
      </c>
      <c r="Z283" s="6" t="s">
        <v>238</v>
      </c>
    </row>
    <row r="284" spans="1:26" x14ac:dyDescent="0.3">
      <c r="A284" s="1" t="s">
        <v>411</v>
      </c>
      <c r="B284" s="6">
        <v>22</v>
      </c>
      <c r="C284" s="6" t="s">
        <v>238</v>
      </c>
      <c r="D284" s="6" t="s">
        <v>238</v>
      </c>
      <c r="E284" s="6" t="s">
        <v>238</v>
      </c>
      <c r="F284" s="6" t="s">
        <v>238</v>
      </c>
      <c r="G284" s="6" t="s">
        <v>238</v>
      </c>
      <c r="H284" s="6" t="s">
        <v>238</v>
      </c>
      <c r="I284" s="6" t="s">
        <v>238</v>
      </c>
      <c r="J284" s="6" t="s">
        <v>238</v>
      </c>
      <c r="K284" s="6" t="s">
        <v>238</v>
      </c>
      <c r="L284" s="6" t="s">
        <v>238</v>
      </c>
      <c r="M284" s="6" t="s">
        <v>238</v>
      </c>
      <c r="N284" s="6" t="s">
        <v>238</v>
      </c>
      <c r="O284" s="6" t="s">
        <v>238</v>
      </c>
      <c r="P284" s="6" t="s">
        <v>238</v>
      </c>
      <c r="Q284" s="6" t="s">
        <v>238</v>
      </c>
      <c r="R284" s="6" t="s">
        <v>238</v>
      </c>
      <c r="S284" s="6" t="s">
        <v>238</v>
      </c>
      <c r="T284" s="6" t="s">
        <v>238</v>
      </c>
      <c r="U284" s="6"/>
      <c r="V284" s="6" t="s">
        <v>238</v>
      </c>
      <c r="W284" s="6" t="s">
        <v>238</v>
      </c>
      <c r="X284" s="6" t="s">
        <v>238</v>
      </c>
      <c r="Y284" s="6" t="s">
        <v>238</v>
      </c>
      <c r="Z284" s="6" t="s">
        <v>238</v>
      </c>
    </row>
    <row r="285" spans="1:26" x14ac:dyDescent="0.3">
      <c r="A285" s="1" t="s">
        <v>412</v>
      </c>
      <c r="B285" s="6">
        <v>22</v>
      </c>
      <c r="C285" s="6" t="s">
        <v>238</v>
      </c>
      <c r="D285" s="6" t="s">
        <v>238</v>
      </c>
      <c r="E285" s="6" t="s">
        <v>238</v>
      </c>
      <c r="F285" s="6" t="s">
        <v>238</v>
      </c>
      <c r="G285" s="6" t="s">
        <v>238</v>
      </c>
      <c r="H285" s="6" t="s">
        <v>238</v>
      </c>
      <c r="I285" s="6" t="s">
        <v>238</v>
      </c>
      <c r="J285" s="6" t="s">
        <v>238</v>
      </c>
      <c r="K285" s="6" t="s">
        <v>238</v>
      </c>
      <c r="L285" s="6" t="s">
        <v>238</v>
      </c>
      <c r="M285" s="6" t="s">
        <v>238</v>
      </c>
      <c r="N285" s="6" t="s">
        <v>238</v>
      </c>
      <c r="O285" s="6" t="s">
        <v>238</v>
      </c>
      <c r="P285" s="6" t="s">
        <v>238</v>
      </c>
      <c r="Q285" s="6" t="s">
        <v>238</v>
      </c>
      <c r="R285" s="6" t="s">
        <v>238</v>
      </c>
      <c r="S285" s="6" t="s">
        <v>238</v>
      </c>
      <c r="T285" s="6" t="s">
        <v>238</v>
      </c>
      <c r="U285" s="6"/>
      <c r="V285" s="6" t="s">
        <v>238</v>
      </c>
      <c r="W285" s="6" t="s">
        <v>238</v>
      </c>
      <c r="X285" s="6" t="s">
        <v>241</v>
      </c>
      <c r="Y285" s="6" t="s">
        <v>238</v>
      </c>
      <c r="Z285" s="6" t="s">
        <v>238</v>
      </c>
    </row>
    <row r="286" spans="1:26" x14ac:dyDescent="0.3">
      <c r="A286" s="1" t="s">
        <v>413</v>
      </c>
      <c r="B286" s="6">
        <v>22</v>
      </c>
      <c r="C286" s="6" t="s">
        <v>238</v>
      </c>
      <c r="D286" s="6" t="s">
        <v>238</v>
      </c>
      <c r="E286" s="6" t="s">
        <v>238</v>
      </c>
      <c r="F286" s="6" t="s">
        <v>238</v>
      </c>
      <c r="G286" s="6" t="s">
        <v>238</v>
      </c>
      <c r="H286" s="6" t="s">
        <v>238</v>
      </c>
      <c r="I286" s="6" t="s">
        <v>238</v>
      </c>
      <c r="J286" s="6" t="s">
        <v>238</v>
      </c>
      <c r="K286" s="6" t="s">
        <v>238</v>
      </c>
      <c r="L286" s="6" t="s">
        <v>238</v>
      </c>
      <c r="M286" s="6" t="s">
        <v>238</v>
      </c>
      <c r="N286" s="6" t="s">
        <v>238</v>
      </c>
      <c r="O286" s="6" t="s">
        <v>238</v>
      </c>
      <c r="P286" s="6" t="s">
        <v>238</v>
      </c>
      <c r="Q286" s="6" t="s">
        <v>238</v>
      </c>
      <c r="R286" s="6" t="s">
        <v>238</v>
      </c>
      <c r="S286" s="6" t="s">
        <v>238</v>
      </c>
      <c r="T286" s="6" t="s">
        <v>238</v>
      </c>
      <c r="U286" s="6"/>
      <c r="V286" s="6" t="s">
        <v>238</v>
      </c>
      <c r="W286" s="6" t="s">
        <v>238</v>
      </c>
      <c r="X286" s="6" t="s">
        <v>238</v>
      </c>
      <c r="Y286" s="6" t="s">
        <v>238</v>
      </c>
      <c r="Z286" s="6" t="s">
        <v>238</v>
      </c>
    </row>
    <row r="287" spans="1:26" x14ac:dyDescent="0.3">
      <c r="A287" s="1" t="s">
        <v>414</v>
      </c>
      <c r="B287" s="6">
        <v>22</v>
      </c>
      <c r="C287" s="6" t="s">
        <v>238</v>
      </c>
      <c r="D287" s="6" t="s">
        <v>238</v>
      </c>
      <c r="E287" s="6" t="s">
        <v>238</v>
      </c>
      <c r="F287" s="6" t="s">
        <v>238</v>
      </c>
      <c r="G287" s="6" t="s">
        <v>238</v>
      </c>
      <c r="H287" s="6" t="s">
        <v>238</v>
      </c>
      <c r="I287" s="6" t="s">
        <v>238</v>
      </c>
      <c r="J287" s="6" t="s">
        <v>238</v>
      </c>
      <c r="K287" s="6" t="s">
        <v>238</v>
      </c>
      <c r="L287" s="6" t="s">
        <v>238</v>
      </c>
      <c r="M287" s="6" t="s">
        <v>238</v>
      </c>
      <c r="N287" s="6" t="s">
        <v>238</v>
      </c>
      <c r="O287" s="6" t="s">
        <v>238</v>
      </c>
      <c r="P287" s="6" t="s">
        <v>238</v>
      </c>
      <c r="Q287" s="6" t="s">
        <v>238</v>
      </c>
      <c r="R287" s="6" t="s">
        <v>238</v>
      </c>
      <c r="S287" s="6" t="s">
        <v>238</v>
      </c>
      <c r="T287" s="6" t="s">
        <v>238</v>
      </c>
      <c r="U287" s="6"/>
      <c r="V287" s="6" t="s">
        <v>238</v>
      </c>
      <c r="W287" s="6" t="s">
        <v>238</v>
      </c>
      <c r="X287" s="6" t="s">
        <v>241</v>
      </c>
      <c r="Y287" s="6" t="s">
        <v>238</v>
      </c>
      <c r="Z287" s="6" t="s">
        <v>238</v>
      </c>
    </row>
    <row r="288" spans="1:26" x14ac:dyDescent="0.3">
      <c r="A288" s="1" t="s">
        <v>415</v>
      </c>
      <c r="B288" s="6">
        <v>22</v>
      </c>
      <c r="C288" s="6" t="s">
        <v>238</v>
      </c>
      <c r="D288" s="6" t="s">
        <v>238</v>
      </c>
      <c r="E288" s="6" t="s">
        <v>238</v>
      </c>
      <c r="F288" s="6" t="s">
        <v>238</v>
      </c>
      <c r="G288" s="6" t="s">
        <v>238</v>
      </c>
      <c r="H288" s="6" t="s">
        <v>238</v>
      </c>
      <c r="I288" s="6" t="s">
        <v>238</v>
      </c>
      <c r="J288" s="6" t="s">
        <v>238</v>
      </c>
      <c r="K288" s="6" t="s">
        <v>238</v>
      </c>
      <c r="L288" s="6" t="s">
        <v>238</v>
      </c>
      <c r="M288" s="6" t="s">
        <v>238</v>
      </c>
      <c r="N288" s="6" t="s">
        <v>238</v>
      </c>
      <c r="O288" s="6" t="s">
        <v>238</v>
      </c>
      <c r="P288" s="6" t="s">
        <v>238</v>
      </c>
      <c r="Q288" s="6" t="s">
        <v>238</v>
      </c>
      <c r="R288" s="6" t="s">
        <v>238</v>
      </c>
      <c r="S288" s="6" t="s">
        <v>238</v>
      </c>
      <c r="T288" s="6" t="s">
        <v>238</v>
      </c>
      <c r="U288" s="6"/>
      <c r="V288" s="6" t="s">
        <v>238</v>
      </c>
      <c r="W288" s="6" t="s">
        <v>238</v>
      </c>
      <c r="X288" s="6" t="s">
        <v>238</v>
      </c>
      <c r="Y288" s="6" t="s">
        <v>238</v>
      </c>
      <c r="Z288" s="6" t="s">
        <v>238</v>
      </c>
    </row>
    <row r="289" spans="1:26" x14ac:dyDescent="0.3">
      <c r="A289" s="1" t="s">
        <v>416</v>
      </c>
      <c r="B289" s="6">
        <v>22</v>
      </c>
      <c r="C289" s="6" t="s">
        <v>238</v>
      </c>
      <c r="D289" s="6" t="s">
        <v>238</v>
      </c>
      <c r="E289" s="6" t="s">
        <v>238</v>
      </c>
      <c r="F289" s="6" t="s">
        <v>238</v>
      </c>
      <c r="G289" s="6" t="s">
        <v>238</v>
      </c>
      <c r="H289" s="6" t="s">
        <v>238</v>
      </c>
      <c r="I289" s="6" t="s">
        <v>238</v>
      </c>
      <c r="J289" s="6" t="s">
        <v>238</v>
      </c>
      <c r="K289" s="6" t="s">
        <v>238</v>
      </c>
      <c r="L289" s="6" t="s">
        <v>238</v>
      </c>
      <c r="M289" s="6" t="s">
        <v>238</v>
      </c>
      <c r="N289" s="6" t="s">
        <v>238</v>
      </c>
      <c r="O289" s="6" t="s">
        <v>238</v>
      </c>
      <c r="P289" s="6" t="s">
        <v>238</v>
      </c>
      <c r="Q289" s="6" t="s">
        <v>238</v>
      </c>
      <c r="R289" s="6" t="s">
        <v>238</v>
      </c>
      <c r="S289" s="6" t="s">
        <v>238</v>
      </c>
      <c r="T289" s="6" t="s">
        <v>238</v>
      </c>
      <c r="U289" s="6"/>
      <c r="V289" s="6" t="s">
        <v>238</v>
      </c>
      <c r="W289" s="6" t="s">
        <v>238</v>
      </c>
      <c r="X289" s="6" t="s">
        <v>238</v>
      </c>
      <c r="Y289" s="6" t="s">
        <v>238</v>
      </c>
      <c r="Z289" s="6" t="s">
        <v>238</v>
      </c>
    </row>
    <row r="290" spans="1:26" x14ac:dyDescent="0.3">
      <c r="A290" s="1" t="s">
        <v>417</v>
      </c>
      <c r="B290" s="6">
        <v>22</v>
      </c>
      <c r="C290" s="6" t="s">
        <v>238</v>
      </c>
      <c r="D290" s="6" t="s">
        <v>238</v>
      </c>
      <c r="E290" s="6" t="s">
        <v>238</v>
      </c>
      <c r="F290" s="6" t="s">
        <v>238</v>
      </c>
      <c r="G290" s="6" t="s">
        <v>238</v>
      </c>
      <c r="H290" s="6" t="s">
        <v>238</v>
      </c>
      <c r="I290" s="6" t="s">
        <v>238</v>
      </c>
      <c r="J290" s="6" t="s">
        <v>238</v>
      </c>
      <c r="K290" s="6" t="s">
        <v>238</v>
      </c>
      <c r="L290" s="6" t="s">
        <v>238</v>
      </c>
      <c r="M290" s="6" t="s">
        <v>238</v>
      </c>
      <c r="N290" s="6" t="s">
        <v>238</v>
      </c>
      <c r="O290" s="6" t="s">
        <v>238</v>
      </c>
      <c r="P290" s="6" t="s">
        <v>238</v>
      </c>
      <c r="Q290" s="6" t="s">
        <v>238</v>
      </c>
      <c r="R290" s="6" t="s">
        <v>238</v>
      </c>
      <c r="S290" s="6" t="s">
        <v>238</v>
      </c>
      <c r="T290" s="6" t="s">
        <v>238</v>
      </c>
      <c r="U290" s="6"/>
      <c r="V290" s="6" t="s">
        <v>238</v>
      </c>
      <c r="W290" s="6" t="s">
        <v>238</v>
      </c>
      <c r="X290" s="6" t="s">
        <v>238</v>
      </c>
      <c r="Y290" s="6" t="s">
        <v>238</v>
      </c>
      <c r="Z290" s="6" t="s">
        <v>238</v>
      </c>
    </row>
    <row r="291" spans="1:26" x14ac:dyDescent="0.3">
      <c r="A291" s="1" t="s">
        <v>418</v>
      </c>
      <c r="B291" s="6">
        <v>22</v>
      </c>
      <c r="C291" s="6" t="s">
        <v>238</v>
      </c>
      <c r="D291" s="6" t="s">
        <v>238</v>
      </c>
      <c r="E291" s="6" t="s">
        <v>238</v>
      </c>
      <c r="F291" s="6" t="s">
        <v>238</v>
      </c>
      <c r="G291" s="6" t="s">
        <v>238</v>
      </c>
      <c r="H291" s="6" t="s">
        <v>238</v>
      </c>
      <c r="I291" s="6" t="s">
        <v>238</v>
      </c>
      <c r="J291" s="6" t="s">
        <v>238</v>
      </c>
      <c r="K291" s="6" t="s">
        <v>238</v>
      </c>
      <c r="L291" s="6" t="s">
        <v>238</v>
      </c>
      <c r="M291" s="6" t="s">
        <v>238</v>
      </c>
      <c r="N291" s="6" t="s">
        <v>238</v>
      </c>
      <c r="O291" s="6" t="s">
        <v>238</v>
      </c>
      <c r="P291" s="6" t="s">
        <v>238</v>
      </c>
      <c r="Q291" s="6" t="s">
        <v>238</v>
      </c>
      <c r="R291" s="6" t="s">
        <v>238</v>
      </c>
      <c r="S291" s="6" t="s">
        <v>238</v>
      </c>
      <c r="T291" s="6" t="s">
        <v>238</v>
      </c>
      <c r="U291" s="6"/>
      <c r="V291" s="6" t="s">
        <v>238</v>
      </c>
      <c r="W291" s="6" t="s">
        <v>238</v>
      </c>
      <c r="X291" s="6" t="s">
        <v>238</v>
      </c>
      <c r="Y291" s="6" t="s">
        <v>238</v>
      </c>
      <c r="Z291" s="6" t="s">
        <v>238</v>
      </c>
    </row>
    <row r="292" spans="1:26" x14ac:dyDescent="0.3">
      <c r="A292" s="1" t="s">
        <v>419</v>
      </c>
      <c r="B292" s="6">
        <v>22</v>
      </c>
      <c r="C292" s="6" t="s">
        <v>238</v>
      </c>
      <c r="D292" s="6" t="s">
        <v>238</v>
      </c>
      <c r="E292" s="6" t="s">
        <v>238</v>
      </c>
      <c r="F292" s="6" t="s">
        <v>238</v>
      </c>
      <c r="G292" s="6" t="s">
        <v>238</v>
      </c>
      <c r="H292" s="6" t="s">
        <v>238</v>
      </c>
      <c r="I292" s="6" t="s">
        <v>238</v>
      </c>
      <c r="J292" s="6" t="s">
        <v>238</v>
      </c>
      <c r="K292" s="6" t="s">
        <v>238</v>
      </c>
      <c r="L292" s="6" t="s">
        <v>238</v>
      </c>
      <c r="M292" s="6" t="s">
        <v>238</v>
      </c>
      <c r="N292" s="6" t="s">
        <v>238</v>
      </c>
      <c r="O292" s="6" t="s">
        <v>238</v>
      </c>
      <c r="P292" s="6" t="s">
        <v>238</v>
      </c>
      <c r="Q292" s="6" t="s">
        <v>238</v>
      </c>
      <c r="R292" s="6" t="s">
        <v>238</v>
      </c>
      <c r="S292" s="6" t="s">
        <v>238</v>
      </c>
      <c r="T292" s="6" t="s">
        <v>238</v>
      </c>
      <c r="U292" s="6"/>
      <c r="V292" s="6" t="s">
        <v>238</v>
      </c>
      <c r="W292" s="6" t="s">
        <v>238</v>
      </c>
      <c r="X292" s="6" t="s">
        <v>238</v>
      </c>
      <c r="Y292" s="6" t="s">
        <v>238</v>
      </c>
      <c r="Z292" s="6" t="s">
        <v>238</v>
      </c>
    </row>
    <row r="293" spans="1:26" x14ac:dyDescent="0.3">
      <c r="A293" s="1" t="s">
        <v>420</v>
      </c>
      <c r="B293" s="6">
        <v>22</v>
      </c>
      <c r="C293" s="6" t="s">
        <v>238</v>
      </c>
      <c r="D293" s="6" t="s">
        <v>238</v>
      </c>
      <c r="E293" s="6" t="s">
        <v>238</v>
      </c>
      <c r="F293" s="6" t="s">
        <v>238</v>
      </c>
      <c r="G293" s="6" t="s">
        <v>238</v>
      </c>
      <c r="H293" s="6" t="s">
        <v>238</v>
      </c>
      <c r="I293" s="6" t="s">
        <v>238</v>
      </c>
      <c r="J293" s="6" t="s">
        <v>238</v>
      </c>
      <c r="K293" s="6" t="s">
        <v>238</v>
      </c>
      <c r="L293" s="6" t="s">
        <v>238</v>
      </c>
      <c r="M293" s="6" t="s">
        <v>238</v>
      </c>
      <c r="N293" s="6" t="s">
        <v>238</v>
      </c>
      <c r="O293" s="6" t="s">
        <v>238</v>
      </c>
      <c r="P293" s="6" t="s">
        <v>238</v>
      </c>
      <c r="Q293" s="6" t="s">
        <v>238</v>
      </c>
      <c r="R293" s="6" t="s">
        <v>238</v>
      </c>
      <c r="S293" s="6" t="s">
        <v>238</v>
      </c>
      <c r="T293" s="6" t="s">
        <v>238</v>
      </c>
      <c r="U293" s="6"/>
      <c r="V293" s="6" t="s">
        <v>238</v>
      </c>
      <c r="W293" s="6" t="s">
        <v>238</v>
      </c>
      <c r="X293" s="6" t="s">
        <v>238</v>
      </c>
      <c r="Y293" s="6" t="s">
        <v>238</v>
      </c>
      <c r="Z293" s="6" t="s">
        <v>238</v>
      </c>
    </row>
    <row r="294" spans="1:26" x14ac:dyDescent="0.3">
      <c r="A294" s="1" t="s">
        <v>421</v>
      </c>
      <c r="B294" s="6">
        <v>22</v>
      </c>
      <c r="C294" s="6" t="s">
        <v>238</v>
      </c>
      <c r="D294" s="6" t="s">
        <v>238</v>
      </c>
      <c r="E294" s="6" t="s">
        <v>238</v>
      </c>
      <c r="F294" s="6" t="s">
        <v>238</v>
      </c>
      <c r="G294" s="6" t="s">
        <v>238</v>
      </c>
      <c r="H294" s="6" t="s">
        <v>238</v>
      </c>
      <c r="I294" s="6" t="s">
        <v>238</v>
      </c>
      <c r="J294" s="6" t="s">
        <v>238</v>
      </c>
      <c r="K294" s="6" t="s">
        <v>238</v>
      </c>
      <c r="L294" s="6" t="s">
        <v>238</v>
      </c>
      <c r="M294" s="6" t="s">
        <v>238</v>
      </c>
      <c r="N294" s="6" t="s">
        <v>238</v>
      </c>
      <c r="O294" s="6" t="s">
        <v>238</v>
      </c>
      <c r="P294" s="6" t="s">
        <v>238</v>
      </c>
      <c r="Q294" s="6" t="s">
        <v>238</v>
      </c>
      <c r="R294" s="6" t="s">
        <v>238</v>
      </c>
      <c r="S294" s="6" t="s">
        <v>238</v>
      </c>
      <c r="T294" s="6" t="s">
        <v>238</v>
      </c>
      <c r="U294" s="6"/>
      <c r="V294" s="6" t="s">
        <v>238</v>
      </c>
      <c r="W294" s="6" t="s">
        <v>238</v>
      </c>
      <c r="X294" s="6" t="s">
        <v>238</v>
      </c>
      <c r="Y294" s="6" t="s">
        <v>238</v>
      </c>
      <c r="Z294" s="6" t="s">
        <v>238</v>
      </c>
    </row>
    <row r="295" spans="1:26" x14ac:dyDescent="0.3">
      <c r="A295" s="1" t="s">
        <v>422</v>
      </c>
      <c r="B295" s="6">
        <v>22</v>
      </c>
      <c r="C295" s="6" t="s">
        <v>238</v>
      </c>
      <c r="D295" s="6" t="s">
        <v>238</v>
      </c>
      <c r="E295" s="6" t="s">
        <v>238</v>
      </c>
      <c r="F295" s="6" t="s">
        <v>238</v>
      </c>
      <c r="G295" s="6" t="s">
        <v>238</v>
      </c>
      <c r="H295" s="6" t="s">
        <v>238</v>
      </c>
      <c r="I295" s="6" t="s">
        <v>238</v>
      </c>
      <c r="J295" s="6" t="s">
        <v>238</v>
      </c>
      <c r="K295" s="6" t="s">
        <v>238</v>
      </c>
      <c r="L295" s="6" t="s">
        <v>238</v>
      </c>
      <c r="M295" s="6" t="s">
        <v>238</v>
      </c>
      <c r="N295" s="6" t="s">
        <v>238</v>
      </c>
      <c r="O295" s="6" t="s">
        <v>238</v>
      </c>
      <c r="P295" s="6" t="s">
        <v>238</v>
      </c>
      <c r="Q295" s="6" t="s">
        <v>238</v>
      </c>
      <c r="R295" s="6" t="s">
        <v>238</v>
      </c>
      <c r="S295" s="6" t="s">
        <v>238</v>
      </c>
      <c r="T295" s="6" t="s">
        <v>238</v>
      </c>
      <c r="U295" s="6"/>
      <c r="V295" s="6" t="s">
        <v>238</v>
      </c>
      <c r="W295" s="6" t="s">
        <v>238</v>
      </c>
      <c r="X295" s="6" t="s">
        <v>238</v>
      </c>
      <c r="Y295" s="6" t="s">
        <v>238</v>
      </c>
      <c r="Z295" s="6" t="s">
        <v>238</v>
      </c>
    </row>
    <row r="296" spans="1:26" x14ac:dyDescent="0.3">
      <c r="A296" s="1" t="s">
        <v>423</v>
      </c>
      <c r="B296" s="6">
        <v>23</v>
      </c>
      <c r="C296" s="6"/>
      <c r="D296" s="6"/>
      <c r="E296" s="6"/>
      <c r="F296" s="6"/>
      <c r="G296" s="6"/>
      <c r="H296" s="6"/>
      <c r="I296" s="6"/>
      <c r="J296" s="6"/>
      <c r="K296" s="6"/>
      <c r="L296" s="6"/>
      <c r="M296" s="6"/>
      <c r="N296" s="6"/>
      <c r="O296" s="6"/>
      <c r="P296" s="6"/>
      <c r="Q296" s="6"/>
      <c r="R296" s="6"/>
      <c r="S296" s="6"/>
      <c r="T296" s="6"/>
      <c r="U296" s="6"/>
      <c r="V296" s="6"/>
      <c r="W296" s="6"/>
      <c r="X296" s="6" t="s">
        <v>238</v>
      </c>
      <c r="Y296" s="6" t="s">
        <v>238</v>
      </c>
      <c r="Z296" s="6" t="s">
        <v>238</v>
      </c>
    </row>
    <row r="297" spans="1:26" x14ac:dyDescent="0.3">
      <c r="A297" s="1" t="s">
        <v>424</v>
      </c>
      <c r="B297" s="6">
        <v>23</v>
      </c>
      <c r="C297" s="6"/>
      <c r="D297" s="6"/>
      <c r="E297" s="6"/>
      <c r="F297" s="6"/>
      <c r="G297" s="6"/>
      <c r="H297" s="6"/>
      <c r="I297" s="6"/>
      <c r="J297" s="6"/>
      <c r="K297" s="6"/>
      <c r="L297" s="6"/>
      <c r="M297" s="6"/>
      <c r="N297" s="6"/>
      <c r="O297" s="6"/>
      <c r="P297" s="6"/>
      <c r="Q297" s="6"/>
      <c r="R297" s="6"/>
      <c r="S297" s="6"/>
      <c r="T297" s="6"/>
      <c r="U297" s="6"/>
      <c r="V297" s="6"/>
      <c r="W297" s="6"/>
      <c r="X297" s="6" t="s">
        <v>238</v>
      </c>
      <c r="Y297" s="6" t="s">
        <v>238</v>
      </c>
      <c r="Z297" s="6" t="s">
        <v>238</v>
      </c>
    </row>
    <row r="298" spans="1:26" x14ac:dyDescent="0.3">
      <c r="A298" s="1" t="s">
        <v>425</v>
      </c>
      <c r="B298" s="6">
        <v>23</v>
      </c>
      <c r="C298" s="6"/>
      <c r="D298" s="6"/>
      <c r="E298" s="6"/>
      <c r="F298" s="6"/>
      <c r="G298" s="6"/>
      <c r="H298" s="6"/>
      <c r="I298" s="6"/>
      <c r="J298" s="6"/>
      <c r="K298" s="6"/>
      <c r="L298" s="6"/>
      <c r="M298" s="6"/>
      <c r="N298" s="6"/>
      <c r="O298" s="6"/>
      <c r="P298" s="6"/>
      <c r="Q298" s="6"/>
      <c r="R298" s="6"/>
      <c r="S298" s="6"/>
      <c r="T298" s="6"/>
      <c r="U298" s="6"/>
      <c r="V298" s="6"/>
      <c r="W298" s="6"/>
      <c r="X298" s="6" t="s">
        <v>238</v>
      </c>
      <c r="Y298" s="6" t="s">
        <v>238</v>
      </c>
      <c r="Z298" s="6" t="s">
        <v>238</v>
      </c>
    </row>
    <row r="299" spans="1:26" x14ac:dyDescent="0.3">
      <c r="A299" s="1" t="s">
        <v>426</v>
      </c>
      <c r="B299" s="6">
        <v>23</v>
      </c>
      <c r="C299" s="6"/>
      <c r="D299" s="6"/>
      <c r="E299" s="6"/>
      <c r="F299" s="6"/>
      <c r="G299" s="6"/>
      <c r="H299" s="6"/>
      <c r="I299" s="6"/>
      <c r="J299" s="6"/>
      <c r="K299" s="6"/>
      <c r="L299" s="6"/>
      <c r="M299" s="6"/>
      <c r="N299" s="6"/>
      <c r="O299" s="6"/>
      <c r="P299" s="6"/>
      <c r="Q299" s="6"/>
      <c r="R299" s="6"/>
      <c r="S299" s="6"/>
      <c r="T299" s="6"/>
      <c r="U299" s="6"/>
      <c r="V299" s="6"/>
      <c r="W299" s="6"/>
      <c r="X299" s="6" t="s">
        <v>238</v>
      </c>
      <c r="Y299" s="6" t="s">
        <v>238</v>
      </c>
      <c r="Z299" s="6" t="s">
        <v>238</v>
      </c>
    </row>
    <row r="300" spans="1:26" x14ac:dyDescent="0.3">
      <c r="A300" s="1" t="s">
        <v>427</v>
      </c>
      <c r="B300" s="6">
        <v>23</v>
      </c>
      <c r="C300" s="6"/>
      <c r="D300" s="6"/>
      <c r="E300" s="6"/>
      <c r="F300" s="6"/>
      <c r="G300" s="6"/>
      <c r="H300" s="6"/>
      <c r="I300" s="6"/>
      <c r="J300" s="6"/>
      <c r="K300" s="6"/>
      <c r="L300" s="6"/>
      <c r="M300" s="6"/>
      <c r="N300" s="6"/>
      <c r="O300" s="6"/>
      <c r="P300" s="6"/>
      <c r="Q300" s="6"/>
      <c r="R300" s="6"/>
      <c r="S300" s="6"/>
      <c r="T300" s="6"/>
      <c r="U300" s="6"/>
      <c r="V300" s="6"/>
      <c r="W300" s="6"/>
      <c r="X300" s="6" t="s">
        <v>238</v>
      </c>
      <c r="Y300" s="6" t="s">
        <v>238</v>
      </c>
      <c r="Z300" s="6" t="s">
        <v>238</v>
      </c>
    </row>
    <row r="301" spans="1:26" x14ac:dyDescent="0.3">
      <c r="A301" s="1" t="s">
        <v>428</v>
      </c>
      <c r="B301" s="6">
        <v>23</v>
      </c>
      <c r="C301" s="6"/>
      <c r="D301" s="6"/>
      <c r="E301" s="6"/>
      <c r="F301" s="6"/>
      <c r="G301" s="6"/>
      <c r="H301" s="6"/>
      <c r="I301" s="6"/>
      <c r="J301" s="6"/>
      <c r="K301" s="6"/>
      <c r="L301" s="6"/>
      <c r="M301" s="6"/>
      <c r="N301" s="6"/>
      <c r="O301" s="6"/>
      <c r="P301" s="6"/>
      <c r="Q301" s="6"/>
      <c r="R301" s="6"/>
      <c r="S301" s="6"/>
      <c r="T301" s="6"/>
      <c r="U301" s="6"/>
      <c r="V301" s="6"/>
      <c r="W301" s="6"/>
      <c r="X301" s="6" t="s">
        <v>238</v>
      </c>
      <c r="Y301" s="6" t="s">
        <v>238</v>
      </c>
      <c r="Z301" s="6" t="s">
        <v>238</v>
      </c>
    </row>
    <row r="302" spans="1:26" x14ac:dyDescent="0.3">
      <c r="A302" s="1" t="s">
        <v>429</v>
      </c>
      <c r="B302" s="6">
        <v>23</v>
      </c>
      <c r="C302" s="6"/>
      <c r="D302" s="6"/>
      <c r="E302" s="6"/>
      <c r="F302" s="6"/>
      <c r="G302" s="6"/>
      <c r="H302" s="6"/>
      <c r="I302" s="6"/>
      <c r="J302" s="6"/>
      <c r="K302" s="6"/>
      <c r="L302" s="6"/>
      <c r="M302" s="6"/>
      <c r="N302" s="6"/>
      <c r="O302" s="6"/>
      <c r="P302" s="6"/>
      <c r="Q302" s="6"/>
      <c r="R302" s="6"/>
      <c r="S302" s="6"/>
      <c r="T302" s="6"/>
      <c r="U302" s="6"/>
      <c r="V302" s="6"/>
      <c r="W302" s="6"/>
      <c r="X302" s="6" t="s">
        <v>238</v>
      </c>
      <c r="Y302" s="6" t="s">
        <v>238</v>
      </c>
      <c r="Z302" s="6" t="s">
        <v>238</v>
      </c>
    </row>
    <row r="303" spans="1:26" x14ac:dyDescent="0.3">
      <c r="A303" s="1" t="s">
        <v>430</v>
      </c>
      <c r="B303" s="6">
        <v>23</v>
      </c>
      <c r="C303" s="6"/>
      <c r="D303" s="6"/>
      <c r="E303" s="6"/>
      <c r="F303" s="6"/>
      <c r="G303" s="6"/>
      <c r="H303" s="6"/>
      <c r="I303" s="6"/>
      <c r="J303" s="6"/>
      <c r="K303" s="6"/>
      <c r="L303" s="6"/>
      <c r="M303" s="6"/>
      <c r="N303" s="6"/>
      <c r="O303" s="6"/>
      <c r="P303" s="6"/>
      <c r="Q303" s="6"/>
      <c r="R303" s="6"/>
      <c r="S303" s="6"/>
      <c r="T303" s="6"/>
      <c r="U303" s="6"/>
      <c r="V303" s="6"/>
      <c r="W303" s="6"/>
      <c r="X303" s="6" t="s">
        <v>238</v>
      </c>
      <c r="Y303" s="6" t="s">
        <v>238</v>
      </c>
      <c r="Z303" s="6" t="s">
        <v>238</v>
      </c>
    </row>
    <row r="304" spans="1:26" x14ac:dyDescent="0.3">
      <c r="A304" s="1" t="s">
        <v>431</v>
      </c>
      <c r="B304" s="6">
        <v>23</v>
      </c>
      <c r="C304" s="6"/>
      <c r="D304" s="6"/>
      <c r="E304" s="6"/>
      <c r="F304" s="6"/>
      <c r="G304" s="6"/>
      <c r="H304" s="6"/>
      <c r="I304" s="6"/>
      <c r="J304" s="6"/>
      <c r="K304" s="6"/>
      <c r="L304" s="6"/>
      <c r="M304" s="6"/>
      <c r="N304" s="6"/>
      <c r="O304" s="6"/>
      <c r="P304" s="6"/>
      <c r="Q304" s="6"/>
      <c r="R304" s="6"/>
      <c r="S304" s="6"/>
      <c r="T304" s="6"/>
      <c r="U304" s="6"/>
      <c r="V304" s="6"/>
      <c r="W304" s="6"/>
      <c r="X304" s="6" t="s">
        <v>238</v>
      </c>
      <c r="Y304" s="6" t="s">
        <v>238</v>
      </c>
      <c r="Z304" s="6" t="s">
        <v>238</v>
      </c>
    </row>
    <row r="305" spans="1:26" x14ac:dyDescent="0.3">
      <c r="A305" s="1" t="s">
        <v>432</v>
      </c>
      <c r="B305" s="6">
        <v>23</v>
      </c>
      <c r="C305" s="6"/>
      <c r="D305" s="6"/>
      <c r="E305" s="6"/>
      <c r="F305" s="6"/>
      <c r="G305" s="6"/>
      <c r="H305" s="6"/>
      <c r="I305" s="6"/>
      <c r="J305" s="6"/>
      <c r="K305" s="6"/>
      <c r="L305" s="6"/>
      <c r="M305" s="6"/>
      <c r="N305" s="6"/>
      <c r="O305" s="6"/>
      <c r="P305" s="6"/>
      <c r="Q305" s="6"/>
      <c r="R305" s="6"/>
      <c r="S305" s="6"/>
      <c r="T305" s="6"/>
      <c r="U305" s="6"/>
      <c r="V305" s="6"/>
      <c r="W305" s="6"/>
      <c r="X305" s="6" t="s">
        <v>238</v>
      </c>
      <c r="Y305" s="6" t="s">
        <v>238</v>
      </c>
      <c r="Z305" s="6" t="s">
        <v>238</v>
      </c>
    </row>
    <row r="306" spans="1:26" x14ac:dyDescent="0.3">
      <c r="A306" s="1" t="s">
        <v>433</v>
      </c>
      <c r="B306" s="6">
        <v>23</v>
      </c>
      <c r="C306" s="6"/>
      <c r="D306" s="6"/>
      <c r="E306" s="6"/>
      <c r="F306" s="6"/>
      <c r="G306" s="6"/>
      <c r="H306" s="6"/>
      <c r="I306" s="6"/>
      <c r="J306" s="6"/>
      <c r="K306" s="6"/>
      <c r="L306" s="6"/>
      <c r="M306" s="6"/>
      <c r="N306" s="6"/>
      <c r="O306" s="6"/>
      <c r="P306" s="6"/>
      <c r="Q306" s="6"/>
      <c r="R306" s="6"/>
      <c r="S306" s="6"/>
      <c r="T306" s="6"/>
      <c r="U306" s="6"/>
      <c r="V306" s="6"/>
      <c r="W306" s="6"/>
      <c r="X306" s="6" t="s">
        <v>238</v>
      </c>
      <c r="Y306" s="6" t="s">
        <v>238</v>
      </c>
      <c r="Z306" s="6" t="s">
        <v>238</v>
      </c>
    </row>
    <row r="307" spans="1:26" x14ac:dyDescent="0.3">
      <c r="A307" s="1" t="s">
        <v>434</v>
      </c>
      <c r="B307" s="6">
        <v>23</v>
      </c>
      <c r="C307" s="6"/>
      <c r="D307" s="6"/>
      <c r="E307" s="6"/>
      <c r="F307" s="6"/>
      <c r="G307" s="6"/>
      <c r="H307" s="6"/>
      <c r="I307" s="6"/>
      <c r="J307" s="6"/>
      <c r="K307" s="6"/>
      <c r="L307" s="6"/>
      <c r="M307" s="6"/>
      <c r="N307" s="6"/>
      <c r="O307" s="6"/>
      <c r="P307" s="6"/>
      <c r="Q307" s="6"/>
      <c r="R307" s="6"/>
      <c r="S307" s="6"/>
      <c r="T307" s="6"/>
      <c r="U307" s="6"/>
      <c r="V307" s="6"/>
      <c r="W307" s="6"/>
      <c r="X307" s="6" t="s">
        <v>238</v>
      </c>
      <c r="Y307" s="6" t="s">
        <v>238</v>
      </c>
      <c r="Z307" s="6" t="s">
        <v>238</v>
      </c>
    </row>
    <row r="308" spans="1:26" x14ac:dyDescent="0.3">
      <c r="A308" s="1" t="s">
        <v>435</v>
      </c>
      <c r="B308" s="6">
        <v>23</v>
      </c>
      <c r="C308" s="6"/>
      <c r="D308" s="6"/>
      <c r="E308" s="6"/>
      <c r="F308" s="6"/>
      <c r="G308" s="6"/>
      <c r="H308" s="6"/>
      <c r="I308" s="6"/>
      <c r="J308" s="6"/>
      <c r="K308" s="6"/>
      <c r="L308" s="6"/>
      <c r="M308" s="6"/>
      <c r="N308" s="6"/>
      <c r="O308" s="6"/>
      <c r="P308" s="6"/>
      <c r="Q308" s="6"/>
      <c r="R308" s="6"/>
      <c r="S308" s="6"/>
      <c r="T308" s="6"/>
      <c r="U308" s="6"/>
      <c r="V308" s="6"/>
      <c r="W308" s="6"/>
      <c r="X308" s="6" t="s">
        <v>238</v>
      </c>
      <c r="Y308" s="6" t="s">
        <v>238</v>
      </c>
      <c r="Z308" s="6" t="s">
        <v>238</v>
      </c>
    </row>
    <row r="309" spans="1:26" x14ac:dyDescent="0.3">
      <c r="A309" s="1" t="s">
        <v>436</v>
      </c>
      <c r="B309" s="6">
        <v>23</v>
      </c>
      <c r="C309" s="6"/>
      <c r="D309" s="6"/>
      <c r="E309" s="6"/>
      <c r="F309" s="6"/>
      <c r="G309" s="6"/>
      <c r="H309" s="6"/>
      <c r="I309" s="6"/>
      <c r="J309" s="6"/>
      <c r="K309" s="6"/>
      <c r="L309" s="6"/>
      <c r="M309" s="6"/>
      <c r="N309" s="6"/>
      <c r="O309" s="6"/>
      <c r="P309" s="6"/>
      <c r="Q309" s="6"/>
      <c r="R309" s="6"/>
      <c r="S309" s="6"/>
      <c r="T309" s="6"/>
      <c r="U309" s="6"/>
      <c r="V309" s="6"/>
      <c r="W309" s="6"/>
      <c r="X309" s="6" t="s">
        <v>238</v>
      </c>
      <c r="Y309" s="6" t="s">
        <v>238</v>
      </c>
      <c r="Z309" s="6" t="s">
        <v>238</v>
      </c>
    </row>
    <row r="310" spans="1:26" x14ac:dyDescent="0.3">
      <c r="A310" s="1" t="s">
        <v>437</v>
      </c>
      <c r="B310" s="6">
        <v>23</v>
      </c>
      <c r="C310" s="6"/>
      <c r="D310" s="6"/>
      <c r="E310" s="6"/>
      <c r="F310" s="6"/>
      <c r="G310" s="6"/>
      <c r="H310" s="6"/>
      <c r="I310" s="6"/>
      <c r="J310" s="6"/>
      <c r="K310" s="6"/>
      <c r="L310" s="6"/>
      <c r="M310" s="6"/>
      <c r="N310" s="6"/>
      <c r="O310" s="6"/>
      <c r="P310" s="6"/>
      <c r="Q310" s="6"/>
      <c r="R310" s="6"/>
      <c r="S310" s="6"/>
      <c r="T310" s="6"/>
      <c r="U310" s="6"/>
      <c r="V310" s="6"/>
      <c r="W310" s="6"/>
      <c r="X310" s="6" t="s">
        <v>238</v>
      </c>
      <c r="Y310" s="6" t="s">
        <v>238</v>
      </c>
      <c r="Z310" s="6" t="s">
        <v>238</v>
      </c>
    </row>
    <row r="311" spans="1:26" x14ac:dyDescent="0.3">
      <c r="A311" s="1" t="s">
        <v>438</v>
      </c>
      <c r="B311" s="6">
        <v>23</v>
      </c>
      <c r="C311" s="6"/>
      <c r="D311" s="6"/>
      <c r="E311" s="6"/>
      <c r="F311" s="6"/>
      <c r="G311" s="6"/>
      <c r="H311" s="6"/>
      <c r="I311" s="6"/>
      <c r="J311" s="6"/>
      <c r="K311" s="6"/>
      <c r="L311" s="6"/>
      <c r="M311" s="6"/>
      <c r="N311" s="6"/>
      <c r="O311" s="6"/>
      <c r="P311" s="6"/>
      <c r="Q311" s="6"/>
      <c r="R311" s="6"/>
      <c r="S311" s="6"/>
      <c r="T311" s="6"/>
      <c r="U311" s="6"/>
      <c r="V311" s="6"/>
      <c r="W311" s="6"/>
      <c r="X311" s="6" t="s">
        <v>238</v>
      </c>
      <c r="Y311" s="6" t="s">
        <v>238</v>
      </c>
      <c r="Z311" s="6" t="s">
        <v>238</v>
      </c>
    </row>
    <row r="312" spans="1:26" x14ac:dyDescent="0.3">
      <c r="A312" s="1" t="s">
        <v>439</v>
      </c>
      <c r="B312" s="6">
        <v>23</v>
      </c>
      <c r="C312" s="6"/>
      <c r="D312" s="6"/>
      <c r="E312" s="6"/>
      <c r="F312" s="6"/>
      <c r="G312" s="6"/>
      <c r="H312" s="6"/>
      <c r="I312" s="6"/>
      <c r="J312" s="6"/>
      <c r="K312" s="6"/>
      <c r="L312" s="6"/>
      <c r="M312" s="6"/>
      <c r="N312" s="6"/>
      <c r="O312" s="6"/>
      <c r="P312" s="6"/>
      <c r="Q312" s="6"/>
      <c r="R312" s="6"/>
      <c r="S312" s="6"/>
      <c r="T312" s="6"/>
      <c r="U312" s="6"/>
      <c r="V312" s="6"/>
      <c r="W312" s="6"/>
      <c r="X312" s="6" t="s">
        <v>238</v>
      </c>
      <c r="Y312" s="6" t="s">
        <v>238</v>
      </c>
      <c r="Z312" s="6" t="s">
        <v>238</v>
      </c>
    </row>
    <row r="313" spans="1:26" x14ac:dyDescent="0.3">
      <c r="A313" s="1" t="s">
        <v>440</v>
      </c>
      <c r="B313" s="6">
        <v>23</v>
      </c>
      <c r="C313" s="6"/>
      <c r="D313" s="6"/>
      <c r="E313" s="6"/>
      <c r="F313" s="6"/>
      <c r="G313" s="6"/>
      <c r="H313" s="6"/>
      <c r="I313" s="6"/>
      <c r="J313" s="6"/>
      <c r="K313" s="6"/>
      <c r="L313" s="6"/>
      <c r="M313" s="6"/>
      <c r="N313" s="6"/>
      <c r="O313" s="6"/>
      <c r="P313" s="6"/>
      <c r="Q313" s="6"/>
      <c r="R313" s="6"/>
      <c r="S313" s="6"/>
      <c r="T313" s="6"/>
      <c r="U313" s="6"/>
      <c r="V313" s="6"/>
      <c r="W313" s="6"/>
      <c r="X313" s="6" t="s">
        <v>238</v>
      </c>
      <c r="Y313" s="6" t="s">
        <v>238</v>
      </c>
      <c r="Z313" s="6" t="s">
        <v>238</v>
      </c>
    </row>
    <row r="314" spans="1:26" x14ac:dyDescent="0.3">
      <c r="A314" s="1" t="s">
        <v>441</v>
      </c>
      <c r="B314" s="6">
        <v>23</v>
      </c>
      <c r="C314" s="6"/>
      <c r="D314" s="6"/>
      <c r="E314" s="6"/>
      <c r="F314" s="6"/>
      <c r="G314" s="6"/>
      <c r="H314" s="6"/>
      <c r="I314" s="6"/>
      <c r="J314" s="6"/>
      <c r="K314" s="6"/>
      <c r="L314" s="6"/>
      <c r="M314" s="6"/>
      <c r="N314" s="6"/>
      <c r="O314" s="6"/>
      <c r="P314" s="6"/>
      <c r="Q314" s="6"/>
      <c r="R314" s="6"/>
      <c r="S314" s="6"/>
      <c r="T314" s="6"/>
      <c r="U314" s="6"/>
      <c r="V314" s="6"/>
      <c r="W314" s="6"/>
      <c r="X314" s="6" t="s">
        <v>238</v>
      </c>
      <c r="Y314" s="6" t="s">
        <v>238</v>
      </c>
      <c r="Z314" s="6" t="s">
        <v>238</v>
      </c>
    </row>
    <row r="315" spans="1:26" x14ac:dyDescent="0.3">
      <c r="A315" s="1" t="s">
        <v>442</v>
      </c>
      <c r="B315" s="6">
        <v>23</v>
      </c>
      <c r="C315" s="6"/>
      <c r="D315" s="6"/>
      <c r="E315" s="6"/>
      <c r="F315" s="6"/>
      <c r="G315" s="6"/>
      <c r="H315" s="6"/>
      <c r="I315" s="6"/>
      <c r="J315" s="6"/>
      <c r="K315" s="6"/>
      <c r="L315" s="6"/>
      <c r="M315" s="6"/>
      <c r="N315" s="6"/>
      <c r="O315" s="6"/>
      <c r="P315" s="6"/>
      <c r="Q315" s="6"/>
      <c r="R315" s="6"/>
      <c r="S315" s="6"/>
      <c r="T315" s="6"/>
      <c r="U315" s="6"/>
      <c r="V315" s="6"/>
      <c r="W315" s="6"/>
      <c r="X315" s="6" t="s">
        <v>238</v>
      </c>
      <c r="Y315" s="6" t="s">
        <v>238</v>
      </c>
      <c r="Z315" s="6" t="s">
        <v>238</v>
      </c>
    </row>
    <row r="316" spans="1:26" x14ac:dyDescent="0.3">
      <c r="A316" s="1" t="s">
        <v>443</v>
      </c>
      <c r="B316" s="6">
        <v>23</v>
      </c>
      <c r="C316" s="6"/>
      <c r="D316" s="6"/>
      <c r="E316" s="6"/>
      <c r="F316" s="6"/>
      <c r="G316" s="6"/>
      <c r="H316" s="6"/>
      <c r="I316" s="6"/>
      <c r="J316" s="6"/>
      <c r="K316" s="6"/>
      <c r="L316" s="6"/>
      <c r="M316" s="6"/>
      <c r="N316" s="6"/>
      <c r="O316" s="6"/>
      <c r="P316" s="6"/>
      <c r="Q316" s="6"/>
      <c r="R316" s="6"/>
      <c r="S316" s="6"/>
      <c r="T316" s="6"/>
      <c r="U316" s="6"/>
      <c r="V316" s="6"/>
      <c r="W316" s="6"/>
      <c r="X316" s="6" t="s">
        <v>238</v>
      </c>
      <c r="Y316" s="6" t="s">
        <v>238</v>
      </c>
      <c r="Z316" s="6" t="s">
        <v>238</v>
      </c>
    </row>
    <row r="317" spans="1:26" x14ac:dyDescent="0.3">
      <c r="A317" s="1" t="s">
        <v>444</v>
      </c>
      <c r="B317" s="6">
        <v>23</v>
      </c>
      <c r="C317" s="6"/>
      <c r="D317" s="6"/>
      <c r="E317" s="6"/>
      <c r="F317" s="6"/>
      <c r="G317" s="6"/>
      <c r="H317" s="6"/>
      <c r="I317" s="6"/>
      <c r="J317" s="6"/>
      <c r="K317" s="6"/>
      <c r="L317" s="6"/>
      <c r="M317" s="6"/>
      <c r="N317" s="6"/>
      <c r="O317" s="6"/>
      <c r="P317" s="6"/>
      <c r="Q317" s="6"/>
      <c r="R317" s="6"/>
      <c r="S317" s="6"/>
      <c r="T317" s="6"/>
      <c r="U317" s="6"/>
      <c r="V317" s="6"/>
      <c r="W317" s="6"/>
      <c r="X317" s="6" t="s">
        <v>238</v>
      </c>
      <c r="Y317" s="6" t="s">
        <v>238</v>
      </c>
      <c r="Z317" s="6" t="s">
        <v>238</v>
      </c>
    </row>
    <row r="318" spans="1:26" x14ac:dyDescent="0.3">
      <c r="A318" s="1" t="s">
        <v>445</v>
      </c>
      <c r="B318" s="6">
        <v>23</v>
      </c>
      <c r="C318" s="6"/>
      <c r="D318" s="6"/>
      <c r="E318" s="6"/>
      <c r="F318" s="6"/>
      <c r="G318" s="6"/>
      <c r="H318" s="6"/>
      <c r="I318" s="6"/>
      <c r="J318" s="6"/>
      <c r="K318" s="6"/>
      <c r="L318" s="6"/>
      <c r="M318" s="6"/>
      <c r="N318" s="6"/>
      <c r="O318" s="6"/>
      <c r="P318" s="6"/>
      <c r="Q318" s="6"/>
      <c r="R318" s="6"/>
      <c r="S318" s="6"/>
      <c r="T318" s="6"/>
      <c r="U318" s="6"/>
      <c r="V318" s="6"/>
      <c r="W318" s="6"/>
      <c r="X318" s="6" t="s">
        <v>238</v>
      </c>
      <c r="Y318" s="6" t="s">
        <v>238</v>
      </c>
      <c r="Z318" s="6" t="s">
        <v>238</v>
      </c>
    </row>
    <row r="319" spans="1:26" x14ac:dyDescent="0.3">
      <c r="A319" s="1" t="s">
        <v>446</v>
      </c>
      <c r="B319" s="6">
        <v>23</v>
      </c>
      <c r="C319" s="6"/>
      <c r="D319" s="6"/>
      <c r="E319" s="6"/>
      <c r="F319" s="6"/>
      <c r="G319" s="6"/>
      <c r="H319" s="6"/>
      <c r="I319" s="6"/>
      <c r="J319" s="6"/>
      <c r="K319" s="6"/>
      <c r="L319" s="6"/>
      <c r="M319" s="6"/>
      <c r="N319" s="6"/>
      <c r="O319" s="6"/>
      <c r="P319" s="6"/>
      <c r="Q319" s="6"/>
      <c r="R319" s="6"/>
      <c r="S319" s="6"/>
      <c r="T319" s="6"/>
      <c r="U319" s="6"/>
      <c r="V319" s="6"/>
      <c r="W319" s="6"/>
      <c r="X319" s="6" t="s">
        <v>238</v>
      </c>
      <c r="Y319" s="6" t="s">
        <v>238</v>
      </c>
      <c r="Z319" s="6" t="s">
        <v>238</v>
      </c>
    </row>
  </sheetData>
  <autoFilter ref="A1:Z295" xr:uid="{E8898237-E438-4A3E-832D-558CC599399D}">
    <sortState xmlns:xlrd2="http://schemas.microsoft.com/office/spreadsheetml/2017/richdata2" ref="A2:Z319">
      <sortCondition ref="B1:B295"/>
    </sortState>
  </autoFilter>
  <sortState xmlns:xlrd2="http://schemas.microsoft.com/office/spreadsheetml/2017/richdata2" ref="A2:Z170">
    <sortCondition ref="B2:B170"/>
    <sortCondition ref="A2:A170"/>
  </sortState>
  <phoneticPr fontId="2" type="noConversion"/>
  <conditionalFormatting sqref="A1:Z1048569">
    <cfRule type="expression" dxfId="69" priority="9">
      <formula>COUNTIF($A1:Y1, "NI")</formula>
    </cfRule>
  </conditionalFormatting>
  <conditionalFormatting sqref="A1048570:Z1048576">
    <cfRule type="expression" dxfId="68" priority="245">
      <formula>COUNTIF($A1048570:Y1048571, "NI")</formula>
    </cfRule>
  </conditionalFormatting>
  <conditionalFormatting sqref="B1:Z1048569 A2:A208">
    <cfRule type="expression" dxfId="67" priority="1">
      <formula>COUNTIF($B1:Y1, "C")</formula>
    </cfRule>
    <cfRule type="expression" dxfId="66" priority="2">
      <formula>COUNTIF($B1:Y1, "Q")</formula>
    </cfRule>
    <cfRule type="expression" dxfId="65" priority="3">
      <formula>COUNTIF($B1:Y1, "M")</formula>
    </cfRule>
  </conditionalFormatting>
  <conditionalFormatting sqref="B1:Z1048569 A2:A308">
    <cfRule type="expression" dxfId="64" priority="4">
      <formula>COUNTIF($B1:Y1, "A")</formula>
    </cfRule>
  </conditionalFormatting>
  <conditionalFormatting sqref="B1048570:Z1048576">
    <cfRule type="expression" dxfId="63" priority="251">
      <formula>COUNTIF($B1048570:Z1048571, "C")</formula>
    </cfRule>
    <cfRule type="expression" dxfId="62" priority="252">
      <formula>COUNTIF($B1048570:Z1048571, "Q")</formula>
    </cfRule>
    <cfRule type="expression" dxfId="61" priority="253">
      <formula>COUNTIF($B1048570:Z1048571, "M")</formula>
    </cfRule>
    <cfRule type="expression" dxfId="60" priority="254">
      <formula>COUNTIF($B1048570:Z1048571, "A")</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693AE-0C34-44CF-A948-382F5A791264}">
  <sheetPr>
    <tabColor rgb="FFFFFF00"/>
  </sheetPr>
  <dimension ref="A1:J149"/>
  <sheetViews>
    <sheetView topLeftCell="A112" zoomScale="105" workbookViewId="0">
      <selection activeCell="D137" sqref="D137"/>
    </sheetView>
  </sheetViews>
  <sheetFormatPr baseColWidth="10" defaultColWidth="137.33203125" defaultRowHeight="14.4" x14ac:dyDescent="0.3"/>
  <cols>
    <col min="1" max="1" width="43.109375" bestFit="1" customWidth="1"/>
    <col min="2" max="2" width="10.88671875" style="26" bestFit="1" customWidth="1"/>
    <col min="3" max="3" width="17.6640625" bestFit="1" customWidth="1"/>
    <col min="4" max="4" width="10.5546875" customWidth="1"/>
    <col min="5" max="5" width="73.44140625" bestFit="1" customWidth="1"/>
    <col min="6" max="6" width="7.6640625" bestFit="1" customWidth="1"/>
    <col min="7" max="7" width="9.6640625" bestFit="1" customWidth="1"/>
    <col min="8" max="8" width="11.6640625" bestFit="1" customWidth="1"/>
    <col min="9" max="9" width="9.88671875" customWidth="1"/>
    <col min="10" max="10" width="6.6640625" customWidth="1"/>
  </cols>
  <sheetData>
    <row r="1" spans="1:10" ht="15.6" x14ac:dyDescent="0.3">
      <c r="A1" s="31"/>
      <c r="B1" s="359"/>
      <c r="C1" s="359"/>
      <c r="D1" s="360"/>
      <c r="E1" s="359"/>
      <c r="F1" s="32"/>
      <c r="G1" s="1"/>
      <c r="H1" s="1"/>
      <c r="I1" s="1"/>
      <c r="J1" s="1"/>
    </row>
    <row r="2" spans="1:10" x14ac:dyDescent="0.3">
      <c r="A2" s="30" t="s">
        <v>2</v>
      </c>
      <c r="B2" s="2" t="s">
        <v>3</v>
      </c>
      <c r="C2" s="30" t="s">
        <v>4</v>
      </c>
      <c r="D2" s="195" t="s">
        <v>5</v>
      </c>
      <c r="E2" s="30" t="s">
        <v>6</v>
      </c>
      <c r="F2" s="30" t="s">
        <v>7</v>
      </c>
      <c r="G2" s="30" t="s">
        <v>8</v>
      </c>
      <c r="H2" s="36" t="s">
        <v>9</v>
      </c>
      <c r="I2" s="1" t="s">
        <v>10</v>
      </c>
      <c r="J2" s="1" t="s">
        <v>11</v>
      </c>
    </row>
    <row r="3" spans="1:10" x14ac:dyDescent="0.3">
      <c r="A3" s="1" t="s">
        <v>92</v>
      </c>
      <c r="B3" s="6">
        <v>4</v>
      </c>
      <c r="C3" s="1" t="s">
        <v>447</v>
      </c>
      <c r="D3" s="3"/>
      <c r="E3" s="1"/>
      <c r="F3" s="30"/>
      <c r="G3" s="30"/>
      <c r="H3" s="36"/>
      <c r="I3" s="1"/>
      <c r="J3" s="1"/>
    </row>
    <row r="4" spans="1:10" x14ac:dyDescent="0.3">
      <c r="A4" s="1" t="s">
        <v>249</v>
      </c>
      <c r="B4" s="6">
        <v>5</v>
      </c>
      <c r="C4" s="1" t="s">
        <v>13</v>
      </c>
      <c r="D4" s="3" t="s">
        <v>28</v>
      </c>
      <c r="E4" s="1"/>
      <c r="F4" s="30"/>
      <c r="G4" s="30"/>
      <c r="H4" s="36"/>
      <c r="I4" s="1"/>
      <c r="J4" s="1"/>
    </row>
    <row r="5" spans="1:10" x14ac:dyDescent="0.3">
      <c r="A5" s="1" t="s">
        <v>25</v>
      </c>
      <c r="B5" s="6">
        <v>8</v>
      </c>
      <c r="C5" s="1" t="s">
        <v>448</v>
      </c>
      <c r="D5" s="3" t="s">
        <v>116</v>
      </c>
      <c r="E5" s="1" t="s">
        <v>449</v>
      </c>
      <c r="F5" s="1"/>
      <c r="G5" s="1"/>
      <c r="H5" s="1"/>
      <c r="I5" s="1"/>
      <c r="J5" s="1"/>
    </row>
    <row r="6" spans="1:10" x14ac:dyDescent="0.3">
      <c r="A6" s="1" t="s">
        <v>22</v>
      </c>
      <c r="B6" s="6">
        <v>8</v>
      </c>
      <c r="C6" s="1" t="s">
        <v>448</v>
      </c>
      <c r="D6" s="3" t="s">
        <v>28</v>
      </c>
      <c r="E6" s="1" t="s">
        <v>450</v>
      </c>
      <c r="F6" s="1"/>
      <c r="G6" s="1"/>
      <c r="H6" s="1"/>
      <c r="I6" s="1"/>
      <c r="J6" s="1"/>
    </row>
    <row r="7" spans="1:10" x14ac:dyDescent="0.3">
      <c r="A7" s="1" t="s">
        <v>272</v>
      </c>
      <c r="B7" s="6">
        <v>9</v>
      </c>
      <c r="C7" s="1" t="s">
        <v>13</v>
      </c>
      <c r="D7" s="3" t="s">
        <v>16</v>
      </c>
      <c r="E7" s="1" t="s">
        <v>451</v>
      </c>
      <c r="F7" s="1"/>
      <c r="G7" s="1"/>
      <c r="H7" s="1"/>
      <c r="I7" s="1"/>
      <c r="J7" s="1"/>
    </row>
    <row r="8" spans="1:10" x14ac:dyDescent="0.3">
      <c r="A8" s="1" t="s">
        <v>30</v>
      </c>
      <c r="B8" s="6">
        <v>10</v>
      </c>
      <c r="C8" s="1" t="s">
        <v>447</v>
      </c>
      <c r="D8" s="3"/>
      <c r="E8" s="1"/>
      <c r="F8" s="1"/>
      <c r="G8" s="1"/>
      <c r="H8" s="1"/>
      <c r="I8" s="1"/>
      <c r="J8" s="1"/>
    </row>
    <row r="9" spans="1:10" x14ac:dyDescent="0.3">
      <c r="A9" s="1" t="s">
        <v>29</v>
      </c>
      <c r="B9" s="6">
        <v>10</v>
      </c>
      <c r="C9" s="1" t="s">
        <v>448</v>
      </c>
      <c r="D9" s="3"/>
      <c r="E9" s="1"/>
      <c r="F9" s="1"/>
      <c r="G9" s="1"/>
      <c r="H9" s="1"/>
      <c r="I9" s="1"/>
      <c r="J9" s="1"/>
    </row>
    <row r="10" spans="1:10" x14ac:dyDescent="0.3">
      <c r="A10" s="1" t="s">
        <v>32</v>
      </c>
      <c r="B10" s="6">
        <v>10</v>
      </c>
      <c r="C10" s="1" t="s">
        <v>448</v>
      </c>
      <c r="D10" s="3" t="s">
        <v>47</v>
      </c>
      <c r="E10" s="1" t="s">
        <v>452</v>
      </c>
      <c r="F10" s="1"/>
      <c r="G10" s="1"/>
      <c r="H10" s="1"/>
      <c r="I10" s="1"/>
      <c r="J10" s="1"/>
    </row>
    <row r="11" spans="1:10" x14ac:dyDescent="0.3">
      <c r="A11" s="1" t="s">
        <v>31</v>
      </c>
      <c r="B11" s="6">
        <v>10</v>
      </c>
      <c r="C11" s="1" t="s">
        <v>447</v>
      </c>
      <c r="D11" s="3" t="s">
        <v>24</v>
      </c>
      <c r="E11" s="1"/>
      <c r="F11" s="1"/>
      <c r="G11" s="1"/>
      <c r="H11" s="1"/>
      <c r="I11" s="1"/>
      <c r="J11" s="1"/>
    </row>
    <row r="12" spans="1:10" x14ac:dyDescent="0.3">
      <c r="A12" s="1" t="s">
        <v>27</v>
      </c>
      <c r="B12" s="6">
        <v>10</v>
      </c>
      <c r="C12" s="1" t="s">
        <v>447</v>
      </c>
      <c r="D12" s="3" t="s">
        <v>28</v>
      </c>
      <c r="E12" s="1" t="s">
        <v>453</v>
      </c>
      <c r="F12" s="1"/>
      <c r="G12" s="1"/>
      <c r="H12" s="1"/>
      <c r="I12" s="1"/>
      <c r="J12" s="1"/>
    </row>
    <row r="13" spans="1:10" x14ac:dyDescent="0.3">
      <c r="A13" s="1" t="s">
        <v>38</v>
      </c>
      <c r="B13" s="6">
        <v>11</v>
      </c>
      <c r="C13" s="1" t="s">
        <v>13</v>
      </c>
      <c r="D13" s="3" t="s">
        <v>28</v>
      </c>
      <c r="E13" s="1"/>
      <c r="F13" s="1"/>
      <c r="G13" s="1"/>
      <c r="H13" s="1"/>
      <c r="I13" s="1"/>
      <c r="J13" s="1"/>
    </row>
    <row r="14" spans="1:10" x14ac:dyDescent="0.3">
      <c r="A14" s="1" t="s">
        <v>39</v>
      </c>
      <c r="B14" s="6">
        <v>11</v>
      </c>
      <c r="C14" s="1" t="s">
        <v>447</v>
      </c>
      <c r="D14" s="3"/>
      <c r="E14" s="28" t="s">
        <v>454</v>
      </c>
      <c r="F14" s="28"/>
      <c r="G14" s="28"/>
      <c r="H14" s="1"/>
      <c r="I14" s="1"/>
      <c r="J14" s="1"/>
    </row>
    <row r="15" spans="1:10" x14ac:dyDescent="0.3">
      <c r="A15" s="1" t="s">
        <v>41</v>
      </c>
      <c r="B15" s="6">
        <v>11</v>
      </c>
      <c r="C15" s="1" t="s">
        <v>13</v>
      </c>
      <c r="D15" s="3" t="s">
        <v>35</v>
      </c>
      <c r="E15" s="1"/>
      <c r="F15" s="1"/>
      <c r="G15" s="1"/>
      <c r="H15" s="1"/>
      <c r="I15" s="1"/>
      <c r="J15" s="1"/>
    </row>
    <row r="16" spans="1:10" x14ac:dyDescent="0.3">
      <c r="A16" s="1" t="s">
        <v>34</v>
      </c>
      <c r="B16" s="6">
        <v>11</v>
      </c>
      <c r="C16" s="1" t="s">
        <v>448</v>
      </c>
      <c r="D16" s="3" t="s">
        <v>14</v>
      </c>
      <c r="E16" s="1"/>
      <c r="F16" s="1"/>
      <c r="G16" s="1"/>
      <c r="H16" s="1"/>
      <c r="I16" s="1"/>
      <c r="J16" s="1"/>
    </row>
    <row r="17" spans="1:10" x14ac:dyDescent="0.3">
      <c r="A17" s="1" t="s">
        <v>284</v>
      </c>
      <c r="B17" s="6">
        <v>11</v>
      </c>
      <c r="C17" s="1" t="s">
        <v>448</v>
      </c>
      <c r="D17" s="3" t="s">
        <v>28</v>
      </c>
      <c r="E17" s="1"/>
      <c r="F17" s="1"/>
      <c r="G17" s="1"/>
      <c r="H17" s="1"/>
      <c r="I17" s="1"/>
      <c r="J17" s="1"/>
    </row>
    <row r="18" spans="1:10" x14ac:dyDescent="0.3">
      <c r="A18" s="1" t="s">
        <v>42</v>
      </c>
      <c r="B18" s="6">
        <v>11</v>
      </c>
      <c r="C18" s="1" t="s">
        <v>447</v>
      </c>
      <c r="D18" s="3" t="s">
        <v>24</v>
      </c>
      <c r="E18" s="29" t="s">
        <v>33</v>
      </c>
      <c r="F18" s="1"/>
      <c r="G18" s="1"/>
      <c r="H18" s="1"/>
      <c r="I18" s="1"/>
      <c r="J18" s="1"/>
    </row>
    <row r="19" spans="1:10" x14ac:dyDescent="0.3">
      <c r="A19" s="1" t="s">
        <v>51</v>
      </c>
      <c r="B19" s="6">
        <v>12</v>
      </c>
      <c r="C19" s="1" t="s">
        <v>448</v>
      </c>
      <c r="D19" s="3" t="s">
        <v>28</v>
      </c>
      <c r="E19" s="1"/>
      <c r="F19" s="1"/>
      <c r="G19" s="1"/>
      <c r="H19" s="1"/>
      <c r="I19" s="1"/>
      <c r="J19" s="1"/>
    </row>
    <row r="20" spans="1:10" x14ac:dyDescent="0.3">
      <c r="A20" s="1" t="s">
        <v>52</v>
      </c>
      <c r="B20" s="6">
        <v>12</v>
      </c>
      <c r="C20" s="1" t="s">
        <v>13</v>
      </c>
      <c r="D20" s="3" t="s">
        <v>28</v>
      </c>
      <c r="E20" s="1" t="s">
        <v>33</v>
      </c>
      <c r="F20" s="1"/>
      <c r="G20" s="1"/>
      <c r="H20" s="1"/>
      <c r="I20" s="1"/>
      <c r="J20" s="1"/>
    </row>
    <row r="21" spans="1:10" x14ac:dyDescent="0.3">
      <c r="A21" s="1" t="s">
        <v>49</v>
      </c>
      <c r="B21" s="6">
        <v>12</v>
      </c>
      <c r="C21" s="1" t="s">
        <v>13</v>
      </c>
      <c r="D21" s="3" t="s">
        <v>24</v>
      </c>
      <c r="E21" s="28" t="s">
        <v>50</v>
      </c>
      <c r="F21" s="1"/>
      <c r="G21" s="1"/>
      <c r="H21" s="1"/>
      <c r="I21" s="1"/>
      <c r="J21" s="1"/>
    </row>
    <row r="22" spans="1:10" x14ac:dyDescent="0.3">
      <c r="A22" s="1" t="s">
        <v>45</v>
      </c>
      <c r="B22" s="6">
        <v>12</v>
      </c>
      <c r="C22" s="1" t="s">
        <v>448</v>
      </c>
      <c r="D22" s="3" t="s">
        <v>110</v>
      </c>
      <c r="E22" s="1"/>
      <c r="F22" s="1"/>
      <c r="G22" s="1"/>
      <c r="H22" s="1"/>
      <c r="I22" s="1"/>
      <c r="J22" s="1"/>
    </row>
    <row r="23" spans="1:10" x14ac:dyDescent="0.3">
      <c r="A23" s="1" t="s">
        <v>46</v>
      </c>
      <c r="B23" s="6">
        <v>12</v>
      </c>
      <c r="C23" s="1" t="s">
        <v>448</v>
      </c>
      <c r="D23" s="3" t="s">
        <v>116</v>
      </c>
      <c r="E23" s="1"/>
      <c r="F23" s="1"/>
      <c r="G23" s="1"/>
      <c r="H23" s="1"/>
      <c r="I23" s="1"/>
      <c r="J23" s="1"/>
    </row>
    <row r="24" spans="1:10" x14ac:dyDescent="0.3">
      <c r="A24" s="36" t="s">
        <v>60</v>
      </c>
      <c r="B24" s="6">
        <v>13</v>
      </c>
      <c r="C24" s="1" t="s">
        <v>13</v>
      </c>
      <c r="D24" s="3" t="s">
        <v>16</v>
      </c>
      <c r="E24" s="1" t="s">
        <v>455</v>
      </c>
      <c r="F24" s="1"/>
      <c r="G24" s="1"/>
      <c r="H24" s="1"/>
      <c r="I24" s="1"/>
      <c r="J24" s="1"/>
    </row>
    <row r="25" spans="1:10" x14ac:dyDescent="0.3">
      <c r="A25" s="1" t="s">
        <v>62</v>
      </c>
      <c r="B25" s="6">
        <v>13</v>
      </c>
      <c r="C25" s="1" t="s">
        <v>13</v>
      </c>
      <c r="D25" s="3" t="s">
        <v>28</v>
      </c>
      <c r="E25" s="1"/>
      <c r="F25" s="1"/>
      <c r="G25" s="1"/>
      <c r="H25" s="1"/>
      <c r="I25" s="1"/>
      <c r="J25" s="1"/>
    </row>
    <row r="26" spans="1:10" x14ac:dyDescent="0.3">
      <c r="A26" s="1" t="s">
        <v>67</v>
      </c>
      <c r="B26" s="6">
        <v>13</v>
      </c>
      <c r="C26" s="1" t="s">
        <v>447</v>
      </c>
      <c r="D26" s="3"/>
      <c r="E26" s="1"/>
      <c r="F26" s="1"/>
      <c r="G26" s="1"/>
      <c r="H26" s="1"/>
      <c r="I26" s="1"/>
      <c r="J26" s="1"/>
    </row>
    <row r="27" spans="1:10" x14ac:dyDescent="0.3">
      <c r="A27" s="1" t="s">
        <v>57</v>
      </c>
      <c r="B27" s="6">
        <v>13</v>
      </c>
      <c r="C27" s="1" t="s">
        <v>448</v>
      </c>
      <c r="D27" s="3" t="s">
        <v>28</v>
      </c>
      <c r="E27" s="1"/>
      <c r="F27" s="1"/>
      <c r="G27" s="1"/>
      <c r="H27" s="1"/>
      <c r="I27" s="1"/>
      <c r="J27" s="1"/>
    </row>
    <row r="28" spans="1:10" x14ac:dyDescent="0.3">
      <c r="A28" s="1" t="s">
        <v>318</v>
      </c>
      <c r="B28" s="6">
        <v>13</v>
      </c>
      <c r="C28" s="1" t="s">
        <v>13</v>
      </c>
      <c r="D28" s="3" t="s">
        <v>16</v>
      </c>
      <c r="E28" s="1" t="s">
        <v>89</v>
      </c>
      <c r="F28" s="1"/>
      <c r="G28" s="1"/>
      <c r="H28" s="1"/>
      <c r="I28" s="1"/>
      <c r="J28" s="1"/>
    </row>
    <row r="29" spans="1:10" x14ac:dyDescent="0.3">
      <c r="A29" s="1" t="s">
        <v>65</v>
      </c>
      <c r="B29" s="6">
        <v>13</v>
      </c>
      <c r="C29" s="1" t="s">
        <v>448</v>
      </c>
      <c r="D29" s="3" t="s">
        <v>28</v>
      </c>
      <c r="E29" s="1"/>
      <c r="F29" s="1"/>
      <c r="G29" s="1"/>
      <c r="H29" s="1"/>
      <c r="I29" s="1"/>
      <c r="J29" s="1"/>
    </row>
    <row r="30" spans="1:10" x14ac:dyDescent="0.3">
      <c r="A30" s="1" t="s">
        <v>55</v>
      </c>
      <c r="B30" s="6">
        <v>13</v>
      </c>
      <c r="C30" s="1" t="s">
        <v>447</v>
      </c>
      <c r="D30" s="3" t="s">
        <v>24</v>
      </c>
      <c r="E30" s="1"/>
      <c r="F30" s="1"/>
      <c r="G30" s="1"/>
      <c r="H30" s="1"/>
      <c r="I30" s="1"/>
      <c r="J30" s="1"/>
    </row>
    <row r="31" spans="1:10" x14ac:dyDescent="0.3">
      <c r="A31" s="1" t="s">
        <v>58</v>
      </c>
      <c r="B31" s="6">
        <v>13</v>
      </c>
      <c r="C31" s="1" t="s">
        <v>447</v>
      </c>
      <c r="D31" s="3" t="s">
        <v>24</v>
      </c>
      <c r="E31" s="1" t="s">
        <v>59</v>
      </c>
      <c r="F31" s="1"/>
      <c r="G31" s="1"/>
      <c r="H31" s="1"/>
      <c r="I31" s="1"/>
      <c r="J31" s="1"/>
    </row>
    <row r="32" spans="1:10" x14ac:dyDescent="0.3">
      <c r="A32" s="1" t="s">
        <v>56</v>
      </c>
      <c r="B32" s="6">
        <v>13</v>
      </c>
      <c r="C32" s="1" t="s">
        <v>447</v>
      </c>
      <c r="D32" s="3" t="s">
        <v>24</v>
      </c>
      <c r="E32" s="1"/>
      <c r="F32" s="1"/>
      <c r="G32" s="1"/>
      <c r="H32" s="1"/>
      <c r="I32" s="1"/>
      <c r="J32" s="1"/>
    </row>
    <row r="33" spans="1:10" x14ac:dyDescent="0.3">
      <c r="A33" s="1" t="s">
        <v>71</v>
      </c>
      <c r="B33" s="6">
        <v>14</v>
      </c>
      <c r="C33" s="1" t="s">
        <v>448</v>
      </c>
      <c r="D33" s="3"/>
      <c r="E33" s="1"/>
      <c r="F33" s="1"/>
      <c r="G33" s="1"/>
      <c r="H33" s="1"/>
      <c r="I33" s="1"/>
      <c r="J33" s="1"/>
    </row>
    <row r="34" spans="1:10" x14ac:dyDescent="0.3">
      <c r="A34" s="1" t="s">
        <v>155</v>
      </c>
      <c r="B34" s="6">
        <v>14</v>
      </c>
      <c r="C34" s="1" t="s">
        <v>447</v>
      </c>
      <c r="D34" s="3"/>
      <c r="E34" s="1" t="s">
        <v>64</v>
      </c>
      <c r="F34" s="1"/>
      <c r="G34" s="1"/>
      <c r="H34" s="1"/>
      <c r="I34" s="1"/>
      <c r="J34" s="1"/>
    </row>
    <row r="35" spans="1:10" x14ac:dyDescent="0.3">
      <c r="A35" s="1" t="s">
        <v>74</v>
      </c>
      <c r="B35" s="6">
        <v>14</v>
      </c>
      <c r="C35" s="1" t="s">
        <v>448</v>
      </c>
      <c r="D35" s="3"/>
      <c r="E35" s="1" t="s">
        <v>75</v>
      </c>
      <c r="F35" s="1"/>
      <c r="G35" s="1"/>
      <c r="H35" s="1"/>
      <c r="I35" s="1"/>
      <c r="J35" s="1"/>
    </row>
    <row r="36" spans="1:10" x14ac:dyDescent="0.3">
      <c r="A36" s="1" t="s">
        <v>70</v>
      </c>
      <c r="B36" s="6">
        <v>14</v>
      </c>
      <c r="C36" s="1" t="s">
        <v>13</v>
      </c>
      <c r="D36" s="3" t="s">
        <v>24</v>
      </c>
      <c r="E36" s="1"/>
      <c r="F36" s="1"/>
      <c r="G36" s="1"/>
      <c r="H36" s="1"/>
      <c r="I36" s="1"/>
      <c r="J36" s="1"/>
    </row>
    <row r="37" spans="1:10" x14ac:dyDescent="0.3">
      <c r="A37" s="1" t="s">
        <v>84</v>
      </c>
      <c r="B37" s="6">
        <v>14</v>
      </c>
      <c r="C37" s="1" t="s">
        <v>447</v>
      </c>
      <c r="D37" s="3" t="s">
        <v>24</v>
      </c>
      <c r="E37" s="1"/>
      <c r="F37" s="1"/>
      <c r="G37" s="1"/>
      <c r="H37" s="1"/>
      <c r="I37" s="1"/>
      <c r="J37" s="1"/>
    </row>
    <row r="38" spans="1:10" x14ac:dyDescent="0.3">
      <c r="A38" s="1" t="s">
        <v>78</v>
      </c>
      <c r="B38" s="6">
        <v>14</v>
      </c>
      <c r="C38" s="1" t="s">
        <v>13</v>
      </c>
      <c r="D38" s="3" t="s">
        <v>16</v>
      </c>
      <c r="E38" s="1"/>
      <c r="F38" s="1"/>
      <c r="G38" s="1"/>
      <c r="H38" s="1"/>
      <c r="I38" s="1"/>
      <c r="J38" s="1"/>
    </row>
    <row r="39" spans="1:10" x14ac:dyDescent="0.3">
      <c r="A39" s="1" t="s">
        <v>97</v>
      </c>
      <c r="B39" s="6">
        <v>15</v>
      </c>
      <c r="C39" s="1" t="s">
        <v>447</v>
      </c>
      <c r="D39" s="3"/>
      <c r="E39" s="1"/>
      <c r="F39" s="1"/>
      <c r="G39" s="1"/>
      <c r="H39" s="1"/>
      <c r="I39" s="1"/>
      <c r="J39" s="1"/>
    </row>
    <row r="40" spans="1:10" x14ac:dyDescent="0.3">
      <c r="A40" s="1" t="s">
        <v>90</v>
      </c>
      <c r="B40" s="6">
        <v>15</v>
      </c>
      <c r="C40" s="1" t="s">
        <v>13</v>
      </c>
      <c r="D40" s="3" t="s">
        <v>116</v>
      </c>
      <c r="E40" s="1"/>
      <c r="F40" s="1"/>
      <c r="G40" s="1"/>
      <c r="H40" s="1"/>
      <c r="I40" s="1"/>
      <c r="J40" s="1"/>
    </row>
    <row r="41" spans="1:10" x14ac:dyDescent="0.3">
      <c r="A41" s="1" t="s">
        <v>332</v>
      </c>
      <c r="B41" s="6">
        <v>15</v>
      </c>
      <c r="C41" s="1" t="s">
        <v>448</v>
      </c>
      <c r="D41" s="3"/>
      <c r="E41" s="1" t="s">
        <v>456</v>
      </c>
      <c r="F41" s="1"/>
      <c r="G41" s="1"/>
      <c r="H41" s="1"/>
      <c r="I41" s="1"/>
      <c r="J41" s="1"/>
    </row>
    <row r="42" spans="1:10" x14ac:dyDescent="0.3">
      <c r="A42" s="1" t="s">
        <v>96</v>
      </c>
      <c r="B42" s="6">
        <v>15</v>
      </c>
      <c r="C42" s="1" t="s">
        <v>448</v>
      </c>
      <c r="D42" s="3"/>
      <c r="E42" s="1"/>
      <c r="F42" s="1"/>
      <c r="G42" s="1"/>
      <c r="H42" s="1"/>
      <c r="I42" s="1"/>
      <c r="J42" s="1"/>
    </row>
    <row r="43" spans="1:10" x14ac:dyDescent="0.3">
      <c r="A43" s="1" t="s">
        <v>82</v>
      </c>
      <c r="B43" s="6">
        <v>15</v>
      </c>
      <c r="C43" s="1" t="s">
        <v>447</v>
      </c>
      <c r="D43" s="3"/>
      <c r="E43" s="1"/>
      <c r="F43" s="1"/>
      <c r="G43" s="1"/>
      <c r="H43" s="1"/>
      <c r="I43" s="1"/>
      <c r="J43" s="1"/>
    </row>
    <row r="44" spans="1:10" x14ac:dyDescent="0.3">
      <c r="A44" s="1" t="s">
        <v>106</v>
      </c>
      <c r="B44" s="6">
        <v>16</v>
      </c>
      <c r="C44" s="1" t="s">
        <v>13</v>
      </c>
      <c r="D44" s="3" t="s">
        <v>24</v>
      </c>
      <c r="E44" s="1"/>
      <c r="F44" s="1"/>
      <c r="G44" s="1"/>
      <c r="H44" s="1"/>
      <c r="I44" s="1"/>
      <c r="J44" s="1"/>
    </row>
    <row r="45" spans="1:10" x14ac:dyDescent="0.3">
      <c r="A45" s="1" t="s">
        <v>105</v>
      </c>
      <c r="B45" s="6">
        <v>16</v>
      </c>
      <c r="C45" s="1" t="s">
        <v>447</v>
      </c>
      <c r="D45" s="3"/>
      <c r="E45" s="1"/>
      <c r="F45" s="1"/>
      <c r="G45" s="1"/>
      <c r="H45" s="1"/>
      <c r="I45" s="1"/>
      <c r="J45" s="1"/>
    </row>
    <row r="46" spans="1:10" x14ac:dyDescent="0.3">
      <c r="A46" s="1" t="s">
        <v>17</v>
      </c>
      <c r="B46" s="6">
        <v>16</v>
      </c>
      <c r="C46" s="1" t="s">
        <v>13</v>
      </c>
      <c r="D46" s="3" t="s">
        <v>24</v>
      </c>
      <c r="E46" s="1"/>
      <c r="F46" s="1"/>
      <c r="G46" s="1"/>
      <c r="H46" s="1"/>
      <c r="I46" s="1"/>
      <c r="J46" s="1"/>
    </row>
    <row r="47" spans="1:10" x14ac:dyDescent="0.3">
      <c r="A47" s="1" t="s">
        <v>107</v>
      </c>
      <c r="B47" s="6">
        <v>16</v>
      </c>
      <c r="C47" s="1" t="s">
        <v>13</v>
      </c>
      <c r="D47" s="3" t="s">
        <v>16</v>
      </c>
      <c r="E47" s="1" t="s">
        <v>108</v>
      </c>
      <c r="F47" s="1"/>
      <c r="G47" s="1"/>
      <c r="H47" s="1"/>
      <c r="I47" s="1"/>
      <c r="J47" s="1"/>
    </row>
    <row r="48" spans="1:10" x14ac:dyDescent="0.3">
      <c r="A48" s="1" t="s">
        <v>104</v>
      </c>
      <c r="B48" s="6">
        <v>16</v>
      </c>
      <c r="C48" s="1" t="s">
        <v>448</v>
      </c>
      <c r="D48" s="3" t="s">
        <v>24</v>
      </c>
      <c r="E48" s="1"/>
      <c r="F48" s="1"/>
      <c r="G48" s="1"/>
      <c r="H48" s="1"/>
      <c r="I48" s="1"/>
      <c r="J48" s="1"/>
    </row>
    <row r="49" spans="1:10" x14ac:dyDescent="0.3">
      <c r="A49" s="1" t="s">
        <v>101</v>
      </c>
      <c r="B49" s="6">
        <v>16</v>
      </c>
      <c r="C49" s="1" t="s">
        <v>448</v>
      </c>
      <c r="D49" s="3" t="s">
        <v>28</v>
      </c>
      <c r="E49" s="1"/>
      <c r="F49" s="1"/>
      <c r="G49" s="1"/>
      <c r="H49" s="1"/>
      <c r="I49" s="1"/>
      <c r="J49" s="1"/>
    </row>
    <row r="50" spans="1:10" x14ac:dyDescent="0.3">
      <c r="A50" s="1" t="s">
        <v>112</v>
      </c>
      <c r="B50" s="6">
        <v>16</v>
      </c>
      <c r="C50" s="1" t="s">
        <v>448</v>
      </c>
      <c r="D50" s="3" t="s">
        <v>47</v>
      </c>
      <c r="E50" s="1" t="s">
        <v>457</v>
      </c>
      <c r="F50" s="1"/>
      <c r="G50" s="1"/>
      <c r="H50" s="1"/>
      <c r="I50" s="1"/>
      <c r="J50" s="1"/>
    </row>
    <row r="51" spans="1:10" x14ac:dyDescent="0.3">
      <c r="A51" s="1" t="s">
        <v>109</v>
      </c>
      <c r="B51" s="6">
        <v>16</v>
      </c>
      <c r="C51" s="1" t="s">
        <v>447</v>
      </c>
      <c r="D51" s="3" t="s">
        <v>7</v>
      </c>
      <c r="E51" s="1" t="s">
        <v>458</v>
      </c>
      <c r="F51" s="1"/>
      <c r="G51" s="1"/>
      <c r="H51" s="1"/>
      <c r="I51" s="1"/>
      <c r="J51" s="1"/>
    </row>
    <row r="52" spans="1:10" x14ac:dyDescent="0.3">
      <c r="A52" s="1" t="s">
        <v>186</v>
      </c>
      <c r="B52" s="6">
        <v>16</v>
      </c>
      <c r="C52" s="1" t="s">
        <v>447</v>
      </c>
      <c r="D52" s="3" t="s">
        <v>24</v>
      </c>
      <c r="E52" s="1" t="s">
        <v>459</v>
      </c>
      <c r="F52" s="1"/>
      <c r="G52" s="1"/>
      <c r="H52" s="1"/>
      <c r="I52" s="1"/>
      <c r="J52" s="1"/>
    </row>
    <row r="53" spans="1:10" x14ac:dyDescent="0.3">
      <c r="A53" s="1" t="s">
        <v>366</v>
      </c>
      <c r="B53" s="6">
        <v>17</v>
      </c>
      <c r="C53" s="1" t="s">
        <v>447</v>
      </c>
      <c r="D53" s="3" t="s">
        <v>24</v>
      </c>
      <c r="E53" s="1"/>
      <c r="F53" s="1"/>
      <c r="G53" s="1"/>
      <c r="H53" s="1"/>
      <c r="I53" s="1"/>
      <c r="J53" s="1"/>
    </row>
    <row r="54" spans="1:10" x14ac:dyDescent="0.3">
      <c r="A54" s="193" t="s">
        <v>120</v>
      </c>
      <c r="B54" s="6">
        <v>17</v>
      </c>
      <c r="C54" s="1" t="s">
        <v>447</v>
      </c>
      <c r="D54" s="3" t="s">
        <v>24</v>
      </c>
      <c r="E54" s="1"/>
      <c r="F54" s="1"/>
      <c r="G54" s="1"/>
      <c r="H54" s="1"/>
      <c r="I54" s="1"/>
      <c r="J54" s="1"/>
    </row>
    <row r="55" spans="1:10" x14ac:dyDescent="0.3">
      <c r="A55" s="1" t="s">
        <v>122</v>
      </c>
      <c r="B55" s="3">
        <v>17</v>
      </c>
      <c r="C55" s="1" t="s">
        <v>448</v>
      </c>
      <c r="D55" s="3"/>
      <c r="E55" s="1"/>
      <c r="F55" s="1"/>
      <c r="G55" s="1"/>
      <c r="H55" s="1"/>
      <c r="I55" s="1"/>
      <c r="J55" s="1"/>
    </row>
    <row r="56" spans="1:10" x14ac:dyDescent="0.3">
      <c r="A56" s="1" t="s">
        <v>121</v>
      </c>
      <c r="B56" s="3">
        <v>17</v>
      </c>
      <c r="C56" s="1" t="s">
        <v>13</v>
      </c>
      <c r="D56" s="3" t="s">
        <v>24</v>
      </c>
      <c r="E56" s="1"/>
      <c r="F56" s="1"/>
      <c r="G56" s="1"/>
      <c r="H56" s="1"/>
      <c r="I56" s="1"/>
      <c r="J56" s="1"/>
    </row>
    <row r="57" spans="1:10" x14ac:dyDescent="0.3">
      <c r="A57" s="1" t="s">
        <v>365</v>
      </c>
      <c r="B57" s="6">
        <v>17</v>
      </c>
      <c r="C57" s="1" t="s">
        <v>13</v>
      </c>
      <c r="D57" s="3" t="s">
        <v>35</v>
      </c>
      <c r="E57" s="1"/>
      <c r="F57" s="1"/>
      <c r="G57" s="1"/>
      <c r="H57" s="1"/>
      <c r="I57" s="1"/>
      <c r="J57" s="1"/>
    </row>
    <row r="58" spans="1:10" x14ac:dyDescent="0.3">
      <c r="A58" s="1" t="s">
        <v>113</v>
      </c>
      <c r="B58" s="3">
        <v>17</v>
      </c>
      <c r="C58" s="1" t="s">
        <v>448</v>
      </c>
      <c r="D58" s="3" t="s">
        <v>24</v>
      </c>
      <c r="E58" s="1"/>
      <c r="F58" s="1"/>
      <c r="G58" s="1"/>
      <c r="H58" s="1"/>
      <c r="I58" s="1"/>
      <c r="J58" s="1"/>
    </row>
    <row r="59" spans="1:10" x14ac:dyDescent="0.3">
      <c r="A59" s="1" t="s">
        <v>117</v>
      </c>
      <c r="B59" s="3">
        <v>17</v>
      </c>
      <c r="C59" s="1" t="s">
        <v>448</v>
      </c>
      <c r="D59" s="3" t="s">
        <v>28</v>
      </c>
      <c r="E59" s="1" t="s">
        <v>460</v>
      </c>
      <c r="F59" s="1"/>
      <c r="G59" s="1"/>
      <c r="H59" s="1"/>
      <c r="I59" s="1"/>
      <c r="J59" s="1"/>
    </row>
    <row r="60" spans="1:10" x14ac:dyDescent="0.3">
      <c r="A60" s="1" t="s">
        <v>125</v>
      </c>
      <c r="B60" s="3">
        <v>17</v>
      </c>
      <c r="C60" s="1" t="s">
        <v>447</v>
      </c>
      <c r="D60" s="3" t="s">
        <v>16</v>
      </c>
      <c r="E60" s="1"/>
      <c r="F60" s="1"/>
      <c r="G60" s="1"/>
      <c r="H60" s="1"/>
      <c r="I60" s="1"/>
      <c r="J60" s="1"/>
    </row>
    <row r="61" spans="1:10" x14ac:dyDescent="0.3">
      <c r="A61" s="1" t="s">
        <v>114</v>
      </c>
      <c r="B61" s="3">
        <v>17</v>
      </c>
      <c r="C61" s="1" t="s">
        <v>447</v>
      </c>
      <c r="D61" s="3" t="s">
        <v>16</v>
      </c>
      <c r="E61" s="1" t="s">
        <v>461</v>
      </c>
      <c r="F61" s="1"/>
      <c r="G61" s="1"/>
      <c r="H61" s="1"/>
      <c r="I61" s="1"/>
      <c r="J61" s="1"/>
    </row>
    <row r="62" spans="1:10" x14ac:dyDescent="0.3">
      <c r="A62" s="1" t="s">
        <v>100</v>
      </c>
      <c r="B62" s="6">
        <v>17</v>
      </c>
      <c r="C62" s="1" t="s">
        <v>13</v>
      </c>
      <c r="D62" s="3" t="s">
        <v>16</v>
      </c>
      <c r="E62" s="1"/>
      <c r="F62" s="1"/>
      <c r="G62" s="1"/>
      <c r="H62" s="1"/>
      <c r="I62" s="1"/>
      <c r="J62" s="1"/>
    </row>
    <row r="63" spans="1:10" x14ac:dyDescent="0.3">
      <c r="A63" s="1" t="s">
        <v>127</v>
      </c>
      <c r="B63" s="6">
        <v>18</v>
      </c>
      <c r="C63" s="1" t="s">
        <v>447</v>
      </c>
      <c r="D63" s="3" t="s">
        <v>24</v>
      </c>
      <c r="E63" s="1"/>
      <c r="F63" s="1"/>
      <c r="G63" s="1"/>
      <c r="H63" s="1"/>
      <c r="I63" s="1"/>
      <c r="J63" s="1"/>
    </row>
    <row r="64" spans="1:10" x14ac:dyDescent="0.3">
      <c r="A64" s="1" t="s">
        <v>135</v>
      </c>
      <c r="B64" s="6">
        <v>18</v>
      </c>
      <c r="C64" s="1" t="s">
        <v>13</v>
      </c>
      <c r="D64" s="3" t="s">
        <v>47</v>
      </c>
      <c r="E64" s="1" t="s">
        <v>462</v>
      </c>
      <c r="F64" s="1"/>
      <c r="G64" s="1"/>
      <c r="H64" s="1"/>
      <c r="I64" s="1"/>
      <c r="J64" s="1"/>
    </row>
    <row r="65" spans="1:10" x14ac:dyDescent="0.3">
      <c r="A65" s="1" t="s">
        <v>102</v>
      </c>
      <c r="B65" s="6">
        <v>18</v>
      </c>
      <c r="C65" s="1" t="s">
        <v>448</v>
      </c>
      <c r="D65" s="3"/>
      <c r="E65" s="1"/>
      <c r="F65" s="1"/>
      <c r="G65" s="1"/>
      <c r="H65" s="1"/>
      <c r="I65" s="1"/>
      <c r="J65" s="1"/>
    </row>
    <row r="66" spans="1:10" x14ac:dyDescent="0.3">
      <c r="A66" s="1" t="s">
        <v>134</v>
      </c>
      <c r="B66" s="6">
        <v>18</v>
      </c>
      <c r="C66" s="1" t="s">
        <v>13</v>
      </c>
      <c r="D66" s="3" t="s">
        <v>28</v>
      </c>
      <c r="E66" s="28"/>
      <c r="F66" s="1"/>
      <c r="G66" s="1"/>
      <c r="H66" s="1"/>
      <c r="I66" s="1"/>
      <c r="J66" s="1"/>
    </row>
    <row r="67" spans="1:10" x14ac:dyDescent="0.3">
      <c r="A67" s="1" t="s">
        <v>138</v>
      </c>
      <c r="B67" s="6">
        <v>18</v>
      </c>
      <c r="C67" s="1" t="s">
        <v>448</v>
      </c>
      <c r="D67" s="3" t="s">
        <v>24</v>
      </c>
      <c r="E67" s="1"/>
      <c r="F67" s="1"/>
      <c r="G67" s="1"/>
      <c r="H67" s="1"/>
      <c r="I67" s="1"/>
      <c r="J67" s="1"/>
    </row>
    <row r="68" spans="1:10" x14ac:dyDescent="0.3">
      <c r="A68" s="1" t="s">
        <v>137</v>
      </c>
      <c r="B68" s="6">
        <v>18</v>
      </c>
      <c r="C68" s="1" t="s">
        <v>448</v>
      </c>
      <c r="D68" s="3" t="s">
        <v>24</v>
      </c>
      <c r="E68" s="1"/>
      <c r="F68" s="1"/>
      <c r="G68" s="1"/>
      <c r="H68" s="1"/>
      <c r="I68" s="1"/>
      <c r="J68" s="1"/>
    </row>
    <row r="69" spans="1:10" x14ac:dyDescent="0.3">
      <c r="A69" s="1" t="s">
        <v>139</v>
      </c>
      <c r="B69" s="6">
        <v>18</v>
      </c>
      <c r="C69" s="1" t="s">
        <v>448</v>
      </c>
      <c r="D69" s="3" t="s">
        <v>28</v>
      </c>
      <c r="E69" s="1" t="s">
        <v>463</v>
      </c>
      <c r="F69" s="1"/>
      <c r="G69" s="1"/>
      <c r="H69" s="1"/>
      <c r="I69" s="1"/>
      <c r="J69" s="1"/>
    </row>
    <row r="70" spans="1:10" x14ac:dyDescent="0.3">
      <c r="A70" s="1" t="s">
        <v>141</v>
      </c>
      <c r="B70" s="6">
        <v>19</v>
      </c>
      <c r="C70" s="1" t="s">
        <v>447</v>
      </c>
      <c r="D70" s="3" t="s">
        <v>24</v>
      </c>
      <c r="E70" s="1"/>
      <c r="F70" s="1"/>
      <c r="G70" s="1"/>
      <c r="H70" s="1"/>
      <c r="I70" s="1"/>
      <c r="J70" s="1"/>
    </row>
    <row r="71" spans="1:10" x14ac:dyDescent="0.3">
      <c r="A71" s="1" t="s">
        <v>150</v>
      </c>
      <c r="B71" s="6">
        <v>19</v>
      </c>
      <c r="C71" s="1" t="s">
        <v>448</v>
      </c>
      <c r="D71" s="3" t="s">
        <v>24</v>
      </c>
      <c r="E71" s="1"/>
      <c r="F71" s="1"/>
      <c r="G71" s="1"/>
      <c r="H71" s="1"/>
      <c r="I71" s="1"/>
      <c r="J71" s="1"/>
    </row>
    <row r="72" spans="1:10" x14ac:dyDescent="0.3">
      <c r="A72" s="1" t="s">
        <v>151</v>
      </c>
      <c r="B72" s="6">
        <v>19</v>
      </c>
      <c r="C72" s="1" t="s">
        <v>13</v>
      </c>
      <c r="D72" s="3" t="s">
        <v>28</v>
      </c>
      <c r="E72" s="1"/>
      <c r="F72" s="1"/>
      <c r="G72" s="1"/>
      <c r="H72" s="1"/>
      <c r="I72" s="1"/>
      <c r="J72" s="1"/>
    </row>
    <row r="73" spans="1:10" x14ac:dyDescent="0.3">
      <c r="A73" s="1" t="s">
        <v>152</v>
      </c>
      <c r="B73" s="6">
        <v>19</v>
      </c>
      <c r="C73" s="1" t="s">
        <v>13</v>
      </c>
      <c r="D73" s="3" t="s">
        <v>24</v>
      </c>
      <c r="E73" s="1" t="s">
        <v>33</v>
      </c>
      <c r="F73" s="1"/>
      <c r="G73" s="1"/>
      <c r="H73" s="1"/>
      <c r="I73" s="1"/>
      <c r="J73" s="1"/>
    </row>
    <row r="74" spans="1:10" x14ac:dyDescent="0.3">
      <c r="A74" s="1" t="s">
        <v>146</v>
      </c>
      <c r="B74" s="6">
        <v>19</v>
      </c>
      <c r="C74" s="1" t="s">
        <v>447</v>
      </c>
      <c r="D74" s="3"/>
      <c r="E74" s="1"/>
      <c r="F74" s="1"/>
      <c r="G74" s="1"/>
      <c r="H74" s="1"/>
      <c r="I74" s="1"/>
      <c r="J74" s="1"/>
    </row>
    <row r="75" spans="1:10" x14ac:dyDescent="0.3">
      <c r="A75" s="1" t="s">
        <v>149</v>
      </c>
      <c r="B75" s="6">
        <v>19</v>
      </c>
      <c r="C75" s="1" t="s">
        <v>13</v>
      </c>
      <c r="D75" s="3" t="s">
        <v>16</v>
      </c>
      <c r="E75" s="1" t="s">
        <v>464</v>
      </c>
      <c r="F75" s="1"/>
      <c r="G75" s="1"/>
      <c r="H75" s="1"/>
      <c r="I75" s="1"/>
      <c r="J75" s="1"/>
    </row>
    <row r="76" spans="1:10" x14ac:dyDescent="0.3">
      <c r="A76" s="1" t="s">
        <v>198</v>
      </c>
      <c r="B76" s="6">
        <v>19</v>
      </c>
      <c r="C76" s="1" t="s">
        <v>448</v>
      </c>
      <c r="D76" s="3" t="s">
        <v>24</v>
      </c>
      <c r="E76" s="1" t="s">
        <v>89</v>
      </c>
      <c r="F76" s="1"/>
      <c r="G76" s="1"/>
      <c r="H76" s="1"/>
      <c r="I76" s="1"/>
      <c r="J76" s="1"/>
    </row>
    <row r="77" spans="1:10" x14ac:dyDescent="0.3">
      <c r="A77" s="1" t="s">
        <v>142</v>
      </c>
      <c r="B77" s="6">
        <v>19</v>
      </c>
      <c r="C77" s="1" t="s">
        <v>448</v>
      </c>
      <c r="D77" s="3" t="s">
        <v>24</v>
      </c>
      <c r="E77" s="1"/>
      <c r="F77" s="1"/>
      <c r="G77" s="1"/>
      <c r="H77" s="1"/>
      <c r="I77" s="1"/>
      <c r="J77" s="1"/>
    </row>
    <row r="78" spans="1:10" x14ac:dyDescent="0.3">
      <c r="A78" s="1" t="s">
        <v>175</v>
      </c>
      <c r="B78" s="6">
        <v>19</v>
      </c>
      <c r="C78" s="1" t="s">
        <v>13</v>
      </c>
      <c r="D78" s="3" t="s">
        <v>16</v>
      </c>
      <c r="E78" s="1"/>
      <c r="F78" s="1"/>
      <c r="G78" s="1"/>
      <c r="H78" s="1"/>
      <c r="I78" s="1"/>
      <c r="J78" s="1"/>
    </row>
    <row r="79" spans="1:10" x14ac:dyDescent="0.3">
      <c r="A79" s="1" t="s">
        <v>140</v>
      </c>
      <c r="B79" s="6">
        <v>19</v>
      </c>
      <c r="C79" s="1" t="s">
        <v>448</v>
      </c>
      <c r="D79" s="3"/>
      <c r="E79" s="1"/>
      <c r="F79" s="1"/>
      <c r="G79" s="1"/>
      <c r="H79" s="1"/>
      <c r="I79" s="1"/>
      <c r="J79" s="1"/>
    </row>
    <row r="80" spans="1:10" x14ac:dyDescent="0.3">
      <c r="A80" s="1" t="s">
        <v>144</v>
      </c>
      <c r="B80" s="6">
        <v>19</v>
      </c>
      <c r="C80" s="1" t="s">
        <v>447</v>
      </c>
      <c r="D80" s="3" t="s">
        <v>24</v>
      </c>
      <c r="E80" s="1"/>
      <c r="F80" s="1"/>
      <c r="G80" s="1"/>
      <c r="H80" s="1"/>
      <c r="I80" s="1"/>
      <c r="J80" s="1"/>
    </row>
    <row r="81" spans="1:10" x14ac:dyDescent="0.3">
      <c r="A81" s="1" t="s">
        <v>166</v>
      </c>
      <c r="B81" s="6">
        <v>20</v>
      </c>
      <c r="C81" s="1" t="s">
        <v>448</v>
      </c>
      <c r="D81" s="3"/>
      <c r="E81" s="1"/>
      <c r="F81" s="1"/>
      <c r="G81" s="1"/>
      <c r="H81" s="1"/>
      <c r="I81" s="1"/>
      <c r="J81" s="1"/>
    </row>
    <row r="82" spans="1:10" x14ac:dyDescent="0.3">
      <c r="A82" s="1" t="s">
        <v>393</v>
      </c>
      <c r="B82" s="6">
        <v>20</v>
      </c>
      <c r="C82" s="1" t="s">
        <v>447</v>
      </c>
      <c r="D82" s="3"/>
      <c r="E82" s="1"/>
      <c r="F82" s="1"/>
      <c r="G82" s="1"/>
      <c r="H82" s="1"/>
      <c r="I82" s="1"/>
      <c r="J82" s="1"/>
    </row>
    <row r="83" spans="1:10" x14ac:dyDescent="0.3">
      <c r="A83" s="1" t="s">
        <v>153</v>
      </c>
      <c r="B83" s="6">
        <v>20</v>
      </c>
      <c r="C83" s="1" t="s">
        <v>13</v>
      </c>
      <c r="D83" s="3" t="s">
        <v>47</v>
      </c>
      <c r="E83" s="1" t="s">
        <v>465</v>
      </c>
      <c r="F83" s="1"/>
      <c r="G83" s="1"/>
      <c r="H83" s="1"/>
      <c r="I83" s="1"/>
      <c r="J83" s="1"/>
    </row>
    <row r="84" spans="1:10" x14ac:dyDescent="0.3">
      <c r="A84" s="1" t="s">
        <v>158</v>
      </c>
      <c r="B84" s="6">
        <v>20</v>
      </c>
      <c r="C84" s="1" t="s">
        <v>448</v>
      </c>
      <c r="D84" s="3" t="s">
        <v>24</v>
      </c>
      <c r="E84" s="1" t="s">
        <v>466</v>
      </c>
      <c r="F84" s="1"/>
      <c r="G84" s="1"/>
      <c r="H84" s="1"/>
      <c r="I84" s="1"/>
      <c r="J84" s="1"/>
    </row>
    <row r="85" spans="1:10" x14ac:dyDescent="0.3">
      <c r="A85" s="1" t="s">
        <v>156</v>
      </c>
      <c r="B85" s="6">
        <v>20</v>
      </c>
      <c r="C85" s="1" t="s">
        <v>448</v>
      </c>
      <c r="D85" s="3" t="s">
        <v>28</v>
      </c>
      <c r="E85" s="1"/>
      <c r="F85" s="1"/>
      <c r="G85" s="1"/>
      <c r="H85" s="1"/>
      <c r="I85" s="1"/>
      <c r="J85" s="1"/>
    </row>
    <row r="86" spans="1:10" x14ac:dyDescent="0.3">
      <c r="A86" s="1" t="s">
        <v>167</v>
      </c>
      <c r="B86" s="6">
        <v>20</v>
      </c>
      <c r="C86" s="1" t="s">
        <v>448</v>
      </c>
      <c r="D86" s="3"/>
      <c r="E86" s="1"/>
      <c r="F86" s="1"/>
      <c r="G86" s="1"/>
      <c r="H86" s="1"/>
      <c r="I86" s="1"/>
      <c r="J86" s="1"/>
    </row>
    <row r="87" spans="1:10" x14ac:dyDescent="0.3">
      <c r="A87" s="1" t="s">
        <v>169</v>
      </c>
      <c r="B87" s="6">
        <v>20</v>
      </c>
      <c r="C87" s="1" t="s">
        <v>447</v>
      </c>
      <c r="D87" s="3" t="s">
        <v>24</v>
      </c>
      <c r="E87" s="1"/>
      <c r="F87" s="1"/>
      <c r="G87" s="1"/>
      <c r="H87" s="1"/>
      <c r="I87" s="1"/>
      <c r="J87" s="1"/>
    </row>
    <row r="88" spans="1:10" x14ac:dyDescent="0.3">
      <c r="A88" s="1" t="s">
        <v>396</v>
      </c>
      <c r="B88" s="6">
        <v>20</v>
      </c>
      <c r="C88" s="1" t="s">
        <v>467</v>
      </c>
      <c r="D88" s="3" t="s">
        <v>16</v>
      </c>
      <c r="E88" s="1" t="s">
        <v>468</v>
      </c>
      <c r="F88" s="1"/>
      <c r="G88" s="1"/>
      <c r="H88" s="1"/>
      <c r="I88" s="1"/>
      <c r="J88" s="1"/>
    </row>
    <row r="89" spans="1:10" x14ac:dyDescent="0.3">
      <c r="A89" s="1" t="s">
        <v>157</v>
      </c>
      <c r="B89" s="6">
        <v>20</v>
      </c>
      <c r="C89" s="1" t="s">
        <v>447</v>
      </c>
      <c r="D89" s="3" t="s">
        <v>24</v>
      </c>
      <c r="E89" s="1" t="s">
        <v>456</v>
      </c>
      <c r="F89" s="1"/>
      <c r="G89" s="1"/>
      <c r="H89" s="1"/>
      <c r="I89" s="1"/>
      <c r="J89" s="1"/>
    </row>
    <row r="90" spans="1:10" x14ac:dyDescent="0.3">
      <c r="A90" s="1" t="s">
        <v>200</v>
      </c>
      <c r="B90" s="3">
        <v>21</v>
      </c>
      <c r="C90" s="1" t="s">
        <v>447</v>
      </c>
      <c r="D90" s="3" t="s">
        <v>24</v>
      </c>
      <c r="E90" s="1"/>
      <c r="F90" s="1"/>
      <c r="G90" s="1"/>
      <c r="H90" s="1"/>
      <c r="I90" s="1"/>
      <c r="J90" s="1"/>
    </row>
    <row r="91" spans="1:10" x14ac:dyDescent="0.3">
      <c r="A91" s="1" t="s">
        <v>189</v>
      </c>
      <c r="B91" s="3">
        <v>21</v>
      </c>
      <c r="C91" s="1" t="s">
        <v>447</v>
      </c>
      <c r="D91" s="3" t="s">
        <v>24</v>
      </c>
      <c r="E91" s="1"/>
      <c r="F91" s="1"/>
      <c r="G91" s="1"/>
      <c r="H91" s="1"/>
      <c r="I91" s="1"/>
      <c r="J91" s="1"/>
    </row>
    <row r="92" spans="1:10" x14ac:dyDescent="0.3">
      <c r="A92" s="1" t="s">
        <v>171</v>
      </c>
      <c r="B92" s="3">
        <v>21</v>
      </c>
      <c r="C92" s="1" t="s">
        <v>447</v>
      </c>
      <c r="D92" s="3" t="s">
        <v>24</v>
      </c>
      <c r="E92" s="1" t="s">
        <v>48</v>
      </c>
      <c r="F92" s="1"/>
      <c r="G92" s="1"/>
      <c r="H92" s="1"/>
      <c r="I92" s="1"/>
      <c r="J92" s="1"/>
    </row>
    <row r="93" spans="1:10" x14ac:dyDescent="0.3">
      <c r="A93" s="1" t="s">
        <v>176</v>
      </c>
      <c r="B93" s="3">
        <v>21</v>
      </c>
      <c r="C93" s="1" t="s">
        <v>447</v>
      </c>
      <c r="D93" s="3" t="s">
        <v>24</v>
      </c>
      <c r="E93" s="1"/>
      <c r="F93" s="1"/>
      <c r="G93" s="1"/>
      <c r="H93" s="1"/>
      <c r="I93" s="1"/>
      <c r="J93" s="1"/>
    </row>
    <row r="94" spans="1:10" x14ac:dyDescent="0.3">
      <c r="A94" s="1" t="s">
        <v>191</v>
      </c>
      <c r="B94" s="3">
        <v>21</v>
      </c>
      <c r="C94" s="1" t="s">
        <v>13</v>
      </c>
      <c r="D94" s="3" t="s">
        <v>24</v>
      </c>
      <c r="E94" s="1"/>
      <c r="F94" s="1"/>
      <c r="G94" s="1"/>
      <c r="H94" s="1"/>
      <c r="I94" s="1"/>
      <c r="J94" s="1"/>
    </row>
    <row r="95" spans="1:10" x14ac:dyDescent="0.3">
      <c r="A95" s="1" t="s">
        <v>184</v>
      </c>
      <c r="B95" s="3">
        <v>21</v>
      </c>
      <c r="C95" s="1" t="s">
        <v>13</v>
      </c>
      <c r="D95" s="3" t="s">
        <v>116</v>
      </c>
      <c r="E95" s="1"/>
      <c r="F95" s="1"/>
      <c r="G95" s="1"/>
      <c r="H95" s="1"/>
      <c r="I95" s="1"/>
      <c r="J95" s="1"/>
    </row>
    <row r="96" spans="1:10" x14ac:dyDescent="0.3">
      <c r="A96" s="1" t="s">
        <v>197</v>
      </c>
      <c r="B96" s="3">
        <v>21</v>
      </c>
      <c r="C96" s="1" t="s">
        <v>13</v>
      </c>
      <c r="D96" s="3" t="s">
        <v>28</v>
      </c>
      <c r="E96" s="1"/>
      <c r="F96" s="1"/>
      <c r="G96" s="1"/>
      <c r="H96" s="1"/>
      <c r="I96" s="1"/>
      <c r="J96" s="1"/>
    </row>
    <row r="97" spans="1:10" x14ac:dyDescent="0.3">
      <c r="A97" s="1" t="s">
        <v>185</v>
      </c>
      <c r="B97" s="3">
        <v>21</v>
      </c>
      <c r="C97" s="1" t="s">
        <v>13</v>
      </c>
      <c r="D97" s="3" t="s">
        <v>28</v>
      </c>
      <c r="E97" s="1" t="s">
        <v>469</v>
      </c>
      <c r="F97" s="1"/>
      <c r="G97" s="1"/>
      <c r="H97" s="1"/>
      <c r="I97" s="1"/>
      <c r="J97" s="1"/>
    </row>
    <row r="98" spans="1:10" x14ac:dyDescent="0.3">
      <c r="A98" s="1" t="s">
        <v>195</v>
      </c>
      <c r="B98" s="6">
        <v>21</v>
      </c>
      <c r="C98" s="1" t="s">
        <v>13</v>
      </c>
      <c r="D98" s="3" t="s">
        <v>16</v>
      </c>
      <c r="E98" s="1" t="s">
        <v>81</v>
      </c>
      <c r="F98" s="1"/>
      <c r="G98" s="1"/>
      <c r="H98" s="1"/>
      <c r="I98" s="1"/>
      <c r="J98" s="1"/>
    </row>
    <row r="99" spans="1:10" x14ac:dyDescent="0.3">
      <c r="A99" s="1" t="s">
        <v>174</v>
      </c>
      <c r="B99" s="3">
        <v>21</v>
      </c>
      <c r="C99" s="1" t="s">
        <v>448</v>
      </c>
      <c r="D99" s="3" t="s">
        <v>24</v>
      </c>
      <c r="E99" s="1"/>
      <c r="F99" s="1"/>
      <c r="G99" s="1"/>
      <c r="H99" s="1"/>
      <c r="I99" s="1"/>
      <c r="J99" s="1"/>
    </row>
    <row r="100" spans="1:10" x14ac:dyDescent="0.3">
      <c r="A100" s="1" t="s">
        <v>199</v>
      </c>
      <c r="B100" s="3">
        <v>21</v>
      </c>
      <c r="C100" s="1" t="s">
        <v>448</v>
      </c>
      <c r="D100" s="3" t="s">
        <v>35</v>
      </c>
      <c r="E100" s="1" t="s">
        <v>470</v>
      </c>
      <c r="F100" s="1"/>
      <c r="G100" s="1"/>
      <c r="H100" s="1"/>
      <c r="I100" s="1"/>
      <c r="J100" s="1"/>
    </row>
    <row r="101" spans="1:10" x14ac:dyDescent="0.3">
      <c r="A101" s="1" t="s">
        <v>194</v>
      </c>
      <c r="B101" s="3">
        <v>21</v>
      </c>
      <c r="C101" s="1" t="s">
        <v>448</v>
      </c>
      <c r="D101" s="3" t="s">
        <v>47</v>
      </c>
      <c r="E101" s="1" t="s">
        <v>471</v>
      </c>
      <c r="F101" s="1"/>
      <c r="G101" s="1"/>
      <c r="H101" s="1"/>
      <c r="I101" s="1"/>
      <c r="J101" s="1"/>
    </row>
    <row r="102" spans="1:10" x14ac:dyDescent="0.3">
      <c r="A102" s="1" t="s">
        <v>178</v>
      </c>
      <c r="B102" s="6">
        <v>21</v>
      </c>
      <c r="C102" s="1" t="s">
        <v>165</v>
      </c>
      <c r="D102" s="6" t="s">
        <v>16</v>
      </c>
      <c r="E102" s="1" t="s">
        <v>468</v>
      </c>
      <c r="F102" s="6"/>
      <c r="G102" s="1"/>
      <c r="H102" s="6"/>
      <c r="I102" s="1"/>
      <c r="J102" s="6"/>
    </row>
    <row r="103" spans="1:10" x14ac:dyDescent="0.3">
      <c r="A103" s="1" t="s">
        <v>182</v>
      </c>
      <c r="B103" s="3">
        <v>21</v>
      </c>
      <c r="C103" s="1" t="s">
        <v>447</v>
      </c>
      <c r="D103" s="3" t="s">
        <v>28</v>
      </c>
      <c r="E103" s="1" t="s">
        <v>472</v>
      </c>
      <c r="F103" s="1"/>
      <c r="G103" s="1"/>
      <c r="H103" s="1"/>
      <c r="I103" s="1"/>
      <c r="J103" s="1"/>
    </row>
    <row r="104" spans="1:10" x14ac:dyDescent="0.3">
      <c r="A104" s="1" t="s">
        <v>412</v>
      </c>
      <c r="B104" s="6">
        <v>22</v>
      </c>
      <c r="C104" s="1" t="s">
        <v>13</v>
      </c>
      <c r="D104" s="3" t="s">
        <v>16</v>
      </c>
      <c r="E104" s="1"/>
      <c r="F104" s="1"/>
      <c r="G104" s="1"/>
      <c r="H104" s="1"/>
      <c r="I104" s="1"/>
      <c r="J104" s="1"/>
    </row>
    <row r="105" spans="1:10" x14ac:dyDescent="0.3">
      <c r="A105" s="1" t="s">
        <v>406</v>
      </c>
      <c r="B105" s="3">
        <v>22</v>
      </c>
      <c r="C105" s="1" t="s">
        <v>447</v>
      </c>
      <c r="D105" s="3" t="s">
        <v>24</v>
      </c>
      <c r="E105" s="1"/>
      <c r="F105" s="1"/>
      <c r="G105" s="1"/>
      <c r="H105" s="1"/>
      <c r="I105" s="1"/>
      <c r="J105" s="1"/>
    </row>
    <row r="106" spans="1:10" x14ac:dyDescent="0.3">
      <c r="A106" s="1" t="s">
        <v>409</v>
      </c>
      <c r="B106" s="3">
        <v>22</v>
      </c>
      <c r="C106" s="1" t="s">
        <v>447</v>
      </c>
      <c r="D106" s="3" t="s">
        <v>24</v>
      </c>
      <c r="E106" s="1" t="s">
        <v>473</v>
      </c>
      <c r="F106" s="1"/>
      <c r="G106" s="1"/>
      <c r="H106" s="1"/>
      <c r="I106" s="1"/>
      <c r="J106" s="1"/>
    </row>
    <row r="107" spans="1:10" x14ac:dyDescent="0.3">
      <c r="A107" s="1" t="s">
        <v>415</v>
      </c>
      <c r="B107" s="3">
        <v>22</v>
      </c>
      <c r="C107" s="1" t="s">
        <v>447</v>
      </c>
      <c r="D107" s="3" t="s">
        <v>16</v>
      </c>
      <c r="E107" s="1" t="s">
        <v>474</v>
      </c>
      <c r="F107" s="1"/>
      <c r="G107" s="1"/>
      <c r="H107" s="1"/>
      <c r="I107" s="1"/>
      <c r="J107" s="1"/>
    </row>
    <row r="108" spans="1:10" x14ac:dyDescent="0.3">
      <c r="A108" s="1" t="s">
        <v>417</v>
      </c>
      <c r="B108" s="3">
        <v>22</v>
      </c>
      <c r="C108" s="1" t="s">
        <v>13</v>
      </c>
      <c r="D108" s="3" t="s">
        <v>24</v>
      </c>
      <c r="E108" s="1"/>
      <c r="F108" s="1"/>
      <c r="G108" s="1"/>
      <c r="H108" s="1"/>
      <c r="I108" s="1"/>
      <c r="J108" s="1"/>
    </row>
    <row r="109" spans="1:10" x14ac:dyDescent="0.3">
      <c r="A109" s="1" t="s">
        <v>420</v>
      </c>
      <c r="B109" s="3">
        <v>22</v>
      </c>
      <c r="C109" s="1" t="s">
        <v>13</v>
      </c>
      <c r="D109" s="3" t="s">
        <v>24</v>
      </c>
      <c r="E109" s="1" t="s">
        <v>136</v>
      </c>
      <c r="F109" s="1"/>
      <c r="G109" s="1"/>
      <c r="H109" s="1"/>
      <c r="I109" s="1"/>
      <c r="J109" s="1"/>
    </row>
    <row r="110" spans="1:10" x14ac:dyDescent="0.3">
      <c r="A110" s="1" t="s">
        <v>402</v>
      </c>
      <c r="B110" s="3">
        <v>22</v>
      </c>
      <c r="C110" s="1" t="s">
        <v>13</v>
      </c>
      <c r="D110" s="3" t="s">
        <v>24</v>
      </c>
      <c r="E110" s="1"/>
      <c r="F110" s="1"/>
      <c r="G110" s="1"/>
      <c r="H110" s="1"/>
      <c r="I110" s="1"/>
      <c r="J110" s="1"/>
    </row>
    <row r="111" spans="1:10" x14ac:dyDescent="0.3">
      <c r="A111" s="1" t="s">
        <v>405</v>
      </c>
      <c r="B111" s="3">
        <v>22</v>
      </c>
      <c r="C111" s="1" t="s">
        <v>13</v>
      </c>
      <c r="D111" s="3" t="s">
        <v>16</v>
      </c>
      <c r="E111" s="1" t="s">
        <v>475</v>
      </c>
      <c r="F111" s="1"/>
      <c r="G111" s="1"/>
      <c r="H111" s="1"/>
      <c r="I111" s="1"/>
      <c r="J111" s="1"/>
    </row>
    <row r="112" spans="1:10" x14ac:dyDescent="0.3">
      <c r="A112" s="1" t="s">
        <v>411</v>
      </c>
      <c r="B112" s="3">
        <v>22</v>
      </c>
      <c r="C112" s="1" t="s">
        <v>13</v>
      </c>
      <c r="D112" s="3" t="s">
        <v>28</v>
      </c>
      <c r="E112" s="1" t="s">
        <v>476</v>
      </c>
      <c r="F112" s="1"/>
      <c r="G112" s="1"/>
      <c r="H112" s="1"/>
      <c r="I112" s="1"/>
      <c r="J112" s="1"/>
    </row>
    <row r="113" spans="1:10" x14ac:dyDescent="0.3">
      <c r="A113" s="1" t="s">
        <v>413</v>
      </c>
      <c r="B113" s="3">
        <v>22</v>
      </c>
      <c r="C113" s="1" t="s">
        <v>448</v>
      </c>
      <c r="D113" s="3" t="s">
        <v>110</v>
      </c>
      <c r="E113" s="1"/>
      <c r="F113" s="1"/>
      <c r="G113" s="1"/>
      <c r="H113" s="1"/>
      <c r="I113" s="1"/>
      <c r="J113" s="1"/>
    </row>
    <row r="114" spans="1:10" x14ac:dyDescent="0.3">
      <c r="A114" s="1" t="s">
        <v>401</v>
      </c>
      <c r="B114" s="3">
        <v>22</v>
      </c>
      <c r="C114" s="1" t="s">
        <v>448</v>
      </c>
      <c r="D114" s="3" t="s">
        <v>24</v>
      </c>
      <c r="E114" s="1"/>
      <c r="F114" s="1"/>
      <c r="G114" s="1"/>
      <c r="H114" s="1"/>
      <c r="I114" s="1"/>
      <c r="J114" s="1"/>
    </row>
    <row r="115" spans="1:10" x14ac:dyDescent="0.3">
      <c r="A115" s="1" t="s">
        <v>416</v>
      </c>
      <c r="B115" s="3">
        <v>22</v>
      </c>
      <c r="C115" s="1" t="s">
        <v>448</v>
      </c>
      <c r="D115" s="3" t="s">
        <v>16</v>
      </c>
      <c r="E115" s="1" t="s">
        <v>477</v>
      </c>
      <c r="F115" s="1"/>
      <c r="G115" s="1"/>
      <c r="H115" s="1"/>
      <c r="I115" s="1"/>
      <c r="J115" s="1"/>
    </row>
    <row r="116" spans="1:10" x14ac:dyDescent="0.3">
      <c r="A116" s="1" t="s">
        <v>407</v>
      </c>
      <c r="B116" s="3">
        <v>22</v>
      </c>
      <c r="C116" s="1" t="s">
        <v>448</v>
      </c>
      <c r="D116" s="3" t="s">
        <v>28</v>
      </c>
      <c r="E116" s="1"/>
      <c r="F116" s="1"/>
      <c r="G116" s="1"/>
      <c r="H116" s="1"/>
      <c r="I116" s="1"/>
      <c r="J116" s="1"/>
    </row>
    <row r="117" spans="1:10" x14ac:dyDescent="0.3">
      <c r="A117" s="1" t="s">
        <v>419</v>
      </c>
      <c r="B117" s="3">
        <v>22</v>
      </c>
      <c r="C117" s="1" t="s">
        <v>448</v>
      </c>
      <c r="D117" s="3" t="s">
        <v>24</v>
      </c>
      <c r="E117" s="1"/>
      <c r="F117" s="1"/>
      <c r="G117" s="1"/>
      <c r="H117" s="1"/>
      <c r="I117" s="1"/>
      <c r="J117" s="1"/>
    </row>
    <row r="118" spans="1:10" x14ac:dyDescent="0.3">
      <c r="A118" s="1" t="s">
        <v>422</v>
      </c>
      <c r="B118" s="3">
        <v>22</v>
      </c>
      <c r="C118" s="1" t="s">
        <v>448</v>
      </c>
      <c r="D118" s="3" t="s">
        <v>28</v>
      </c>
      <c r="E118" s="1" t="s">
        <v>478</v>
      </c>
      <c r="F118" s="1"/>
      <c r="G118" s="1"/>
      <c r="H118" s="1"/>
      <c r="I118" s="1"/>
      <c r="J118" s="1"/>
    </row>
    <row r="119" spans="1:10" x14ac:dyDescent="0.3">
      <c r="A119" s="1" t="s">
        <v>418</v>
      </c>
      <c r="B119" s="3">
        <v>22</v>
      </c>
      <c r="C119" s="1" t="s">
        <v>447</v>
      </c>
      <c r="D119" s="3" t="s">
        <v>16</v>
      </c>
      <c r="E119" s="1" t="s">
        <v>479</v>
      </c>
      <c r="F119" s="1"/>
      <c r="G119" s="1"/>
      <c r="H119" s="1"/>
      <c r="I119" s="1"/>
      <c r="J119" s="1"/>
    </row>
    <row r="120" spans="1:10" x14ac:dyDescent="0.3">
      <c r="A120" s="1" t="s">
        <v>421</v>
      </c>
      <c r="B120" s="3">
        <v>22</v>
      </c>
      <c r="C120" s="1" t="s">
        <v>447</v>
      </c>
      <c r="D120" s="3" t="s">
        <v>16</v>
      </c>
      <c r="E120" s="1"/>
      <c r="F120" s="1"/>
      <c r="G120" s="1"/>
      <c r="H120" s="1"/>
      <c r="I120" s="1"/>
      <c r="J120" s="1"/>
    </row>
    <row r="121" spans="1:10" x14ac:dyDescent="0.3">
      <c r="A121" s="1" t="s">
        <v>425</v>
      </c>
      <c r="B121" s="3">
        <v>23</v>
      </c>
      <c r="C121" s="1" t="s">
        <v>447</v>
      </c>
      <c r="D121" s="3" t="s">
        <v>16</v>
      </c>
      <c r="E121" s="1" t="s">
        <v>480</v>
      </c>
      <c r="F121" s="1"/>
      <c r="G121" s="1"/>
      <c r="H121" s="1"/>
      <c r="I121" s="1"/>
      <c r="J121" s="1"/>
    </row>
    <row r="122" spans="1:10" x14ac:dyDescent="0.3">
      <c r="A122" s="1" t="s">
        <v>428</v>
      </c>
      <c r="B122" s="3">
        <v>23</v>
      </c>
      <c r="C122" s="1" t="s">
        <v>447</v>
      </c>
      <c r="D122" s="3" t="s">
        <v>24</v>
      </c>
      <c r="E122" s="1"/>
      <c r="F122" s="1"/>
      <c r="G122" s="1"/>
      <c r="H122" s="1"/>
      <c r="I122" s="1"/>
      <c r="J122" s="1"/>
    </row>
    <row r="123" spans="1:10" x14ac:dyDescent="0.3">
      <c r="A123" s="1" t="s">
        <v>432</v>
      </c>
      <c r="B123" s="3">
        <v>23</v>
      </c>
      <c r="C123" s="1" t="s">
        <v>447</v>
      </c>
      <c r="D123" s="3" t="s">
        <v>116</v>
      </c>
      <c r="E123" s="1"/>
      <c r="F123" s="1"/>
      <c r="G123" s="1"/>
      <c r="H123" s="1"/>
      <c r="I123" s="1"/>
      <c r="J123" s="1"/>
    </row>
    <row r="124" spans="1:10" x14ac:dyDescent="0.3">
      <c r="A124" s="1" t="s">
        <v>435</v>
      </c>
      <c r="B124" s="3">
        <v>23</v>
      </c>
      <c r="C124" s="1" t="s">
        <v>447</v>
      </c>
      <c r="D124" s="3" t="s">
        <v>28</v>
      </c>
      <c r="E124" s="1" t="s">
        <v>481</v>
      </c>
      <c r="F124" s="1"/>
      <c r="G124" s="1"/>
      <c r="H124" s="1"/>
      <c r="I124" s="1"/>
      <c r="J124" s="1"/>
    </row>
    <row r="125" spans="1:10" x14ac:dyDescent="0.3">
      <c r="A125" s="1" t="s">
        <v>438</v>
      </c>
      <c r="B125" s="3">
        <v>23</v>
      </c>
      <c r="C125" s="1" t="s">
        <v>447</v>
      </c>
      <c r="D125" s="3" t="s">
        <v>28</v>
      </c>
      <c r="E125" s="1"/>
      <c r="F125" s="1"/>
      <c r="G125" s="1"/>
      <c r="H125" s="1"/>
      <c r="I125" s="1"/>
      <c r="J125" s="1"/>
    </row>
    <row r="126" spans="1:10" x14ac:dyDescent="0.3">
      <c r="A126" s="1" t="s">
        <v>441</v>
      </c>
      <c r="B126" s="3">
        <v>23</v>
      </c>
      <c r="C126" s="1" t="s">
        <v>447</v>
      </c>
      <c r="D126" s="3" t="s">
        <v>24</v>
      </c>
      <c r="E126" s="1"/>
      <c r="F126" s="1"/>
      <c r="G126" s="1"/>
      <c r="H126" s="1"/>
      <c r="I126" s="1"/>
      <c r="J126" s="1"/>
    </row>
    <row r="127" spans="1:10" x14ac:dyDescent="0.3">
      <c r="A127" s="1" t="s">
        <v>429</v>
      </c>
      <c r="B127" s="3">
        <v>23</v>
      </c>
      <c r="C127" s="1" t="s">
        <v>13</v>
      </c>
      <c r="D127" s="3" t="s">
        <v>16</v>
      </c>
      <c r="E127" s="1" t="s">
        <v>482</v>
      </c>
      <c r="F127" s="1"/>
      <c r="G127" s="1"/>
      <c r="H127" s="1"/>
      <c r="I127" s="1"/>
      <c r="J127" s="1"/>
    </row>
    <row r="128" spans="1:10" x14ac:dyDescent="0.3">
      <c r="A128" s="1" t="s">
        <v>423</v>
      </c>
      <c r="B128" s="3">
        <v>23</v>
      </c>
      <c r="C128" s="1" t="s">
        <v>448</v>
      </c>
      <c r="D128" s="3"/>
      <c r="E128" s="1"/>
      <c r="F128" s="1"/>
      <c r="G128" s="1"/>
      <c r="H128" s="1"/>
      <c r="I128" s="1"/>
      <c r="J128" s="1"/>
    </row>
    <row r="129" spans="1:10" x14ac:dyDescent="0.3">
      <c r="A129" s="1" t="s">
        <v>424</v>
      </c>
      <c r="B129" s="3">
        <v>23</v>
      </c>
      <c r="C129" s="1" t="s">
        <v>13</v>
      </c>
      <c r="D129" s="3" t="s">
        <v>47</v>
      </c>
      <c r="E129" s="1" t="s">
        <v>483</v>
      </c>
      <c r="F129" s="1"/>
      <c r="G129" s="1"/>
      <c r="H129" s="1"/>
      <c r="I129" s="1"/>
      <c r="J129" s="1"/>
    </row>
    <row r="130" spans="1:10" x14ac:dyDescent="0.3">
      <c r="A130" s="1" t="s">
        <v>426</v>
      </c>
      <c r="B130" s="3">
        <v>23</v>
      </c>
      <c r="C130" s="1" t="s">
        <v>448</v>
      </c>
      <c r="D130" s="3" t="s">
        <v>24</v>
      </c>
      <c r="E130" s="1"/>
      <c r="F130" s="1"/>
      <c r="G130" s="1"/>
      <c r="H130" s="1"/>
      <c r="I130" s="1"/>
      <c r="J130" s="1"/>
    </row>
    <row r="131" spans="1:10" x14ac:dyDescent="0.3">
      <c r="A131" s="1" t="s">
        <v>427</v>
      </c>
      <c r="B131" s="3">
        <v>23</v>
      </c>
      <c r="C131" s="1" t="s">
        <v>13</v>
      </c>
      <c r="D131" s="3" t="s">
        <v>16</v>
      </c>
      <c r="E131" s="1" t="s">
        <v>484</v>
      </c>
      <c r="F131" s="1"/>
      <c r="G131" s="1"/>
      <c r="H131" s="1"/>
      <c r="I131" s="1"/>
      <c r="J131" s="1"/>
    </row>
    <row r="132" spans="1:10" x14ac:dyDescent="0.3">
      <c r="A132" s="1" t="s">
        <v>430</v>
      </c>
      <c r="B132" s="3">
        <v>23</v>
      </c>
      <c r="C132" s="1" t="s">
        <v>448</v>
      </c>
      <c r="D132" s="3" t="s">
        <v>24</v>
      </c>
      <c r="E132" s="1"/>
      <c r="F132" s="1"/>
      <c r="G132" s="1"/>
      <c r="H132" s="1"/>
      <c r="I132" s="1"/>
      <c r="J132" s="1"/>
    </row>
    <row r="133" spans="1:10" x14ac:dyDescent="0.3">
      <c r="A133" s="1" t="s">
        <v>431</v>
      </c>
      <c r="B133" s="3">
        <v>23</v>
      </c>
      <c r="C133" s="1" t="s">
        <v>13</v>
      </c>
      <c r="D133" s="3" t="s">
        <v>35</v>
      </c>
      <c r="E133" s="1" t="s">
        <v>485</v>
      </c>
      <c r="F133" s="1"/>
      <c r="G133" s="1"/>
      <c r="H133" s="1"/>
      <c r="I133" s="1"/>
      <c r="J133" s="1"/>
    </row>
    <row r="134" spans="1:10" x14ac:dyDescent="0.3">
      <c r="A134" s="1" t="s">
        <v>444</v>
      </c>
      <c r="B134" s="3">
        <v>23</v>
      </c>
      <c r="C134" s="1" t="s">
        <v>447</v>
      </c>
      <c r="D134" s="3" t="s">
        <v>35</v>
      </c>
      <c r="E134" s="1" t="s">
        <v>486</v>
      </c>
      <c r="F134" s="1"/>
      <c r="G134" s="1"/>
      <c r="H134" s="1"/>
      <c r="I134" s="1"/>
      <c r="J134" s="1"/>
    </row>
    <row r="135" spans="1:10" x14ac:dyDescent="0.3">
      <c r="A135" s="1" t="s">
        <v>433</v>
      </c>
      <c r="B135" s="3">
        <v>23</v>
      </c>
      <c r="C135" s="1" t="s">
        <v>448</v>
      </c>
      <c r="D135" s="3" t="s">
        <v>47</v>
      </c>
      <c r="E135" s="1" t="s">
        <v>487</v>
      </c>
      <c r="F135" s="1"/>
      <c r="G135" s="1"/>
      <c r="H135" s="1"/>
      <c r="I135" s="1"/>
      <c r="J135" s="1"/>
    </row>
    <row r="136" spans="1:10" x14ac:dyDescent="0.3">
      <c r="A136" s="1" t="s">
        <v>434</v>
      </c>
      <c r="B136" s="3">
        <v>23</v>
      </c>
      <c r="C136" s="1" t="s">
        <v>13</v>
      </c>
      <c r="D136" s="3" t="s">
        <v>16</v>
      </c>
      <c r="E136" s="1" t="s">
        <v>488</v>
      </c>
      <c r="F136" s="1"/>
      <c r="G136" s="1"/>
      <c r="H136" s="1"/>
      <c r="I136" s="1"/>
      <c r="J136" s="1"/>
    </row>
    <row r="137" spans="1:10" x14ac:dyDescent="0.3">
      <c r="A137" s="1" t="s">
        <v>436</v>
      </c>
      <c r="B137" s="3">
        <v>23</v>
      </c>
      <c r="C137" s="1" t="s">
        <v>448</v>
      </c>
      <c r="D137" s="3" t="s">
        <v>16</v>
      </c>
      <c r="E137" s="1" t="s">
        <v>489</v>
      </c>
      <c r="F137" s="1"/>
      <c r="G137" s="1"/>
      <c r="H137" s="1"/>
      <c r="I137" s="1"/>
      <c r="J137" s="1"/>
    </row>
    <row r="138" spans="1:10" x14ac:dyDescent="0.3">
      <c r="A138" s="1" t="s">
        <v>437</v>
      </c>
      <c r="B138" s="3">
        <v>23</v>
      </c>
      <c r="C138" s="1" t="s">
        <v>13</v>
      </c>
      <c r="D138" s="3" t="s">
        <v>24</v>
      </c>
      <c r="E138" s="1"/>
      <c r="F138" s="1"/>
      <c r="G138" s="1"/>
      <c r="H138" s="1"/>
      <c r="I138" s="1"/>
      <c r="J138" s="1"/>
    </row>
    <row r="139" spans="1:10" x14ac:dyDescent="0.3">
      <c r="A139" s="1" t="s">
        <v>439</v>
      </c>
      <c r="B139" s="3">
        <v>23</v>
      </c>
      <c r="C139" s="1" t="s">
        <v>448</v>
      </c>
      <c r="D139" s="3"/>
      <c r="E139" s="1"/>
      <c r="F139" s="1"/>
      <c r="G139" s="1"/>
      <c r="H139" s="1"/>
      <c r="I139" s="1"/>
      <c r="J139" s="1"/>
    </row>
    <row r="140" spans="1:10" x14ac:dyDescent="0.3">
      <c r="A140" s="1" t="s">
        <v>440</v>
      </c>
      <c r="B140" s="3">
        <v>23</v>
      </c>
      <c r="C140" s="1" t="s">
        <v>13</v>
      </c>
      <c r="D140" s="3" t="s">
        <v>28</v>
      </c>
      <c r="E140" s="1"/>
      <c r="F140" s="1"/>
      <c r="G140" s="1"/>
      <c r="H140" s="1"/>
      <c r="I140" s="1"/>
      <c r="J140" s="1"/>
    </row>
    <row r="141" spans="1:10" x14ac:dyDescent="0.3">
      <c r="A141" s="1" t="s">
        <v>442</v>
      </c>
      <c r="B141" s="3">
        <v>23</v>
      </c>
      <c r="C141" s="1" t="s">
        <v>448</v>
      </c>
      <c r="D141" s="3" t="s">
        <v>24</v>
      </c>
      <c r="E141" s="1"/>
      <c r="F141" s="1"/>
      <c r="G141" s="1"/>
      <c r="H141" s="1"/>
      <c r="I141" s="1"/>
      <c r="J141" s="1"/>
    </row>
    <row r="142" spans="1:10" x14ac:dyDescent="0.3">
      <c r="A142" s="1" t="s">
        <v>443</v>
      </c>
      <c r="B142" s="3">
        <v>23</v>
      </c>
      <c r="C142" s="1" t="s">
        <v>13</v>
      </c>
      <c r="D142" s="3" t="s">
        <v>24</v>
      </c>
      <c r="E142" s="1"/>
      <c r="F142" s="1"/>
      <c r="G142" s="1"/>
      <c r="H142" s="1"/>
      <c r="I142" s="1"/>
      <c r="J142" s="1"/>
    </row>
    <row r="143" spans="1:10" x14ac:dyDescent="0.3">
      <c r="A143" s="1" t="s">
        <v>445</v>
      </c>
      <c r="B143" s="3">
        <v>23</v>
      </c>
      <c r="C143" s="1" t="s">
        <v>13</v>
      </c>
      <c r="D143" s="3" t="s">
        <v>35</v>
      </c>
      <c r="E143" s="1"/>
      <c r="F143" s="1"/>
      <c r="G143" s="1"/>
      <c r="H143" s="1"/>
      <c r="I143" s="1"/>
      <c r="J143" s="1"/>
    </row>
    <row r="144" spans="1:10" x14ac:dyDescent="0.3">
      <c r="A144" s="1" t="s">
        <v>446</v>
      </c>
      <c r="B144" s="3">
        <v>23</v>
      </c>
      <c r="C144" s="1" t="s">
        <v>13</v>
      </c>
      <c r="D144" s="3" t="s">
        <v>16</v>
      </c>
      <c r="E144" s="1" t="s">
        <v>490</v>
      </c>
      <c r="F144" s="1"/>
      <c r="G144" s="1"/>
      <c r="H144" s="1"/>
      <c r="I144" s="1"/>
      <c r="J144" s="1"/>
    </row>
    <row r="145" spans="1:10" x14ac:dyDescent="0.3">
      <c r="A145" s="1" t="s">
        <v>204</v>
      </c>
      <c r="B145" s="3" t="s">
        <v>205</v>
      </c>
      <c r="C145" s="1" t="s">
        <v>13</v>
      </c>
      <c r="D145" s="3" t="s">
        <v>16</v>
      </c>
      <c r="E145" s="1" t="s">
        <v>491</v>
      </c>
      <c r="F145" s="1"/>
      <c r="G145" s="1"/>
      <c r="H145" s="1"/>
      <c r="I145" s="1"/>
      <c r="J145" s="1"/>
    </row>
    <row r="146" spans="1:10" x14ac:dyDescent="0.3">
      <c r="A146" s="1" t="s">
        <v>202</v>
      </c>
      <c r="B146" s="6" t="s">
        <v>203</v>
      </c>
      <c r="C146" s="1" t="s">
        <v>447</v>
      </c>
      <c r="D146" s="6" t="s">
        <v>24</v>
      </c>
      <c r="E146" s="1"/>
      <c r="F146" s="1"/>
      <c r="G146" s="1"/>
      <c r="H146" s="1"/>
      <c r="I146" s="1"/>
      <c r="J146" s="1"/>
    </row>
    <row r="147" spans="1:10" x14ac:dyDescent="0.3">
      <c r="A147" s="33" t="s">
        <v>210</v>
      </c>
      <c r="B147" s="93" t="s">
        <v>203</v>
      </c>
      <c r="C147" s="33" t="s">
        <v>13</v>
      </c>
      <c r="D147" s="48" t="s">
        <v>47</v>
      </c>
      <c r="E147" s="33" t="s">
        <v>492</v>
      </c>
      <c r="F147" s="1"/>
      <c r="G147" s="1"/>
      <c r="H147" s="1"/>
      <c r="I147" s="1"/>
      <c r="J147" s="1"/>
    </row>
    <row r="148" spans="1:10" x14ac:dyDescent="0.3">
      <c r="A148" s="9" t="s">
        <v>209</v>
      </c>
      <c r="B148" s="14"/>
      <c r="C148" s="9" t="s">
        <v>13</v>
      </c>
      <c r="D148" s="14" t="s">
        <v>24</v>
      </c>
      <c r="E148" s="9"/>
      <c r="F148" s="56"/>
      <c r="G148" s="1"/>
      <c r="H148" s="1"/>
      <c r="I148" s="1"/>
      <c r="J148" s="1"/>
    </row>
    <row r="149" spans="1:10" ht="21" x14ac:dyDescent="0.4">
      <c r="A149" s="128" t="s">
        <v>211</v>
      </c>
      <c r="B149" s="129"/>
      <c r="C149" s="130"/>
      <c r="D149" s="260">
        <f>+COUNTIF(D3:D148,"OK")</f>
        <v>26</v>
      </c>
      <c r="E149" s="131"/>
      <c r="F149" s="79"/>
    </row>
  </sheetData>
  <autoFilter ref="A2:J148" xr:uid="{C39693AE-0C34-44CF-A948-382F5A791264}"/>
  <mergeCells count="1">
    <mergeCell ref="B1:E1"/>
  </mergeCells>
  <conditionalFormatting sqref="A76">
    <cfRule type="expression" dxfId="59" priority="1238">
      <formula>COUNTIF($B76:Y76, "A")</formula>
    </cfRule>
    <cfRule type="expression" dxfId="58" priority="1239">
      <formula>COUNTIF($A76:Y76, "NI")</formula>
    </cfRule>
  </conditionalFormatting>
  <conditionalFormatting sqref="A117">
    <cfRule type="expression" dxfId="57" priority="57">
      <formula>COUNTIF($B117:Y117, "A")</formula>
    </cfRule>
    <cfRule type="expression" dxfId="56" priority="58">
      <formula>COUNTIF($A117:Y117, "NI")</formula>
    </cfRule>
  </conditionalFormatting>
  <conditionalFormatting sqref="A4:B4 A7:B7 A39:B46 A48:B48 A56:B58 A67:B67 A74:B74 A79:B79 A89:B89 A118:B118 A34:B34 A35:A37 B37 B49:B51 A49:A54 B53:B54 A60:B61">
    <cfRule type="expression" dxfId="55" priority="71">
      <formula>COUNTIF($A4:Y4, "NI")</formula>
    </cfRule>
  </conditionalFormatting>
  <conditionalFormatting sqref="A4:B4 A7:B7 A44:B44 A46:B46 A48:B48 A58:B58 A67:B67 A74:B74 A118:B118">
    <cfRule type="expression" dxfId="54" priority="1245">
      <formula>COUNTIF($B4:Y4, "Q")</formula>
    </cfRule>
    <cfRule type="expression" dxfId="53" priority="1246">
      <formula>COUNTIF($B4:Y4, "M")</formula>
    </cfRule>
  </conditionalFormatting>
  <conditionalFormatting sqref="A4:B5 A7:B7 A10:B10 A21:B21 A44:B44 A46:B46 A48:B48 A55:B55 A58:B59 A67:B69 A72:B72 A74:B74 A79:B79 A89:B89 A118:B118 B119">
    <cfRule type="expression" dxfId="52" priority="52">
      <formula>COUNTIF($B4:Y4, "A")</formula>
    </cfRule>
  </conditionalFormatting>
  <conditionalFormatting sqref="A4:B5 A58:B59 A67:B69 A10:B10 A21:B21 A55:B55 A72:B72 B119">
    <cfRule type="expression" dxfId="51" priority="1272">
      <formula>COUNTIF($B4:Y4, "C")</formula>
    </cfRule>
  </conditionalFormatting>
  <conditionalFormatting sqref="A5:B5 A10:B10 A21:B21 A55:B55 A59:B59 A68:B69 A72:B72 B119">
    <cfRule type="expression" dxfId="50" priority="1273">
      <formula>COUNTIF($B5:Y5, "Q")</formula>
    </cfRule>
    <cfRule type="expression" dxfId="49" priority="1274">
      <formula>COUNTIF($B5:Y5, "M")</formula>
    </cfRule>
    <cfRule type="expression" dxfId="48" priority="1275">
      <formula>COUNTIF($A5:Y5, "NI")</formula>
    </cfRule>
  </conditionalFormatting>
  <conditionalFormatting sqref="A7:B7 A44:B44 A46:B46 A48:B48 A74:B74 A118:B118">
    <cfRule type="expression" dxfId="47" priority="1304">
      <formula>COUNTIF($B7:Y7, "C")</formula>
    </cfRule>
  </conditionalFormatting>
  <conditionalFormatting sqref="A13:B13 A47:B47 A120:B120 A122:B141 A143:B147">
    <cfRule type="expression" dxfId="46" priority="1315">
      <formula>COUNTIF($B13:X13, "Q")</formula>
    </cfRule>
    <cfRule type="expression" dxfId="45" priority="1314">
      <formula>COUNTIF($B13:X13, "C")</formula>
    </cfRule>
    <cfRule type="expression" dxfId="44" priority="1316">
      <formula>COUNTIF($B13:X13, "M")</formula>
    </cfRule>
    <cfRule type="expression" dxfId="43" priority="1317">
      <formula>COUNTIF($B13:X13, "A")</formula>
    </cfRule>
    <cfRule type="expression" dxfId="42" priority="1318">
      <formula>COUNTIF($A13:X13, "NI")</formula>
    </cfRule>
  </conditionalFormatting>
  <conditionalFormatting sqref="A25:B25">
    <cfRule type="expression" dxfId="41" priority="1319">
      <formula>COUNTIF($A25:G25, "NI")</formula>
    </cfRule>
  </conditionalFormatting>
  <conditionalFormatting sqref="A31:B31">
    <cfRule type="expression" dxfId="40" priority="12">
      <formula>COUNTIF($B31:Y31, "Q")</formula>
    </cfRule>
    <cfRule type="expression" dxfId="39" priority="13">
      <formula>COUNTIF($B31:Y31, "M")</formula>
    </cfRule>
    <cfRule type="expression" dxfId="38" priority="14">
      <formula>COUNTIF($B31:Y31, "A")</formula>
    </cfRule>
    <cfRule type="expression" dxfId="37" priority="15">
      <formula>COUNTIF($A31:Y31, "NI")</formula>
    </cfRule>
    <cfRule type="expression" dxfId="36" priority="11">
      <formula>COUNTIF($B31:Y31, "C")</formula>
    </cfRule>
  </conditionalFormatting>
  <conditionalFormatting sqref="A38:B38">
    <cfRule type="expression" dxfId="35" priority="4">
      <formula>COUNTIF($B38:Y38, "A")</formula>
    </cfRule>
    <cfRule type="expression" dxfId="34" priority="3">
      <formula>COUNTIF($B38:Y38, "M")</formula>
    </cfRule>
    <cfRule type="expression" dxfId="33" priority="2">
      <formula>COUNTIF($B38:Y38, "Q")</formula>
    </cfRule>
    <cfRule type="expression" dxfId="32" priority="1">
      <formula>COUNTIF($B38:Y38, "C")</formula>
    </cfRule>
    <cfRule type="expression" dxfId="31" priority="5">
      <formula>COUNTIF($A38:Y38, "NI")</formula>
    </cfRule>
  </conditionalFormatting>
  <conditionalFormatting sqref="A104:B104">
    <cfRule type="expression" dxfId="30" priority="10">
      <formula>COUNTIF($A104:Y104, "NI")</formula>
    </cfRule>
    <cfRule type="expression" dxfId="29" priority="9">
      <formula>COUNTIF($B104:Y104, "A")</formula>
    </cfRule>
  </conditionalFormatting>
  <conditionalFormatting sqref="A113:B113">
    <cfRule type="expression" dxfId="28" priority="1334">
      <formula>COUNTIF($B112:Y112, "A")</formula>
    </cfRule>
    <cfRule type="expression" dxfId="27" priority="1335">
      <formula>COUNTIF($A112:Y112, "NI")</formula>
    </cfRule>
  </conditionalFormatting>
  <conditionalFormatting sqref="A121:B121">
    <cfRule type="expression" dxfId="26" priority="19">
      <formula>COUNTIF($B121:Y121, "A")</formula>
    </cfRule>
    <cfRule type="expression" dxfId="25" priority="20">
      <formula>COUNTIF($A121:Y121, "NI")</formula>
    </cfRule>
  </conditionalFormatting>
  <conditionalFormatting sqref="A142:XFD142">
    <cfRule type="expression" dxfId="24" priority="25">
      <formula>COUNTIF($A142:Y142, "NI")</formula>
    </cfRule>
    <cfRule type="expression" dxfId="23" priority="24">
      <formula>COUNTIF($B142:Y142, "A")</formula>
    </cfRule>
  </conditionalFormatting>
  <conditionalFormatting sqref="B25">
    <cfRule type="expression" dxfId="22" priority="1341">
      <formula>COUNTIF($B25:G25, "C")</formula>
    </cfRule>
    <cfRule type="expression" dxfId="21" priority="1342">
      <formula>COUNTIF($B25:G25, "Q")</formula>
    </cfRule>
    <cfRule type="expression" dxfId="20" priority="1343">
      <formula>COUNTIF($B25:G25, "M")</formula>
    </cfRule>
    <cfRule type="expression" dxfId="19" priority="1344">
      <formula>COUNTIF($B25:G25, "A")</formula>
    </cfRule>
  </conditionalFormatting>
  <conditionalFormatting sqref="B34 A35 B37 B39:B43 B45 B49:B51 A52 B53:B54 B56:B57 B60:B61">
    <cfRule type="expression" dxfId="18" priority="1191">
      <formula>COUNTIF($B34:Y34, "Q")</formula>
    </cfRule>
    <cfRule type="expression" dxfId="17" priority="1192">
      <formula>COUNTIF($B34:Y34, "M")</formula>
    </cfRule>
    <cfRule type="expression" dxfId="16" priority="1193">
      <formula>COUNTIF($B34:Y34, "A")</formula>
    </cfRule>
    <cfRule type="expression" dxfId="15" priority="1190">
      <formula>COUNTIF($B34:Y34, "C")</formula>
    </cfRule>
  </conditionalFormatting>
  <conditionalFormatting sqref="B79 B89">
    <cfRule type="expression" dxfId="14" priority="1356">
      <formula>COUNTIF($B79:Z79, "C")</formula>
    </cfRule>
    <cfRule type="expression" dxfId="13" priority="1357">
      <formula>COUNTIF($B79:Z79, "Q")</formula>
    </cfRule>
    <cfRule type="expression" dxfId="12" priority="1358">
      <formula>COUNTIF($B79:Z79, "M")</formula>
    </cfRule>
  </conditionalFormatting>
  <conditionalFormatting sqref="B104">
    <cfRule type="expression" dxfId="11" priority="8">
      <formula>COUNTIF($B104:Z104, "M")</formula>
    </cfRule>
    <cfRule type="expression" dxfId="10" priority="7">
      <formula>COUNTIF($B104:Z104, "Q")</formula>
    </cfRule>
    <cfRule type="expression" dxfId="9" priority="6">
      <formula>COUNTIF($B104:Z104, "C")</formula>
    </cfRule>
  </conditionalFormatting>
  <conditionalFormatting sqref="B113">
    <cfRule type="expression" dxfId="8" priority="1353">
      <formula>COUNTIF($B112:Z112, "C")</formula>
    </cfRule>
    <cfRule type="expression" dxfId="7" priority="1354">
      <formula>COUNTIF($B112:Z112, "Q")</formula>
    </cfRule>
    <cfRule type="expression" dxfId="6" priority="1355">
      <formula>COUNTIF($B112:Z112, "M")</formula>
    </cfRule>
  </conditionalFormatting>
  <conditionalFormatting sqref="B121">
    <cfRule type="expression" dxfId="5" priority="18">
      <formula>COUNTIF($B121:Z121, "M")</formula>
    </cfRule>
    <cfRule type="expression" dxfId="4" priority="17">
      <formula>COUNTIF($B121:Z121, "Q")</formula>
    </cfRule>
    <cfRule type="expression" dxfId="3" priority="16">
      <formula>COUNTIF($B121:Z121, "C")</formula>
    </cfRule>
  </conditionalFormatting>
  <pageMargins left="0.7" right="0.7" top="0.75" bottom="0.75" header="0.3" footer="0.3"/>
  <pageSetup orientation="portrait" horizontalDpi="360" verticalDpi="360"/>
  <extLst>
    <ext xmlns:x14="http://schemas.microsoft.com/office/spreadsheetml/2009/9/main" uri="{78C0D931-6437-407d-A8EE-F0AAD7539E65}">
      <x14:conditionalFormattings>
        <x14:conditionalFormatting xmlns:xm="http://schemas.microsoft.com/office/excel/2006/main">
          <x14:cfRule type="expression" priority="23" id="{D3AB50C2-0A77-4EB5-B195-49616B19A808}">
            <xm:f>COUNTIF($B142:Z142, "M")</xm:f>
            <x14:dxf>
              <fill>
                <patternFill>
                  <bgColor rgb="FFFFC000"/>
                </patternFill>
              </fill>
            </x14:dxf>
          </x14:cfRule>
          <x14:cfRule type="expression" priority="22" id="{CDDA3923-37A1-42F1-90EA-2AF17044ED13}">
            <xm:f>COUNTIF($B142:Z142, "Q")</xm:f>
            <x14:dxf>
              <fill>
                <patternFill>
                  <bgColor rgb="FF7030A0"/>
                </patternFill>
              </fill>
            </x14:dxf>
          </x14:cfRule>
          <x14:cfRule type="expression" priority="21" id="{53B465C2-A420-4591-A5B8-9DCFB99A633F}">
            <xm:f>COUNTIF($B142:Z142, "C")</xm:f>
            <x14:dxf>
              <fill>
                <patternFill>
                  <fgColor theme="1"/>
                  <bgColor rgb="FF92D050"/>
                </patternFill>
              </fill>
            </x14:dxf>
          </x14:cfRule>
          <xm:sqref>B142 D142 F142 H142 J142 L142 N142 P142 R142 T142 V142 X142 Z142 AB142 AD142 AF142 AH142 AJ142 AL142 AN142 AP142 AR142 AT142 AV142 AX142 AZ142 BB142 BD142 BF142 BH142 BJ142 BL142 BN142 BP142 BR142 BT142 BV142 BX142 BZ142 CB142 CD142 CF142 CH142 CJ142 CL142 CN142 CP142 CR142 CT142 CV142 CX142 CZ142 DB142 DD142 DF142 DH142 DJ142 DL142 DN142 DP142 DR142 DT142 DV142 DX142 DZ142 EB142 ED142 EF142 EH142 EJ142 EL142 EN142 EP142 ER142 ET142 EV142 EX142 EZ142 FB142 FD142 FF142 FH142 FJ142 FL142 FN142 FP142 FR142 FT142 FV142 FX142 FZ142 GB142 GD142 GF142 GH142 GJ142 GL142 GN142 GP142 GR142 GT142 GV142 GX142 GZ142 HB142 HD142 HF142 HH142 HJ142 HL142 HN142 HP142 HR142 HT142 HV142 HX142 HZ142 IB142 ID142 IF142 IH142 IJ142 IL142 IN142 IP142 IR142 IT142 IV142 IX142 IZ142 JB142 JD142 JF142 JH142 JJ142 JL142 JN142 JP142 JR142 JT142 JV142 JX142 JZ142 KB142 KD142 KF142 KH142 KJ142 KL142 KN142 KP142 KR142 KT142 KV142 KX142 KZ142 LB142 LD142 LF142 LH142 LJ142 LL142 LN142 LP142 LR142 LT142 LV142 LX142 LZ142 MB142 MD142 MF142 MH142 MJ142 ML142 MN142 MP142 MR142 MT142 MV142 MX142 MZ142 NB142 ND142 NF142 NH142 NJ142 NL142 NN142 NP142 NR142 NT142 NV142 NX142 NZ142 OB142 OD142 OF142 OH142 OJ142 OL142 ON142 OP142 OR142 OT142 OV142 OX142 OZ142 PB142 PD142 PF142 PH142 PJ142 PL142 PN142 PP142 PR142 PT142 PV142 PX142 PZ142 QB142 QD142 QF142 QH142 QJ142 QL142 QN142 QP142 QR142 QT142 QV142 QX142 QZ142 RB142 RD142 RF142 RH142 RJ142 RL142 RN142 RP142 RR142 RT142 RV142 RX142 RZ142 SB142 SD142 SF142 SH142 SJ142 SL142 SN142 SP142 SR142 ST142 SV142 SX142 SZ142 TB142 TD142 TF142 TH142 TJ142 TL142 TN142 TP142 TR142 TT142 TV142 TX142 TZ142 UB142 UD142 UF142 UH142 UJ142 UL142 UN142 UP142 UR142 UT142 UV142 UX142 UZ142 VB142 VD142 VF142 VH142 VJ142 VL142 VN142 VP142 VR142 VT142 VV142 VX142 VZ142 WB142 WD142 WF142 WH142 WJ142 WL142 WN142 WP142 WR142 WT142 WV142 WX142 WZ142 XB142 XD142 XF142 XH142 XJ142 XL142 XN142 XP142 XR142 XT142 XV142 XX142 XZ142 YB142 YD142 YF142 YH142 YJ142 YL142 YN142 YP142 YR142 YT142 YV142 YX142 YZ142 ZB142 ZD142 ZF142 ZH142 ZJ142 ZL142 ZN142 ZP142 ZR142 ZT142 ZV142 ZX142 ZZ142 AAB142 AAD142 AAF142 AAH142 AAJ142 AAL142 AAN142 AAP142 AAR142 AAT142 AAV142 AAX142 AAZ142 ABB142 ABD142 ABF142 ABH142 ABJ142 ABL142 ABN142 ABP142 ABR142 ABT142 ABV142 ABX142 ABZ142 ACB142 ACD142 ACF142 ACH142 ACJ142 ACL142 ACN142 ACP142 ACR142 ACT142 ACV142 ACX142 ACZ142 ADB142 ADD142 ADF142 ADH142 ADJ142 ADL142 ADN142 ADP142 ADR142 ADT142 ADV142 ADX142 ADZ142 AEB142 AED142 AEF142 AEH142 AEJ142 AEL142 AEN142 AEP142 AER142 AET142 AEV142 AEX142 AEZ142 AFB142 AFD142 AFF142 AFH142 AFJ142 AFL142 AFN142 AFP142 AFR142 AFT142 AFV142 AFX142 AFZ142 AGB142 AGD142 AGF142 AGH142 AGJ142 AGL142 AGN142 AGP142 AGR142 AGT142 AGV142 AGX142 AGZ142 AHB142 AHD142 AHF142 AHH142 AHJ142 AHL142 AHN142 AHP142 AHR142 AHT142 AHV142 AHX142 AHZ142 AIB142 AID142 AIF142 AIH142 AIJ142 AIL142 AIN142 AIP142 AIR142 AIT142 AIV142 AIX142 AIZ142 AJB142 AJD142 AJF142 AJH142 AJJ142 AJL142 AJN142 AJP142 AJR142 AJT142 AJV142 AJX142 AJZ142 AKB142 AKD142 AKF142 AKH142 AKJ142 AKL142 AKN142 AKP142 AKR142 AKT142 AKV142 AKX142 AKZ142 ALB142 ALD142 ALF142 ALH142 ALJ142 ALL142 ALN142 ALP142 ALR142 ALT142 ALV142 ALX142 ALZ142 AMB142 AMD142 AMF142 AMH142 AMJ142 AML142 AMN142 AMP142 AMR142 AMT142 AMV142 AMX142 AMZ142 ANB142 AND142 ANF142 ANH142 ANJ142 ANL142 ANN142 ANP142 ANR142 ANT142 ANV142 ANX142 ANZ142 AOB142 AOD142 AOF142 AOH142 AOJ142 AOL142 AON142 AOP142 AOR142 AOT142 AOV142 AOX142 AOZ142 APB142 APD142 APF142 APH142 APJ142 APL142 APN142 APP142 APR142 APT142 APV142 APX142 APZ142 AQB142 AQD142 AQF142 AQH142 AQJ142 AQL142 AQN142 AQP142 AQR142 AQT142 AQV142 AQX142 AQZ142 ARB142 ARD142 ARF142 ARH142 ARJ142 ARL142 ARN142 ARP142 ARR142 ART142 ARV142 ARX142 ARZ142 ASB142 ASD142 ASF142 ASH142 ASJ142 ASL142 ASN142 ASP142 ASR142 AST142 ASV142 ASX142 ASZ142 ATB142 ATD142 ATF142 ATH142 ATJ142 ATL142 ATN142 ATP142 ATR142 ATT142 ATV142 ATX142 ATZ142 AUB142 AUD142 AUF142 AUH142 AUJ142 AUL142 AUN142 AUP142 AUR142 AUT142 AUV142 AUX142 AUZ142 AVB142 AVD142 AVF142 AVH142 AVJ142 AVL142 AVN142 AVP142 AVR142 AVT142 AVV142 AVX142 AVZ142 AWB142 AWD142 AWF142 AWH142 AWJ142 AWL142 AWN142 AWP142 AWR142 AWT142 AWV142 AWX142 AWZ142 AXB142 AXD142 AXF142 AXH142 AXJ142 AXL142 AXN142 AXP142 AXR142 AXT142 AXV142 AXX142 AXZ142 AYB142 AYD142 AYF142 AYH142 AYJ142 AYL142 AYN142 AYP142 AYR142 AYT142 AYV142 AYX142 AYZ142 AZB142 AZD142 AZF142 AZH142 AZJ142 AZL142 AZN142 AZP142 AZR142 AZT142 AZV142 AZX142 AZZ142 BAB142 BAD142 BAF142 BAH142 BAJ142 BAL142 BAN142 BAP142 BAR142 BAT142 BAV142 BAX142 BAZ142 BBB142 BBD142 BBF142 BBH142 BBJ142 BBL142 BBN142 BBP142 BBR142 BBT142 BBV142 BBX142 BBZ142 BCB142 BCD142 BCF142 BCH142 BCJ142 BCL142 BCN142 BCP142 BCR142 BCT142 BCV142 BCX142 BCZ142 BDB142 BDD142 BDF142 BDH142 BDJ142 BDL142 BDN142 BDP142 BDR142 BDT142 BDV142 BDX142 BDZ142 BEB142 BED142 BEF142 BEH142 BEJ142 BEL142 BEN142 BEP142 BER142 BET142 BEV142 BEX142 BEZ142 BFB142 BFD142 BFF142 BFH142 BFJ142 BFL142 BFN142 BFP142 BFR142 BFT142 BFV142 BFX142 BFZ142 BGB142 BGD142 BGF142 BGH142 BGJ142 BGL142 BGN142 BGP142 BGR142 BGT142 BGV142 BGX142 BGZ142 BHB142 BHD142 BHF142 BHH142 BHJ142 BHL142 BHN142 BHP142 BHR142 BHT142 BHV142 BHX142 BHZ142 BIB142 BID142 BIF142 BIH142 BIJ142 BIL142 BIN142 BIP142 BIR142 BIT142 BIV142 BIX142 BIZ142 BJB142 BJD142 BJF142 BJH142 BJJ142 BJL142 BJN142 BJP142 BJR142 BJT142 BJV142 BJX142 BJZ142 BKB142 BKD142 BKF142 BKH142 BKJ142 BKL142 BKN142 BKP142 BKR142 BKT142 BKV142 BKX142 BKZ142 BLB142 BLD142 BLF142 BLH142 BLJ142 BLL142 BLN142 BLP142 BLR142 BLT142 BLV142 BLX142 BLZ142 BMB142 BMD142 BMF142 BMH142 BMJ142 BML142 BMN142 BMP142 BMR142 BMT142 BMV142 BMX142 BMZ142 BNB142 BND142 BNF142 BNH142 BNJ142 BNL142 BNN142 BNP142 BNR142 BNT142 BNV142 BNX142 BNZ142 BOB142 BOD142 BOF142 BOH142 BOJ142 BOL142 BON142 BOP142 BOR142 BOT142 BOV142 BOX142 BOZ142 BPB142 BPD142 BPF142 BPH142 BPJ142 BPL142 BPN142 BPP142 BPR142 BPT142 BPV142 BPX142 BPZ142 BQB142 BQD142 BQF142 BQH142 BQJ142 BQL142 BQN142 BQP142 BQR142 BQT142 BQV142 BQX142 BQZ142 BRB142 BRD142 BRF142 BRH142 BRJ142 BRL142 BRN142 BRP142 BRR142 BRT142 BRV142 BRX142 BRZ142 BSB142 BSD142 BSF142 BSH142 BSJ142 BSL142 BSN142 BSP142 BSR142 BST142 BSV142 BSX142 BSZ142 BTB142 BTD142 BTF142 BTH142 BTJ142 BTL142 BTN142 BTP142 BTR142 BTT142 BTV142 BTX142 BTZ142 BUB142 BUD142 BUF142 BUH142 BUJ142 BUL142 BUN142 BUP142 BUR142 BUT142 BUV142 BUX142 BUZ142 BVB142 BVD142 BVF142 BVH142 BVJ142 BVL142 BVN142 BVP142 BVR142 BVT142 BVV142 BVX142 BVZ142 BWB142 BWD142 BWF142 BWH142 BWJ142 BWL142 BWN142 BWP142 BWR142 BWT142 BWV142 BWX142 BWZ142 BXB142 BXD142 BXF142 BXH142 BXJ142 BXL142 BXN142 BXP142 BXR142 BXT142 BXV142 BXX142 BXZ142 BYB142 BYD142 BYF142 BYH142 BYJ142 BYL142 BYN142 BYP142 BYR142 BYT142 BYV142 BYX142 BYZ142 BZB142 BZD142 BZF142 BZH142 BZJ142 BZL142 BZN142 BZP142 BZR142 BZT142 BZV142 BZX142 BZZ142 CAB142 CAD142 CAF142 CAH142 CAJ142 CAL142 CAN142 CAP142 CAR142 CAT142 CAV142 CAX142 CAZ142 CBB142 CBD142 CBF142 CBH142 CBJ142 CBL142 CBN142 CBP142 CBR142 CBT142 CBV142 CBX142 CBZ142 CCB142 CCD142 CCF142 CCH142 CCJ142 CCL142 CCN142 CCP142 CCR142 CCT142 CCV142 CCX142 CCZ142 CDB142 CDD142 CDF142 CDH142 CDJ142 CDL142 CDN142 CDP142 CDR142 CDT142 CDV142 CDX142 CDZ142 CEB142 CED142 CEF142 CEH142 CEJ142 CEL142 CEN142 CEP142 CER142 CET142 CEV142 CEX142 CEZ142 CFB142 CFD142 CFF142 CFH142 CFJ142 CFL142 CFN142 CFP142 CFR142 CFT142 CFV142 CFX142 CFZ142 CGB142 CGD142 CGF142 CGH142 CGJ142 CGL142 CGN142 CGP142 CGR142 CGT142 CGV142 CGX142 CGZ142 CHB142 CHD142 CHF142 CHH142 CHJ142 CHL142 CHN142 CHP142 CHR142 CHT142 CHV142 CHX142 CHZ142 CIB142 CID142 CIF142 CIH142 CIJ142 CIL142 CIN142 CIP142 CIR142 CIT142 CIV142 CIX142 CIZ142 CJB142 CJD142 CJF142 CJH142 CJJ142 CJL142 CJN142 CJP142 CJR142 CJT142 CJV142 CJX142 CJZ142 CKB142 CKD142 CKF142 CKH142 CKJ142 CKL142 CKN142 CKP142 CKR142 CKT142 CKV142 CKX142 CKZ142 CLB142 CLD142 CLF142 CLH142 CLJ142 CLL142 CLN142 CLP142 CLR142 CLT142 CLV142 CLX142 CLZ142 CMB142 CMD142 CMF142 CMH142 CMJ142 CML142 CMN142 CMP142 CMR142 CMT142 CMV142 CMX142 CMZ142 CNB142 CND142 CNF142 CNH142 CNJ142 CNL142 CNN142 CNP142 CNR142 CNT142 CNV142 CNX142 CNZ142 COB142 COD142 COF142 COH142 COJ142 COL142 CON142 COP142 COR142 COT142 COV142 COX142 COZ142 CPB142 CPD142 CPF142 CPH142 CPJ142 CPL142 CPN142 CPP142 CPR142 CPT142 CPV142 CPX142 CPZ142 CQB142 CQD142 CQF142 CQH142 CQJ142 CQL142 CQN142 CQP142 CQR142 CQT142 CQV142 CQX142 CQZ142 CRB142 CRD142 CRF142 CRH142 CRJ142 CRL142 CRN142 CRP142 CRR142 CRT142 CRV142 CRX142 CRZ142 CSB142 CSD142 CSF142 CSH142 CSJ142 CSL142 CSN142 CSP142 CSR142 CST142 CSV142 CSX142 CSZ142 CTB142 CTD142 CTF142 CTH142 CTJ142 CTL142 CTN142 CTP142 CTR142 CTT142 CTV142 CTX142 CTZ142 CUB142 CUD142 CUF142 CUH142 CUJ142 CUL142 CUN142 CUP142 CUR142 CUT142 CUV142 CUX142 CUZ142 CVB142 CVD142 CVF142 CVH142 CVJ142 CVL142 CVN142 CVP142 CVR142 CVT142 CVV142 CVX142 CVZ142 CWB142 CWD142 CWF142 CWH142 CWJ142 CWL142 CWN142 CWP142 CWR142 CWT142 CWV142 CWX142 CWZ142 CXB142 CXD142 CXF142 CXH142 CXJ142 CXL142 CXN142 CXP142 CXR142 CXT142 CXV142 CXX142 CXZ142 CYB142 CYD142 CYF142 CYH142 CYJ142 CYL142 CYN142 CYP142 CYR142 CYT142 CYV142 CYX142 CYZ142 CZB142 CZD142 CZF142 CZH142 CZJ142 CZL142 CZN142 CZP142 CZR142 CZT142 CZV142 CZX142 CZZ142 DAB142 DAD142 DAF142 DAH142 DAJ142 DAL142 DAN142 DAP142 DAR142 DAT142 DAV142 DAX142 DAZ142 DBB142 DBD142 DBF142 DBH142 DBJ142 DBL142 DBN142 DBP142 DBR142 DBT142 DBV142 DBX142 DBZ142 DCB142 DCD142 DCF142 DCH142 DCJ142 DCL142 DCN142 DCP142 DCR142 DCT142 DCV142 DCX142 DCZ142 DDB142 DDD142 DDF142 DDH142 DDJ142 DDL142 DDN142 DDP142 DDR142 DDT142 DDV142 DDX142 DDZ142 DEB142 DED142 DEF142 DEH142 DEJ142 DEL142 DEN142 DEP142 DER142 DET142 DEV142 DEX142 DEZ142 DFB142 DFD142 DFF142 DFH142 DFJ142 DFL142 DFN142 DFP142 DFR142 DFT142 DFV142 DFX142 DFZ142 DGB142 DGD142 DGF142 DGH142 DGJ142 DGL142 DGN142 DGP142 DGR142 DGT142 DGV142 DGX142 DGZ142 DHB142 DHD142 DHF142 DHH142 DHJ142 DHL142 DHN142 DHP142 DHR142 DHT142 DHV142 DHX142 DHZ142 DIB142 DID142 DIF142 DIH142 DIJ142 DIL142 DIN142 DIP142 DIR142 DIT142 DIV142 DIX142 DIZ142 DJB142 DJD142 DJF142 DJH142 DJJ142 DJL142 DJN142 DJP142 DJR142 DJT142 DJV142 DJX142 DJZ142 DKB142 DKD142 DKF142 DKH142 DKJ142 DKL142 DKN142 DKP142 DKR142 DKT142 DKV142 DKX142 DKZ142 DLB142 DLD142 DLF142 DLH142 DLJ142 DLL142 DLN142 DLP142 DLR142 DLT142 DLV142 DLX142 DLZ142 DMB142 DMD142 DMF142 DMH142 DMJ142 DML142 DMN142 DMP142 DMR142 DMT142 DMV142 DMX142 DMZ142 DNB142 DND142 DNF142 DNH142 DNJ142 DNL142 DNN142 DNP142 DNR142 DNT142 DNV142 DNX142 DNZ142 DOB142 DOD142 DOF142 DOH142 DOJ142 DOL142 DON142 DOP142 DOR142 DOT142 DOV142 DOX142 DOZ142 DPB142 DPD142 DPF142 DPH142 DPJ142 DPL142 DPN142 DPP142 DPR142 DPT142 DPV142 DPX142 DPZ142 DQB142 DQD142 DQF142 DQH142 DQJ142 DQL142 DQN142 DQP142 DQR142 DQT142 DQV142 DQX142 DQZ142 DRB142 DRD142 DRF142 DRH142 DRJ142 DRL142 DRN142 DRP142 DRR142 DRT142 DRV142 DRX142 DRZ142 DSB142 DSD142 DSF142 DSH142 DSJ142 DSL142 DSN142 DSP142 DSR142 DST142 DSV142 DSX142 DSZ142 DTB142 DTD142 DTF142 DTH142 DTJ142 DTL142 DTN142 DTP142 DTR142 DTT142 DTV142 DTX142 DTZ142 DUB142 DUD142 DUF142 DUH142 DUJ142 DUL142 DUN142 DUP142 DUR142 DUT142 DUV142 DUX142 DUZ142 DVB142 DVD142 DVF142 DVH142 DVJ142 DVL142 DVN142 DVP142 DVR142 DVT142 DVV142 DVX142 DVZ142 DWB142 DWD142 DWF142 DWH142 DWJ142 DWL142 DWN142 DWP142 DWR142 DWT142 DWV142 DWX142 DWZ142 DXB142 DXD142 DXF142 DXH142 DXJ142 DXL142 DXN142 DXP142 DXR142 DXT142 DXV142 DXX142 DXZ142 DYB142 DYD142 DYF142 DYH142 DYJ142 DYL142 DYN142 DYP142 DYR142 DYT142 DYV142 DYX142 DYZ142 DZB142 DZD142 DZF142 DZH142 DZJ142 DZL142 DZN142 DZP142 DZR142 DZT142 DZV142 DZX142 DZZ142 EAB142 EAD142 EAF142 EAH142 EAJ142 EAL142 EAN142 EAP142 EAR142 EAT142 EAV142 EAX142 EAZ142 EBB142 EBD142 EBF142 EBH142 EBJ142 EBL142 EBN142 EBP142 EBR142 EBT142 EBV142 EBX142 EBZ142 ECB142 ECD142 ECF142 ECH142 ECJ142 ECL142 ECN142 ECP142 ECR142 ECT142 ECV142 ECX142 ECZ142 EDB142 EDD142 EDF142 EDH142 EDJ142 EDL142 EDN142 EDP142 EDR142 EDT142 EDV142 EDX142 EDZ142 EEB142 EED142 EEF142 EEH142 EEJ142 EEL142 EEN142 EEP142 EER142 EET142 EEV142 EEX142 EEZ142 EFB142 EFD142 EFF142 EFH142 EFJ142 EFL142 EFN142 EFP142 EFR142 EFT142 EFV142 EFX142 EFZ142 EGB142 EGD142 EGF142 EGH142 EGJ142 EGL142 EGN142 EGP142 EGR142 EGT142 EGV142 EGX142 EGZ142 EHB142 EHD142 EHF142 EHH142 EHJ142 EHL142 EHN142 EHP142 EHR142 EHT142 EHV142 EHX142 EHZ142 EIB142 EID142 EIF142 EIH142 EIJ142 EIL142 EIN142 EIP142 EIR142 EIT142 EIV142 EIX142 EIZ142 EJB142 EJD142 EJF142 EJH142 EJJ142 EJL142 EJN142 EJP142 EJR142 EJT142 EJV142 EJX142 EJZ142 EKB142 EKD142 EKF142 EKH142 EKJ142 EKL142 EKN142 EKP142 EKR142 EKT142 EKV142 EKX142 EKZ142 ELB142 ELD142 ELF142 ELH142 ELJ142 ELL142 ELN142 ELP142 ELR142 ELT142 ELV142 ELX142 ELZ142 EMB142 EMD142 EMF142 EMH142 EMJ142 EML142 EMN142 EMP142 EMR142 EMT142 EMV142 EMX142 EMZ142 ENB142 END142 ENF142 ENH142 ENJ142 ENL142 ENN142 ENP142 ENR142 ENT142 ENV142 ENX142 ENZ142 EOB142 EOD142 EOF142 EOH142 EOJ142 EOL142 EON142 EOP142 EOR142 EOT142 EOV142 EOX142 EOZ142 EPB142 EPD142 EPF142 EPH142 EPJ142 EPL142 EPN142 EPP142 EPR142 EPT142 EPV142 EPX142 EPZ142 EQB142 EQD142 EQF142 EQH142 EQJ142 EQL142 EQN142 EQP142 EQR142 EQT142 EQV142 EQX142 EQZ142 ERB142 ERD142 ERF142 ERH142 ERJ142 ERL142 ERN142 ERP142 ERR142 ERT142 ERV142 ERX142 ERZ142 ESB142 ESD142 ESF142 ESH142 ESJ142 ESL142 ESN142 ESP142 ESR142 EST142 ESV142 ESX142 ESZ142 ETB142 ETD142 ETF142 ETH142 ETJ142 ETL142 ETN142 ETP142 ETR142 ETT142 ETV142 ETX142 ETZ142 EUB142 EUD142 EUF142 EUH142 EUJ142 EUL142 EUN142 EUP142 EUR142 EUT142 EUV142 EUX142 EUZ142 EVB142 EVD142 EVF142 EVH142 EVJ142 EVL142 EVN142 EVP142 EVR142 EVT142 EVV142 EVX142 EVZ142 EWB142 EWD142 EWF142 EWH142 EWJ142 EWL142 EWN142 EWP142 EWR142 EWT142 EWV142 EWX142 EWZ142 EXB142 EXD142 EXF142 EXH142 EXJ142 EXL142 EXN142 EXP142 EXR142 EXT142 EXV142 EXX142 EXZ142 EYB142 EYD142 EYF142 EYH142 EYJ142 EYL142 EYN142 EYP142 EYR142 EYT142 EYV142 EYX142 EYZ142 EZB142 EZD142 EZF142 EZH142 EZJ142 EZL142 EZN142 EZP142 EZR142 EZT142 EZV142 EZX142 EZZ142 FAB142 FAD142 FAF142 FAH142 FAJ142 FAL142 FAN142 FAP142 FAR142 FAT142 FAV142 FAX142 FAZ142 FBB142 FBD142 FBF142 FBH142 FBJ142 FBL142 FBN142 FBP142 FBR142 FBT142 FBV142 FBX142 FBZ142 FCB142 FCD142 FCF142 FCH142 FCJ142 FCL142 FCN142 FCP142 FCR142 FCT142 FCV142 FCX142 FCZ142 FDB142 FDD142 FDF142 FDH142 FDJ142 FDL142 FDN142 FDP142 FDR142 FDT142 FDV142 FDX142 FDZ142 FEB142 FED142 FEF142 FEH142 FEJ142 FEL142 FEN142 FEP142 FER142 FET142 FEV142 FEX142 FEZ142 FFB142 FFD142 FFF142 FFH142 FFJ142 FFL142 FFN142 FFP142 FFR142 FFT142 FFV142 FFX142 FFZ142 FGB142 FGD142 FGF142 FGH142 FGJ142 FGL142 FGN142 FGP142 FGR142 FGT142 FGV142 FGX142 FGZ142 FHB142 FHD142 FHF142 FHH142 FHJ142 FHL142 FHN142 FHP142 FHR142 FHT142 FHV142 FHX142 FHZ142 FIB142 FID142 FIF142 FIH142 FIJ142 FIL142 FIN142 FIP142 FIR142 FIT142 FIV142 FIX142 FIZ142 FJB142 FJD142 FJF142 FJH142 FJJ142 FJL142 FJN142 FJP142 FJR142 FJT142 FJV142 FJX142 FJZ142 FKB142 FKD142 FKF142 FKH142 FKJ142 FKL142 FKN142 FKP142 FKR142 FKT142 FKV142 FKX142 FKZ142 FLB142 FLD142 FLF142 FLH142 FLJ142 FLL142 FLN142 FLP142 FLR142 FLT142 FLV142 FLX142 FLZ142 FMB142 FMD142 FMF142 FMH142 FMJ142 FML142 FMN142 FMP142 FMR142 FMT142 FMV142 FMX142 FMZ142 FNB142 FND142 FNF142 FNH142 FNJ142 FNL142 FNN142 FNP142 FNR142 FNT142 FNV142 FNX142 FNZ142 FOB142 FOD142 FOF142 FOH142 FOJ142 FOL142 FON142 FOP142 FOR142 FOT142 FOV142 FOX142 FOZ142 FPB142 FPD142 FPF142 FPH142 FPJ142 FPL142 FPN142 FPP142 FPR142 FPT142 FPV142 FPX142 FPZ142 FQB142 FQD142 FQF142 FQH142 FQJ142 FQL142 FQN142 FQP142 FQR142 FQT142 FQV142 FQX142 FQZ142 FRB142 FRD142 FRF142 FRH142 FRJ142 FRL142 FRN142 FRP142 FRR142 FRT142 FRV142 FRX142 FRZ142 FSB142 FSD142 FSF142 FSH142 FSJ142 FSL142 FSN142 FSP142 FSR142 FST142 FSV142 FSX142 FSZ142 FTB142 FTD142 FTF142 FTH142 FTJ142 FTL142 FTN142 FTP142 FTR142 FTT142 FTV142 FTX142 FTZ142 FUB142 FUD142 FUF142 FUH142 FUJ142 FUL142 FUN142 FUP142 FUR142 FUT142 FUV142 FUX142 FUZ142 FVB142 FVD142 FVF142 FVH142 FVJ142 FVL142 FVN142 FVP142 FVR142 FVT142 FVV142 FVX142 FVZ142 FWB142 FWD142 FWF142 FWH142 FWJ142 FWL142 FWN142 FWP142 FWR142 FWT142 FWV142 FWX142 FWZ142 FXB142 FXD142 FXF142 FXH142 FXJ142 FXL142 FXN142 FXP142 FXR142 FXT142 FXV142 FXX142 FXZ142 FYB142 FYD142 FYF142 FYH142 FYJ142 FYL142 FYN142 FYP142 FYR142 FYT142 FYV142 FYX142 FYZ142 FZB142 FZD142 FZF142 FZH142 FZJ142 FZL142 FZN142 FZP142 FZR142 FZT142 FZV142 FZX142 FZZ142 GAB142 GAD142 GAF142 GAH142 GAJ142 GAL142 GAN142 GAP142 GAR142 GAT142 GAV142 GAX142 GAZ142 GBB142 GBD142 GBF142 GBH142 GBJ142 GBL142 GBN142 GBP142 GBR142 GBT142 GBV142 GBX142 GBZ142 GCB142 GCD142 GCF142 GCH142 GCJ142 GCL142 GCN142 GCP142 GCR142 GCT142 GCV142 GCX142 GCZ142 GDB142 GDD142 GDF142 GDH142 GDJ142 GDL142 GDN142 GDP142 GDR142 GDT142 GDV142 GDX142 GDZ142 GEB142 GED142 GEF142 GEH142 GEJ142 GEL142 GEN142 GEP142 GER142 GET142 GEV142 GEX142 GEZ142 GFB142 GFD142 GFF142 GFH142 GFJ142 GFL142 GFN142 GFP142 GFR142 GFT142 GFV142 GFX142 GFZ142 GGB142 GGD142 GGF142 GGH142 GGJ142 GGL142 GGN142 GGP142 GGR142 GGT142 GGV142 GGX142 GGZ142 GHB142 GHD142 GHF142 GHH142 GHJ142 GHL142 GHN142 GHP142 GHR142 GHT142 GHV142 GHX142 GHZ142 GIB142 GID142 GIF142 GIH142 GIJ142 GIL142 GIN142 GIP142 GIR142 GIT142 GIV142 GIX142 GIZ142 GJB142 GJD142 GJF142 GJH142 GJJ142 GJL142 GJN142 GJP142 GJR142 GJT142 GJV142 GJX142 GJZ142 GKB142 GKD142 GKF142 GKH142 GKJ142 GKL142 GKN142 GKP142 GKR142 GKT142 GKV142 GKX142 GKZ142 GLB142 GLD142 GLF142 GLH142 GLJ142 GLL142 GLN142 GLP142 GLR142 GLT142 GLV142 GLX142 GLZ142 GMB142 GMD142 GMF142 GMH142 GMJ142 GML142 GMN142 GMP142 GMR142 GMT142 GMV142 GMX142 GMZ142 GNB142 GND142 GNF142 GNH142 GNJ142 GNL142 GNN142 GNP142 GNR142 GNT142 GNV142 GNX142 GNZ142 GOB142 GOD142 GOF142 GOH142 GOJ142 GOL142 GON142 GOP142 GOR142 GOT142 GOV142 GOX142 GOZ142 GPB142 GPD142 GPF142 GPH142 GPJ142 GPL142 GPN142 GPP142 GPR142 GPT142 GPV142 GPX142 GPZ142 GQB142 GQD142 GQF142 GQH142 GQJ142 GQL142 GQN142 GQP142 GQR142 GQT142 GQV142 GQX142 GQZ142 GRB142 GRD142 GRF142 GRH142 GRJ142 GRL142 GRN142 GRP142 GRR142 GRT142 GRV142 GRX142 GRZ142 GSB142 GSD142 GSF142 GSH142 GSJ142 GSL142 GSN142 GSP142 GSR142 GST142 GSV142 GSX142 GSZ142 GTB142 GTD142 GTF142 GTH142 GTJ142 GTL142 GTN142 GTP142 GTR142 GTT142 GTV142 GTX142 GTZ142 GUB142 GUD142 GUF142 GUH142 GUJ142 GUL142 GUN142 GUP142 GUR142 GUT142 GUV142 GUX142 GUZ142 GVB142 GVD142 GVF142 GVH142 GVJ142 GVL142 GVN142 GVP142 GVR142 GVT142 GVV142 GVX142 GVZ142 GWB142 GWD142 GWF142 GWH142 GWJ142 GWL142 GWN142 GWP142 GWR142 GWT142 GWV142 GWX142 GWZ142 GXB142 GXD142 GXF142 GXH142 GXJ142 GXL142 GXN142 GXP142 GXR142 GXT142 GXV142 GXX142 GXZ142 GYB142 GYD142 GYF142 GYH142 GYJ142 GYL142 GYN142 GYP142 GYR142 GYT142 GYV142 GYX142 GYZ142 GZB142 GZD142 GZF142 GZH142 GZJ142 GZL142 GZN142 GZP142 GZR142 GZT142 GZV142 GZX142 GZZ142 HAB142 HAD142 HAF142 HAH142 HAJ142 HAL142 HAN142 HAP142 HAR142 HAT142 HAV142 HAX142 HAZ142 HBB142 HBD142 HBF142 HBH142 HBJ142 HBL142 HBN142 HBP142 HBR142 HBT142 HBV142 HBX142 HBZ142 HCB142 HCD142 HCF142 HCH142 HCJ142 HCL142 HCN142 HCP142 HCR142 HCT142 HCV142 HCX142 HCZ142 HDB142 HDD142 HDF142 HDH142 HDJ142 HDL142 HDN142 HDP142 HDR142 HDT142 HDV142 HDX142 HDZ142 HEB142 HED142 HEF142 HEH142 HEJ142 HEL142 HEN142 HEP142 HER142 HET142 HEV142 HEX142 HEZ142 HFB142 HFD142 HFF142 HFH142 HFJ142 HFL142 HFN142 HFP142 HFR142 HFT142 HFV142 HFX142 HFZ142 HGB142 HGD142 HGF142 HGH142 HGJ142 HGL142 HGN142 HGP142 HGR142 HGT142 HGV142 HGX142 HGZ142 HHB142 HHD142 HHF142 HHH142 HHJ142 HHL142 HHN142 HHP142 HHR142 HHT142 HHV142 HHX142 HHZ142 HIB142 HID142 HIF142 HIH142 HIJ142 HIL142 HIN142 HIP142 HIR142 HIT142 HIV142 HIX142 HIZ142 HJB142 HJD142 HJF142 HJH142 HJJ142 HJL142 HJN142 HJP142 HJR142 HJT142 HJV142 HJX142 HJZ142 HKB142 HKD142 HKF142 HKH142 HKJ142 HKL142 HKN142 HKP142 HKR142 HKT142 HKV142 HKX142 HKZ142 HLB142 HLD142 HLF142 HLH142 HLJ142 HLL142 HLN142 HLP142 HLR142 HLT142 HLV142 HLX142 HLZ142 HMB142 HMD142 HMF142 HMH142 HMJ142 HML142 HMN142 HMP142 HMR142 HMT142 HMV142 HMX142 HMZ142 HNB142 HND142 HNF142 HNH142 HNJ142 HNL142 HNN142 HNP142 HNR142 HNT142 HNV142 HNX142 HNZ142 HOB142 HOD142 HOF142 HOH142 HOJ142 HOL142 HON142 HOP142 HOR142 HOT142 HOV142 HOX142 HOZ142 HPB142 HPD142 HPF142 HPH142 HPJ142 HPL142 HPN142 HPP142 HPR142 HPT142 HPV142 HPX142 HPZ142 HQB142 HQD142 HQF142 HQH142 HQJ142 HQL142 HQN142 HQP142 HQR142 HQT142 HQV142 HQX142 HQZ142 HRB142 HRD142 HRF142 HRH142 HRJ142 HRL142 HRN142 HRP142 HRR142 HRT142 HRV142 HRX142 HRZ142 HSB142 HSD142 HSF142 HSH142 HSJ142 HSL142 HSN142 HSP142 HSR142 HST142 HSV142 HSX142 HSZ142 HTB142 HTD142 HTF142 HTH142 HTJ142 HTL142 HTN142 HTP142 HTR142 HTT142 HTV142 HTX142 HTZ142 HUB142 HUD142 HUF142 HUH142 HUJ142 HUL142 HUN142 HUP142 HUR142 HUT142 HUV142 HUX142 HUZ142 HVB142 HVD142 HVF142 HVH142 HVJ142 HVL142 HVN142 HVP142 HVR142 HVT142 HVV142 HVX142 HVZ142 HWB142 HWD142 HWF142 HWH142 HWJ142 HWL142 HWN142 HWP142 HWR142 HWT142 HWV142 HWX142 HWZ142 HXB142 HXD142 HXF142 HXH142 HXJ142 HXL142 HXN142 HXP142 HXR142 HXT142 HXV142 HXX142 HXZ142 HYB142 HYD142 HYF142 HYH142 HYJ142 HYL142 HYN142 HYP142 HYR142 HYT142 HYV142 HYX142 HYZ142 HZB142 HZD142 HZF142 HZH142 HZJ142 HZL142 HZN142 HZP142 HZR142 HZT142 HZV142 HZX142 HZZ142 IAB142 IAD142 IAF142 IAH142 IAJ142 IAL142 IAN142 IAP142 IAR142 IAT142 IAV142 IAX142 IAZ142 IBB142 IBD142 IBF142 IBH142 IBJ142 IBL142 IBN142 IBP142 IBR142 IBT142 IBV142 IBX142 IBZ142 ICB142 ICD142 ICF142 ICH142 ICJ142 ICL142 ICN142 ICP142 ICR142 ICT142 ICV142 ICX142 ICZ142 IDB142 IDD142 IDF142 IDH142 IDJ142 IDL142 IDN142 IDP142 IDR142 IDT142 IDV142 IDX142 IDZ142 IEB142 IED142 IEF142 IEH142 IEJ142 IEL142 IEN142 IEP142 IER142 IET142 IEV142 IEX142 IEZ142 IFB142 IFD142 IFF142 IFH142 IFJ142 IFL142 IFN142 IFP142 IFR142 IFT142 IFV142 IFX142 IFZ142 IGB142 IGD142 IGF142 IGH142 IGJ142 IGL142 IGN142 IGP142 IGR142 IGT142 IGV142 IGX142 IGZ142 IHB142 IHD142 IHF142 IHH142 IHJ142 IHL142 IHN142 IHP142 IHR142 IHT142 IHV142 IHX142 IHZ142 IIB142 IID142 IIF142 IIH142 IIJ142 IIL142 IIN142 IIP142 IIR142 IIT142 IIV142 IIX142 IIZ142 IJB142 IJD142 IJF142 IJH142 IJJ142 IJL142 IJN142 IJP142 IJR142 IJT142 IJV142 IJX142 IJZ142 IKB142 IKD142 IKF142 IKH142 IKJ142 IKL142 IKN142 IKP142 IKR142 IKT142 IKV142 IKX142 IKZ142 ILB142 ILD142 ILF142 ILH142 ILJ142 ILL142 ILN142 ILP142 ILR142 ILT142 ILV142 ILX142 ILZ142 IMB142 IMD142 IMF142 IMH142 IMJ142 IML142 IMN142 IMP142 IMR142 IMT142 IMV142 IMX142 IMZ142 INB142 IND142 INF142 INH142 INJ142 INL142 INN142 INP142 INR142 INT142 INV142 INX142 INZ142 IOB142 IOD142 IOF142 IOH142 IOJ142 IOL142 ION142 IOP142 IOR142 IOT142 IOV142 IOX142 IOZ142 IPB142 IPD142 IPF142 IPH142 IPJ142 IPL142 IPN142 IPP142 IPR142 IPT142 IPV142 IPX142 IPZ142 IQB142 IQD142 IQF142 IQH142 IQJ142 IQL142 IQN142 IQP142 IQR142 IQT142 IQV142 IQX142 IQZ142 IRB142 IRD142 IRF142 IRH142 IRJ142 IRL142 IRN142 IRP142 IRR142 IRT142 IRV142 IRX142 IRZ142 ISB142 ISD142 ISF142 ISH142 ISJ142 ISL142 ISN142 ISP142 ISR142 IST142 ISV142 ISX142 ISZ142 ITB142 ITD142 ITF142 ITH142 ITJ142 ITL142 ITN142 ITP142 ITR142 ITT142 ITV142 ITX142 ITZ142 IUB142 IUD142 IUF142 IUH142 IUJ142 IUL142 IUN142 IUP142 IUR142 IUT142 IUV142 IUX142 IUZ142 IVB142 IVD142 IVF142 IVH142 IVJ142 IVL142 IVN142 IVP142 IVR142 IVT142 IVV142 IVX142 IVZ142 IWB142 IWD142 IWF142 IWH142 IWJ142 IWL142 IWN142 IWP142 IWR142 IWT142 IWV142 IWX142 IWZ142 IXB142 IXD142 IXF142 IXH142 IXJ142 IXL142 IXN142 IXP142 IXR142 IXT142 IXV142 IXX142 IXZ142 IYB142 IYD142 IYF142 IYH142 IYJ142 IYL142 IYN142 IYP142 IYR142 IYT142 IYV142 IYX142 IYZ142 IZB142 IZD142 IZF142 IZH142 IZJ142 IZL142 IZN142 IZP142 IZR142 IZT142 IZV142 IZX142 IZZ142 JAB142 JAD142 JAF142 JAH142 JAJ142 JAL142 JAN142 JAP142 JAR142 JAT142 JAV142 JAX142 JAZ142 JBB142 JBD142 JBF142 JBH142 JBJ142 JBL142 JBN142 JBP142 JBR142 JBT142 JBV142 JBX142 JBZ142 JCB142 JCD142 JCF142 JCH142 JCJ142 JCL142 JCN142 JCP142 JCR142 JCT142 JCV142 JCX142 JCZ142 JDB142 JDD142 JDF142 JDH142 JDJ142 JDL142 JDN142 JDP142 JDR142 JDT142 JDV142 JDX142 JDZ142 JEB142 JED142 JEF142 JEH142 JEJ142 JEL142 JEN142 JEP142 JER142 JET142 JEV142 JEX142 JEZ142 JFB142 JFD142 JFF142 JFH142 JFJ142 JFL142 JFN142 JFP142 JFR142 JFT142 JFV142 JFX142 JFZ142 JGB142 JGD142 JGF142 JGH142 JGJ142 JGL142 JGN142 JGP142 JGR142 JGT142 JGV142 JGX142 JGZ142 JHB142 JHD142 JHF142 JHH142 JHJ142 JHL142 JHN142 JHP142 JHR142 JHT142 JHV142 JHX142 JHZ142 JIB142 JID142 JIF142 JIH142 JIJ142 JIL142 JIN142 JIP142 JIR142 JIT142 JIV142 JIX142 JIZ142 JJB142 JJD142 JJF142 JJH142 JJJ142 JJL142 JJN142 JJP142 JJR142 JJT142 JJV142 JJX142 JJZ142 JKB142 JKD142 JKF142 JKH142 JKJ142 JKL142 JKN142 JKP142 JKR142 JKT142 JKV142 JKX142 JKZ142 JLB142 JLD142 JLF142 JLH142 JLJ142 JLL142 JLN142 JLP142 JLR142 JLT142 JLV142 JLX142 JLZ142 JMB142 JMD142 JMF142 JMH142 JMJ142 JML142 JMN142 JMP142 JMR142 JMT142 JMV142 JMX142 JMZ142 JNB142 JND142 JNF142 JNH142 JNJ142 JNL142 JNN142 JNP142 JNR142 JNT142 JNV142 JNX142 JNZ142 JOB142 JOD142 JOF142 JOH142 JOJ142 JOL142 JON142 JOP142 JOR142 JOT142 JOV142 JOX142 JOZ142 JPB142 JPD142 JPF142 JPH142 JPJ142 JPL142 JPN142 JPP142 JPR142 JPT142 JPV142 JPX142 JPZ142 JQB142 JQD142 JQF142 JQH142 JQJ142 JQL142 JQN142 JQP142 JQR142 JQT142 JQV142 JQX142 JQZ142 JRB142 JRD142 JRF142 JRH142 JRJ142 JRL142 JRN142 JRP142 JRR142 JRT142 JRV142 JRX142 JRZ142 JSB142 JSD142 JSF142 JSH142 JSJ142 JSL142 JSN142 JSP142 JSR142 JST142 JSV142 JSX142 JSZ142 JTB142 JTD142 JTF142 JTH142 JTJ142 JTL142 JTN142 JTP142 JTR142 JTT142 JTV142 JTX142 JTZ142 JUB142 JUD142 JUF142 JUH142 JUJ142 JUL142 JUN142 JUP142 JUR142 JUT142 JUV142 JUX142 JUZ142 JVB142 JVD142 JVF142 JVH142 JVJ142 JVL142 JVN142 JVP142 JVR142 JVT142 JVV142 JVX142 JVZ142 JWB142 JWD142 JWF142 JWH142 JWJ142 JWL142 JWN142 JWP142 JWR142 JWT142 JWV142 JWX142 JWZ142 JXB142 JXD142 JXF142 JXH142 JXJ142 JXL142 JXN142 JXP142 JXR142 JXT142 JXV142 JXX142 JXZ142 JYB142 JYD142 JYF142 JYH142 JYJ142 JYL142 JYN142 JYP142 JYR142 JYT142 JYV142 JYX142 JYZ142 JZB142 JZD142 JZF142 JZH142 JZJ142 JZL142 JZN142 JZP142 JZR142 JZT142 JZV142 JZX142 JZZ142 KAB142 KAD142 KAF142 KAH142 KAJ142 KAL142 KAN142 KAP142 KAR142 KAT142 KAV142 KAX142 KAZ142 KBB142 KBD142 KBF142 KBH142 KBJ142 KBL142 KBN142 KBP142 KBR142 KBT142 KBV142 KBX142 KBZ142 KCB142 KCD142 KCF142 KCH142 KCJ142 KCL142 KCN142 KCP142 KCR142 KCT142 KCV142 KCX142 KCZ142 KDB142 KDD142 KDF142 KDH142 KDJ142 KDL142 KDN142 KDP142 KDR142 KDT142 KDV142 KDX142 KDZ142 KEB142 KED142 KEF142 KEH142 KEJ142 KEL142 KEN142 KEP142 KER142 KET142 KEV142 KEX142 KEZ142 KFB142 KFD142 KFF142 KFH142 KFJ142 KFL142 KFN142 KFP142 KFR142 KFT142 KFV142 KFX142 KFZ142 KGB142 KGD142 KGF142 KGH142 KGJ142 KGL142 KGN142 KGP142 KGR142 KGT142 KGV142 KGX142 KGZ142 KHB142 KHD142 KHF142 KHH142 KHJ142 KHL142 KHN142 KHP142 KHR142 KHT142 KHV142 KHX142 KHZ142 KIB142 KID142 KIF142 KIH142 KIJ142 KIL142 KIN142 KIP142 KIR142 KIT142 KIV142 KIX142 KIZ142 KJB142 KJD142 KJF142 KJH142 KJJ142 KJL142 KJN142 KJP142 KJR142 KJT142 KJV142 KJX142 KJZ142 KKB142 KKD142 KKF142 KKH142 KKJ142 KKL142 KKN142 KKP142 KKR142 KKT142 KKV142 KKX142 KKZ142 KLB142 KLD142 KLF142 KLH142 KLJ142 KLL142 KLN142 KLP142 KLR142 KLT142 KLV142 KLX142 KLZ142 KMB142 KMD142 KMF142 KMH142 KMJ142 KML142 KMN142 KMP142 KMR142 KMT142 KMV142 KMX142 KMZ142 KNB142 KND142 KNF142 KNH142 KNJ142 KNL142 KNN142 KNP142 KNR142 KNT142 KNV142 KNX142 KNZ142 KOB142 KOD142 KOF142 KOH142 KOJ142 KOL142 KON142 KOP142 KOR142 KOT142 KOV142 KOX142 KOZ142 KPB142 KPD142 KPF142 KPH142 KPJ142 KPL142 KPN142 KPP142 KPR142 KPT142 KPV142 KPX142 KPZ142 KQB142 KQD142 KQF142 KQH142 KQJ142 KQL142 KQN142 KQP142 KQR142 KQT142 KQV142 KQX142 KQZ142 KRB142 KRD142 KRF142 KRH142 KRJ142 KRL142 KRN142 KRP142 KRR142 KRT142 KRV142 KRX142 KRZ142 KSB142 KSD142 KSF142 KSH142 KSJ142 KSL142 KSN142 KSP142 KSR142 KST142 KSV142 KSX142 KSZ142 KTB142 KTD142 KTF142 KTH142 KTJ142 KTL142 KTN142 KTP142 KTR142 KTT142 KTV142 KTX142 KTZ142 KUB142 KUD142 KUF142 KUH142 KUJ142 KUL142 KUN142 KUP142 KUR142 KUT142 KUV142 KUX142 KUZ142 KVB142 KVD142 KVF142 KVH142 KVJ142 KVL142 KVN142 KVP142 KVR142 KVT142 KVV142 KVX142 KVZ142 KWB142 KWD142 KWF142 KWH142 KWJ142 KWL142 KWN142 KWP142 KWR142 KWT142 KWV142 KWX142 KWZ142 KXB142 KXD142 KXF142 KXH142 KXJ142 KXL142 KXN142 KXP142 KXR142 KXT142 KXV142 KXX142 KXZ142 KYB142 KYD142 KYF142 KYH142 KYJ142 KYL142 KYN142 KYP142 KYR142 KYT142 KYV142 KYX142 KYZ142 KZB142 KZD142 KZF142 KZH142 KZJ142 KZL142 KZN142 KZP142 KZR142 KZT142 KZV142 KZX142 KZZ142 LAB142 LAD142 LAF142 LAH142 LAJ142 LAL142 LAN142 LAP142 LAR142 LAT142 LAV142 LAX142 LAZ142 LBB142 LBD142 LBF142 LBH142 LBJ142 LBL142 LBN142 LBP142 LBR142 LBT142 LBV142 LBX142 LBZ142 LCB142 LCD142 LCF142 LCH142 LCJ142 LCL142 LCN142 LCP142 LCR142 LCT142 LCV142 LCX142 LCZ142 LDB142 LDD142 LDF142 LDH142 LDJ142 LDL142 LDN142 LDP142 LDR142 LDT142 LDV142 LDX142 LDZ142 LEB142 LED142 LEF142 LEH142 LEJ142 LEL142 LEN142 LEP142 LER142 LET142 LEV142 LEX142 LEZ142 LFB142 LFD142 LFF142 LFH142 LFJ142 LFL142 LFN142 LFP142 LFR142 LFT142 LFV142 LFX142 LFZ142 LGB142 LGD142 LGF142 LGH142 LGJ142 LGL142 LGN142 LGP142 LGR142 LGT142 LGV142 LGX142 LGZ142 LHB142 LHD142 LHF142 LHH142 LHJ142 LHL142 LHN142 LHP142 LHR142 LHT142 LHV142 LHX142 LHZ142 LIB142 LID142 LIF142 LIH142 LIJ142 LIL142 LIN142 LIP142 LIR142 LIT142 LIV142 LIX142 LIZ142 LJB142 LJD142 LJF142 LJH142 LJJ142 LJL142 LJN142 LJP142 LJR142 LJT142 LJV142 LJX142 LJZ142 LKB142 LKD142 LKF142 LKH142 LKJ142 LKL142 LKN142 LKP142 LKR142 LKT142 LKV142 LKX142 LKZ142 LLB142 LLD142 LLF142 LLH142 LLJ142 LLL142 LLN142 LLP142 LLR142 LLT142 LLV142 LLX142 LLZ142 LMB142 LMD142 LMF142 LMH142 LMJ142 LML142 LMN142 LMP142 LMR142 LMT142 LMV142 LMX142 LMZ142 LNB142 LND142 LNF142 LNH142 LNJ142 LNL142 LNN142 LNP142 LNR142 LNT142 LNV142 LNX142 LNZ142 LOB142 LOD142 LOF142 LOH142 LOJ142 LOL142 LON142 LOP142 LOR142 LOT142 LOV142 LOX142 LOZ142 LPB142 LPD142 LPF142 LPH142 LPJ142 LPL142 LPN142 LPP142 LPR142 LPT142 LPV142 LPX142 LPZ142 LQB142 LQD142 LQF142 LQH142 LQJ142 LQL142 LQN142 LQP142 LQR142 LQT142 LQV142 LQX142 LQZ142 LRB142 LRD142 LRF142 LRH142 LRJ142 LRL142 LRN142 LRP142 LRR142 LRT142 LRV142 LRX142 LRZ142 LSB142 LSD142 LSF142 LSH142 LSJ142 LSL142 LSN142 LSP142 LSR142 LST142 LSV142 LSX142 LSZ142 LTB142 LTD142 LTF142 LTH142 LTJ142 LTL142 LTN142 LTP142 LTR142 LTT142 LTV142 LTX142 LTZ142 LUB142 LUD142 LUF142 LUH142 LUJ142 LUL142 LUN142 LUP142 LUR142 LUT142 LUV142 LUX142 LUZ142 LVB142 LVD142 LVF142 LVH142 LVJ142 LVL142 LVN142 LVP142 LVR142 LVT142 LVV142 LVX142 LVZ142 LWB142 LWD142 LWF142 LWH142 LWJ142 LWL142 LWN142 LWP142 LWR142 LWT142 LWV142 LWX142 LWZ142 LXB142 LXD142 LXF142 LXH142 LXJ142 LXL142 LXN142 LXP142 LXR142 LXT142 LXV142 LXX142 LXZ142 LYB142 LYD142 LYF142 LYH142 LYJ142 LYL142 LYN142 LYP142 LYR142 LYT142 LYV142 LYX142 LYZ142 LZB142 LZD142 LZF142 LZH142 LZJ142 LZL142 LZN142 LZP142 LZR142 LZT142 LZV142 LZX142 LZZ142 MAB142 MAD142 MAF142 MAH142 MAJ142 MAL142 MAN142 MAP142 MAR142 MAT142 MAV142 MAX142 MAZ142 MBB142 MBD142 MBF142 MBH142 MBJ142 MBL142 MBN142 MBP142 MBR142 MBT142 MBV142 MBX142 MBZ142 MCB142 MCD142 MCF142 MCH142 MCJ142 MCL142 MCN142 MCP142 MCR142 MCT142 MCV142 MCX142 MCZ142 MDB142 MDD142 MDF142 MDH142 MDJ142 MDL142 MDN142 MDP142 MDR142 MDT142 MDV142 MDX142 MDZ142 MEB142 MED142 MEF142 MEH142 MEJ142 MEL142 MEN142 MEP142 MER142 MET142 MEV142 MEX142 MEZ142 MFB142 MFD142 MFF142 MFH142 MFJ142 MFL142 MFN142 MFP142 MFR142 MFT142 MFV142 MFX142 MFZ142 MGB142 MGD142 MGF142 MGH142 MGJ142 MGL142 MGN142 MGP142 MGR142 MGT142 MGV142 MGX142 MGZ142 MHB142 MHD142 MHF142 MHH142 MHJ142 MHL142 MHN142 MHP142 MHR142 MHT142 MHV142 MHX142 MHZ142 MIB142 MID142 MIF142 MIH142 MIJ142 MIL142 MIN142 MIP142 MIR142 MIT142 MIV142 MIX142 MIZ142 MJB142 MJD142 MJF142 MJH142 MJJ142 MJL142 MJN142 MJP142 MJR142 MJT142 MJV142 MJX142 MJZ142 MKB142 MKD142 MKF142 MKH142 MKJ142 MKL142 MKN142 MKP142 MKR142 MKT142 MKV142 MKX142 MKZ142 MLB142 MLD142 MLF142 MLH142 MLJ142 MLL142 MLN142 MLP142 MLR142 MLT142 MLV142 MLX142 MLZ142 MMB142 MMD142 MMF142 MMH142 MMJ142 MML142 MMN142 MMP142 MMR142 MMT142 MMV142 MMX142 MMZ142 MNB142 MND142 MNF142 MNH142 MNJ142 MNL142 MNN142 MNP142 MNR142 MNT142 MNV142 MNX142 MNZ142 MOB142 MOD142 MOF142 MOH142 MOJ142 MOL142 MON142 MOP142 MOR142 MOT142 MOV142 MOX142 MOZ142 MPB142 MPD142 MPF142 MPH142 MPJ142 MPL142 MPN142 MPP142 MPR142 MPT142 MPV142 MPX142 MPZ142 MQB142 MQD142 MQF142 MQH142 MQJ142 MQL142 MQN142 MQP142 MQR142 MQT142 MQV142 MQX142 MQZ142 MRB142 MRD142 MRF142 MRH142 MRJ142 MRL142 MRN142 MRP142 MRR142 MRT142 MRV142 MRX142 MRZ142 MSB142 MSD142 MSF142 MSH142 MSJ142 MSL142 MSN142 MSP142 MSR142 MST142 MSV142 MSX142 MSZ142 MTB142 MTD142 MTF142 MTH142 MTJ142 MTL142 MTN142 MTP142 MTR142 MTT142 MTV142 MTX142 MTZ142 MUB142 MUD142 MUF142 MUH142 MUJ142 MUL142 MUN142 MUP142 MUR142 MUT142 MUV142 MUX142 MUZ142 MVB142 MVD142 MVF142 MVH142 MVJ142 MVL142 MVN142 MVP142 MVR142 MVT142 MVV142 MVX142 MVZ142 MWB142 MWD142 MWF142 MWH142 MWJ142 MWL142 MWN142 MWP142 MWR142 MWT142 MWV142 MWX142 MWZ142 MXB142 MXD142 MXF142 MXH142 MXJ142 MXL142 MXN142 MXP142 MXR142 MXT142 MXV142 MXX142 MXZ142 MYB142 MYD142 MYF142 MYH142 MYJ142 MYL142 MYN142 MYP142 MYR142 MYT142 MYV142 MYX142 MYZ142 MZB142 MZD142 MZF142 MZH142 MZJ142 MZL142 MZN142 MZP142 MZR142 MZT142 MZV142 MZX142 MZZ142 NAB142 NAD142 NAF142 NAH142 NAJ142 NAL142 NAN142 NAP142 NAR142 NAT142 NAV142 NAX142 NAZ142 NBB142 NBD142 NBF142 NBH142 NBJ142 NBL142 NBN142 NBP142 NBR142 NBT142 NBV142 NBX142 NBZ142 NCB142 NCD142 NCF142 NCH142 NCJ142 NCL142 NCN142 NCP142 NCR142 NCT142 NCV142 NCX142 NCZ142 NDB142 NDD142 NDF142 NDH142 NDJ142 NDL142 NDN142 NDP142 NDR142 NDT142 NDV142 NDX142 NDZ142 NEB142 NED142 NEF142 NEH142 NEJ142 NEL142 NEN142 NEP142 NER142 NET142 NEV142 NEX142 NEZ142 NFB142 NFD142 NFF142 NFH142 NFJ142 NFL142 NFN142 NFP142 NFR142 NFT142 NFV142 NFX142 NFZ142 NGB142 NGD142 NGF142 NGH142 NGJ142 NGL142 NGN142 NGP142 NGR142 NGT142 NGV142 NGX142 NGZ142 NHB142 NHD142 NHF142 NHH142 NHJ142 NHL142 NHN142 NHP142 NHR142 NHT142 NHV142 NHX142 NHZ142 NIB142 NID142 NIF142 NIH142 NIJ142 NIL142 NIN142 NIP142 NIR142 NIT142 NIV142 NIX142 NIZ142 NJB142 NJD142 NJF142 NJH142 NJJ142 NJL142 NJN142 NJP142 NJR142 NJT142 NJV142 NJX142 NJZ142 NKB142 NKD142 NKF142 NKH142 NKJ142 NKL142 NKN142 NKP142 NKR142 NKT142 NKV142 NKX142 NKZ142 NLB142 NLD142 NLF142 NLH142 NLJ142 NLL142 NLN142 NLP142 NLR142 NLT142 NLV142 NLX142 NLZ142 NMB142 NMD142 NMF142 NMH142 NMJ142 NML142 NMN142 NMP142 NMR142 NMT142 NMV142 NMX142 NMZ142 NNB142 NND142 NNF142 NNH142 NNJ142 NNL142 NNN142 NNP142 NNR142 NNT142 NNV142 NNX142 NNZ142 NOB142 NOD142 NOF142 NOH142 NOJ142 NOL142 NON142 NOP142 NOR142 NOT142 NOV142 NOX142 NOZ142 NPB142 NPD142 NPF142 NPH142 NPJ142 NPL142 NPN142 NPP142 NPR142 NPT142 NPV142 NPX142 NPZ142 NQB142 NQD142 NQF142 NQH142 NQJ142 NQL142 NQN142 NQP142 NQR142 NQT142 NQV142 NQX142 NQZ142 NRB142 NRD142 NRF142 NRH142 NRJ142 NRL142 NRN142 NRP142 NRR142 NRT142 NRV142 NRX142 NRZ142 NSB142 NSD142 NSF142 NSH142 NSJ142 NSL142 NSN142 NSP142 NSR142 NST142 NSV142 NSX142 NSZ142 NTB142 NTD142 NTF142 NTH142 NTJ142 NTL142 NTN142 NTP142 NTR142 NTT142 NTV142 NTX142 NTZ142 NUB142 NUD142 NUF142 NUH142 NUJ142 NUL142 NUN142 NUP142 NUR142 NUT142 NUV142 NUX142 NUZ142 NVB142 NVD142 NVF142 NVH142 NVJ142 NVL142 NVN142 NVP142 NVR142 NVT142 NVV142 NVX142 NVZ142 NWB142 NWD142 NWF142 NWH142 NWJ142 NWL142 NWN142 NWP142 NWR142 NWT142 NWV142 NWX142 NWZ142 NXB142 NXD142 NXF142 NXH142 NXJ142 NXL142 NXN142 NXP142 NXR142 NXT142 NXV142 NXX142 NXZ142 NYB142 NYD142 NYF142 NYH142 NYJ142 NYL142 NYN142 NYP142 NYR142 NYT142 NYV142 NYX142 NYZ142 NZB142 NZD142 NZF142 NZH142 NZJ142 NZL142 NZN142 NZP142 NZR142 NZT142 NZV142 NZX142 NZZ142 OAB142 OAD142 OAF142 OAH142 OAJ142 OAL142 OAN142 OAP142 OAR142 OAT142 OAV142 OAX142 OAZ142 OBB142 OBD142 OBF142 OBH142 OBJ142 OBL142 OBN142 OBP142 OBR142 OBT142 OBV142 OBX142 OBZ142 OCB142 OCD142 OCF142 OCH142 OCJ142 OCL142 OCN142 OCP142 OCR142 OCT142 OCV142 OCX142 OCZ142 ODB142 ODD142 ODF142 ODH142 ODJ142 ODL142 ODN142 ODP142 ODR142 ODT142 ODV142 ODX142 ODZ142 OEB142 OED142 OEF142 OEH142 OEJ142 OEL142 OEN142 OEP142 OER142 OET142 OEV142 OEX142 OEZ142 OFB142 OFD142 OFF142 OFH142 OFJ142 OFL142 OFN142 OFP142 OFR142 OFT142 OFV142 OFX142 OFZ142 OGB142 OGD142 OGF142 OGH142 OGJ142 OGL142 OGN142 OGP142 OGR142 OGT142 OGV142 OGX142 OGZ142 OHB142 OHD142 OHF142 OHH142 OHJ142 OHL142 OHN142 OHP142 OHR142 OHT142 OHV142 OHX142 OHZ142 OIB142 OID142 OIF142 OIH142 OIJ142 OIL142 OIN142 OIP142 OIR142 OIT142 OIV142 OIX142 OIZ142 OJB142 OJD142 OJF142 OJH142 OJJ142 OJL142 OJN142 OJP142 OJR142 OJT142 OJV142 OJX142 OJZ142 OKB142 OKD142 OKF142 OKH142 OKJ142 OKL142 OKN142 OKP142 OKR142 OKT142 OKV142 OKX142 OKZ142 OLB142 OLD142 OLF142 OLH142 OLJ142 OLL142 OLN142 OLP142 OLR142 OLT142 OLV142 OLX142 OLZ142 OMB142 OMD142 OMF142 OMH142 OMJ142 OML142 OMN142 OMP142 OMR142 OMT142 OMV142 OMX142 OMZ142 ONB142 OND142 ONF142 ONH142 ONJ142 ONL142 ONN142 ONP142 ONR142 ONT142 ONV142 ONX142 ONZ142 OOB142 OOD142 OOF142 OOH142 OOJ142 OOL142 OON142 OOP142 OOR142 OOT142 OOV142 OOX142 OOZ142 OPB142 OPD142 OPF142 OPH142 OPJ142 OPL142 OPN142 OPP142 OPR142 OPT142 OPV142 OPX142 OPZ142 OQB142 OQD142 OQF142 OQH142 OQJ142 OQL142 OQN142 OQP142 OQR142 OQT142 OQV142 OQX142 OQZ142 ORB142 ORD142 ORF142 ORH142 ORJ142 ORL142 ORN142 ORP142 ORR142 ORT142 ORV142 ORX142 ORZ142 OSB142 OSD142 OSF142 OSH142 OSJ142 OSL142 OSN142 OSP142 OSR142 OST142 OSV142 OSX142 OSZ142 OTB142 OTD142 OTF142 OTH142 OTJ142 OTL142 OTN142 OTP142 OTR142 OTT142 OTV142 OTX142 OTZ142 OUB142 OUD142 OUF142 OUH142 OUJ142 OUL142 OUN142 OUP142 OUR142 OUT142 OUV142 OUX142 OUZ142 OVB142 OVD142 OVF142 OVH142 OVJ142 OVL142 OVN142 OVP142 OVR142 OVT142 OVV142 OVX142 OVZ142 OWB142 OWD142 OWF142 OWH142 OWJ142 OWL142 OWN142 OWP142 OWR142 OWT142 OWV142 OWX142 OWZ142 OXB142 OXD142 OXF142 OXH142 OXJ142 OXL142 OXN142 OXP142 OXR142 OXT142 OXV142 OXX142 OXZ142 OYB142 OYD142 OYF142 OYH142 OYJ142 OYL142 OYN142 OYP142 OYR142 OYT142 OYV142 OYX142 OYZ142 OZB142 OZD142 OZF142 OZH142 OZJ142 OZL142 OZN142 OZP142 OZR142 OZT142 OZV142 OZX142 OZZ142 PAB142 PAD142 PAF142 PAH142 PAJ142 PAL142 PAN142 PAP142 PAR142 PAT142 PAV142 PAX142 PAZ142 PBB142 PBD142 PBF142 PBH142 PBJ142 PBL142 PBN142 PBP142 PBR142 PBT142 PBV142 PBX142 PBZ142 PCB142 PCD142 PCF142 PCH142 PCJ142 PCL142 PCN142 PCP142 PCR142 PCT142 PCV142 PCX142 PCZ142 PDB142 PDD142 PDF142 PDH142 PDJ142 PDL142 PDN142 PDP142 PDR142 PDT142 PDV142 PDX142 PDZ142 PEB142 PED142 PEF142 PEH142 PEJ142 PEL142 PEN142 PEP142 PER142 PET142 PEV142 PEX142 PEZ142 PFB142 PFD142 PFF142 PFH142 PFJ142 PFL142 PFN142 PFP142 PFR142 PFT142 PFV142 PFX142 PFZ142 PGB142 PGD142 PGF142 PGH142 PGJ142 PGL142 PGN142 PGP142 PGR142 PGT142 PGV142 PGX142 PGZ142 PHB142 PHD142 PHF142 PHH142 PHJ142 PHL142 PHN142 PHP142 PHR142 PHT142 PHV142 PHX142 PHZ142 PIB142 PID142 PIF142 PIH142 PIJ142 PIL142 PIN142 PIP142 PIR142 PIT142 PIV142 PIX142 PIZ142 PJB142 PJD142 PJF142 PJH142 PJJ142 PJL142 PJN142 PJP142 PJR142 PJT142 PJV142 PJX142 PJZ142 PKB142 PKD142 PKF142 PKH142 PKJ142 PKL142 PKN142 PKP142 PKR142 PKT142 PKV142 PKX142 PKZ142 PLB142 PLD142 PLF142 PLH142 PLJ142 PLL142 PLN142 PLP142 PLR142 PLT142 PLV142 PLX142 PLZ142 PMB142 PMD142 PMF142 PMH142 PMJ142 PML142 PMN142 PMP142 PMR142 PMT142 PMV142 PMX142 PMZ142 PNB142 PND142 PNF142 PNH142 PNJ142 PNL142 PNN142 PNP142 PNR142 PNT142 PNV142 PNX142 PNZ142 POB142 POD142 POF142 POH142 POJ142 POL142 PON142 POP142 POR142 POT142 POV142 POX142 POZ142 PPB142 PPD142 PPF142 PPH142 PPJ142 PPL142 PPN142 PPP142 PPR142 PPT142 PPV142 PPX142 PPZ142 PQB142 PQD142 PQF142 PQH142 PQJ142 PQL142 PQN142 PQP142 PQR142 PQT142 PQV142 PQX142 PQZ142 PRB142 PRD142 PRF142 PRH142 PRJ142 PRL142 PRN142 PRP142 PRR142 PRT142 PRV142 PRX142 PRZ142 PSB142 PSD142 PSF142 PSH142 PSJ142 PSL142 PSN142 PSP142 PSR142 PST142 PSV142 PSX142 PSZ142 PTB142 PTD142 PTF142 PTH142 PTJ142 PTL142 PTN142 PTP142 PTR142 PTT142 PTV142 PTX142 PTZ142 PUB142 PUD142 PUF142 PUH142 PUJ142 PUL142 PUN142 PUP142 PUR142 PUT142 PUV142 PUX142 PUZ142 PVB142 PVD142 PVF142 PVH142 PVJ142 PVL142 PVN142 PVP142 PVR142 PVT142 PVV142 PVX142 PVZ142 PWB142 PWD142 PWF142 PWH142 PWJ142 PWL142 PWN142 PWP142 PWR142 PWT142 PWV142 PWX142 PWZ142 PXB142 PXD142 PXF142 PXH142 PXJ142 PXL142 PXN142 PXP142 PXR142 PXT142 PXV142 PXX142 PXZ142 PYB142 PYD142 PYF142 PYH142 PYJ142 PYL142 PYN142 PYP142 PYR142 PYT142 PYV142 PYX142 PYZ142 PZB142 PZD142 PZF142 PZH142 PZJ142 PZL142 PZN142 PZP142 PZR142 PZT142 PZV142 PZX142 PZZ142 QAB142 QAD142 QAF142 QAH142 QAJ142 QAL142 QAN142 QAP142 QAR142 QAT142 QAV142 QAX142 QAZ142 QBB142 QBD142 QBF142 QBH142 QBJ142 QBL142 QBN142 QBP142 QBR142 QBT142 QBV142 QBX142 QBZ142 QCB142 QCD142 QCF142 QCH142 QCJ142 QCL142 QCN142 QCP142 QCR142 QCT142 QCV142 QCX142 QCZ142 QDB142 QDD142 QDF142 QDH142 QDJ142 QDL142 QDN142 QDP142 QDR142 QDT142 QDV142 QDX142 QDZ142 QEB142 QED142 QEF142 QEH142 QEJ142 QEL142 QEN142 QEP142 QER142 QET142 QEV142 QEX142 QEZ142 QFB142 QFD142 QFF142 QFH142 QFJ142 QFL142 QFN142 QFP142 QFR142 QFT142 QFV142 QFX142 QFZ142 QGB142 QGD142 QGF142 QGH142 QGJ142 QGL142 QGN142 QGP142 QGR142 QGT142 QGV142 QGX142 QGZ142 QHB142 QHD142 QHF142 QHH142 QHJ142 QHL142 QHN142 QHP142 QHR142 QHT142 QHV142 QHX142 QHZ142 QIB142 QID142 QIF142 QIH142 QIJ142 QIL142 QIN142 QIP142 QIR142 QIT142 QIV142 QIX142 QIZ142 QJB142 QJD142 QJF142 QJH142 QJJ142 QJL142 QJN142 QJP142 QJR142 QJT142 QJV142 QJX142 QJZ142 QKB142 QKD142 QKF142 QKH142 QKJ142 QKL142 QKN142 QKP142 QKR142 QKT142 QKV142 QKX142 QKZ142 QLB142 QLD142 QLF142 QLH142 QLJ142 QLL142 QLN142 QLP142 QLR142 QLT142 QLV142 QLX142 QLZ142 QMB142 QMD142 QMF142 QMH142 QMJ142 QML142 QMN142 QMP142 QMR142 QMT142 QMV142 QMX142 QMZ142 QNB142 QND142 QNF142 QNH142 QNJ142 QNL142 QNN142 QNP142 QNR142 QNT142 QNV142 QNX142 QNZ142 QOB142 QOD142 QOF142 QOH142 QOJ142 QOL142 QON142 QOP142 QOR142 QOT142 QOV142 QOX142 QOZ142 QPB142 QPD142 QPF142 QPH142 QPJ142 QPL142 QPN142 QPP142 QPR142 QPT142 QPV142 QPX142 QPZ142 QQB142 QQD142 QQF142 QQH142 QQJ142 QQL142 QQN142 QQP142 QQR142 QQT142 QQV142 QQX142 QQZ142 QRB142 QRD142 QRF142 QRH142 QRJ142 QRL142 QRN142 QRP142 QRR142 QRT142 QRV142 QRX142 QRZ142 QSB142 QSD142 QSF142 QSH142 QSJ142 QSL142 QSN142 QSP142 QSR142 QST142 QSV142 QSX142 QSZ142 QTB142 QTD142 QTF142 QTH142 QTJ142 QTL142 QTN142 QTP142 QTR142 QTT142 QTV142 QTX142 QTZ142 QUB142 QUD142 QUF142 QUH142 QUJ142 QUL142 QUN142 QUP142 QUR142 QUT142 QUV142 QUX142 QUZ142 QVB142 QVD142 QVF142 QVH142 QVJ142 QVL142 QVN142 QVP142 QVR142 QVT142 QVV142 QVX142 QVZ142 QWB142 QWD142 QWF142 QWH142 QWJ142 QWL142 QWN142 QWP142 QWR142 QWT142 QWV142 QWX142 QWZ142 QXB142 QXD142 QXF142 QXH142 QXJ142 QXL142 QXN142 QXP142 QXR142 QXT142 QXV142 QXX142 QXZ142 QYB142 QYD142 QYF142 QYH142 QYJ142 QYL142 QYN142 QYP142 QYR142 QYT142 QYV142 QYX142 QYZ142 QZB142 QZD142 QZF142 QZH142 QZJ142 QZL142 QZN142 QZP142 QZR142 QZT142 QZV142 QZX142 QZZ142 RAB142 RAD142 RAF142 RAH142 RAJ142 RAL142 RAN142 RAP142 RAR142 RAT142 RAV142 RAX142 RAZ142 RBB142 RBD142 RBF142 RBH142 RBJ142 RBL142 RBN142 RBP142 RBR142 RBT142 RBV142 RBX142 RBZ142 RCB142 RCD142 RCF142 RCH142 RCJ142 RCL142 RCN142 RCP142 RCR142 RCT142 RCV142 RCX142 RCZ142 RDB142 RDD142 RDF142 RDH142 RDJ142 RDL142 RDN142 RDP142 RDR142 RDT142 RDV142 RDX142 RDZ142 REB142 RED142 REF142 REH142 REJ142 REL142 REN142 REP142 RER142 RET142 REV142 REX142 REZ142 RFB142 RFD142 RFF142 RFH142 RFJ142 RFL142 RFN142 RFP142 RFR142 RFT142 RFV142 RFX142 RFZ142 RGB142 RGD142 RGF142 RGH142 RGJ142 RGL142 RGN142 RGP142 RGR142 RGT142 RGV142 RGX142 RGZ142 RHB142 RHD142 RHF142 RHH142 RHJ142 RHL142 RHN142 RHP142 RHR142 RHT142 RHV142 RHX142 RHZ142 RIB142 RID142 RIF142 RIH142 RIJ142 RIL142 RIN142 RIP142 RIR142 RIT142 RIV142 RIX142 RIZ142 RJB142 RJD142 RJF142 RJH142 RJJ142 RJL142 RJN142 RJP142 RJR142 RJT142 RJV142 RJX142 RJZ142 RKB142 RKD142 RKF142 RKH142 RKJ142 RKL142 RKN142 RKP142 RKR142 RKT142 RKV142 RKX142 RKZ142 RLB142 RLD142 RLF142 RLH142 RLJ142 RLL142 RLN142 RLP142 RLR142 RLT142 RLV142 RLX142 RLZ142 RMB142 RMD142 RMF142 RMH142 RMJ142 RML142 RMN142 RMP142 RMR142 RMT142 RMV142 RMX142 RMZ142 RNB142 RND142 RNF142 RNH142 RNJ142 RNL142 RNN142 RNP142 RNR142 RNT142 RNV142 RNX142 RNZ142 ROB142 ROD142 ROF142 ROH142 ROJ142 ROL142 RON142 ROP142 ROR142 ROT142 ROV142 ROX142 ROZ142 RPB142 RPD142 RPF142 RPH142 RPJ142 RPL142 RPN142 RPP142 RPR142 RPT142 RPV142 RPX142 RPZ142 RQB142 RQD142 RQF142 RQH142 RQJ142 RQL142 RQN142 RQP142 RQR142 RQT142 RQV142 RQX142 RQZ142 RRB142 RRD142 RRF142 RRH142 RRJ142 RRL142 RRN142 RRP142 RRR142 RRT142 RRV142 RRX142 RRZ142 RSB142 RSD142 RSF142 RSH142 RSJ142 RSL142 RSN142 RSP142 RSR142 RST142 RSV142 RSX142 RSZ142 RTB142 RTD142 RTF142 RTH142 RTJ142 RTL142 RTN142 RTP142 RTR142 RTT142 RTV142 RTX142 RTZ142 RUB142 RUD142 RUF142 RUH142 RUJ142 RUL142 RUN142 RUP142 RUR142 RUT142 RUV142 RUX142 RUZ142 RVB142 RVD142 RVF142 RVH142 RVJ142 RVL142 RVN142 RVP142 RVR142 RVT142 RVV142 RVX142 RVZ142 RWB142 RWD142 RWF142 RWH142 RWJ142 RWL142 RWN142 RWP142 RWR142 RWT142 RWV142 RWX142 RWZ142 RXB142 RXD142 RXF142 RXH142 RXJ142 RXL142 RXN142 RXP142 RXR142 RXT142 RXV142 RXX142 RXZ142 RYB142 RYD142 RYF142 RYH142 RYJ142 RYL142 RYN142 RYP142 RYR142 RYT142 RYV142 RYX142 RYZ142 RZB142 RZD142 RZF142 RZH142 RZJ142 RZL142 RZN142 RZP142 RZR142 RZT142 RZV142 RZX142 RZZ142 SAB142 SAD142 SAF142 SAH142 SAJ142 SAL142 SAN142 SAP142 SAR142 SAT142 SAV142 SAX142 SAZ142 SBB142 SBD142 SBF142 SBH142 SBJ142 SBL142 SBN142 SBP142 SBR142 SBT142 SBV142 SBX142 SBZ142 SCB142 SCD142 SCF142 SCH142 SCJ142 SCL142 SCN142 SCP142 SCR142 SCT142 SCV142 SCX142 SCZ142 SDB142 SDD142 SDF142 SDH142 SDJ142 SDL142 SDN142 SDP142 SDR142 SDT142 SDV142 SDX142 SDZ142 SEB142 SED142 SEF142 SEH142 SEJ142 SEL142 SEN142 SEP142 SER142 SET142 SEV142 SEX142 SEZ142 SFB142 SFD142 SFF142 SFH142 SFJ142 SFL142 SFN142 SFP142 SFR142 SFT142 SFV142 SFX142 SFZ142 SGB142 SGD142 SGF142 SGH142 SGJ142 SGL142 SGN142 SGP142 SGR142 SGT142 SGV142 SGX142 SGZ142 SHB142 SHD142 SHF142 SHH142 SHJ142 SHL142 SHN142 SHP142 SHR142 SHT142 SHV142 SHX142 SHZ142 SIB142 SID142 SIF142 SIH142 SIJ142 SIL142 SIN142 SIP142 SIR142 SIT142 SIV142 SIX142 SIZ142 SJB142 SJD142 SJF142 SJH142 SJJ142 SJL142 SJN142 SJP142 SJR142 SJT142 SJV142 SJX142 SJZ142 SKB142 SKD142 SKF142 SKH142 SKJ142 SKL142 SKN142 SKP142 SKR142 SKT142 SKV142 SKX142 SKZ142 SLB142 SLD142 SLF142 SLH142 SLJ142 SLL142 SLN142 SLP142 SLR142 SLT142 SLV142 SLX142 SLZ142 SMB142 SMD142 SMF142 SMH142 SMJ142 SML142 SMN142 SMP142 SMR142 SMT142 SMV142 SMX142 SMZ142 SNB142 SND142 SNF142 SNH142 SNJ142 SNL142 SNN142 SNP142 SNR142 SNT142 SNV142 SNX142 SNZ142 SOB142 SOD142 SOF142 SOH142 SOJ142 SOL142 SON142 SOP142 SOR142 SOT142 SOV142 SOX142 SOZ142 SPB142 SPD142 SPF142 SPH142 SPJ142 SPL142 SPN142 SPP142 SPR142 SPT142 SPV142 SPX142 SPZ142 SQB142 SQD142 SQF142 SQH142 SQJ142 SQL142 SQN142 SQP142 SQR142 SQT142 SQV142 SQX142 SQZ142 SRB142 SRD142 SRF142 SRH142 SRJ142 SRL142 SRN142 SRP142 SRR142 SRT142 SRV142 SRX142 SRZ142 SSB142 SSD142 SSF142 SSH142 SSJ142 SSL142 SSN142 SSP142 SSR142 SST142 SSV142 SSX142 SSZ142 STB142 STD142 STF142 STH142 STJ142 STL142 STN142 STP142 STR142 STT142 STV142 STX142 STZ142 SUB142 SUD142 SUF142 SUH142 SUJ142 SUL142 SUN142 SUP142 SUR142 SUT142 SUV142 SUX142 SUZ142 SVB142 SVD142 SVF142 SVH142 SVJ142 SVL142 SVN142 SVP142 SVR142 SVT142 SVV142 SVX142 SVZ142 SWB142 SWD142 SWF142 SWH142 SWJ142 SWL142 SWN142 SWP142 SWR142 SWT142 SWV142 SWX142 SWZ142 SXB142 SXD142 SXF142 SXH142 SXJ142 SXL142 SXN142 SXP142 SXR142 SXT142 SXV142 SXX142 SXZ142 SYB142 SYD142 SYF142 SYH142 SYJ142 SYL142 SYN142 SYP142 SYR142 SYT142 SYV142 SYX142 SYZ142 SZB142 SZD142 SZF142 SZH142 SZJ142 SZL142 SZN142 SZP142 SZR142 SZT142 SZV142 SZX142 SZZ142 TAB142 TAD142 TAF142 TAH142 TAJ142 TAL142 TAN142 TAP142 TAR142 TAT142 TAV142 TAX142 TAZ142 TBB142 TBD142 TBF142 TBH142 TBJ142 TBL142 TBN142 TBP142 TBR142 TBT142 TBV142 TBX142 TBZ142 TCB142 TCD142 TCF142 TCH142 TCJ142 TCL142 TCN142 TCP142 TCR142 TCT142 TCV142 TCX142 TCZ142 TDB142 TDD142 TDF142 TDH142 TDJ142 TDL142 TDN142 TDP142 TDR142 TDT142 TDV142 TDX142 TDZ142 TEB142 TED142 TEF142 TEH142 TEJ142 TEL142 TEN142 TEP142 TER142 TET142 TEV142 TEX142 TEZ142 TFB142 TFD142 TFF142 TFH142 TFJ142 TFL142 TFN142 TFP142 TFR142 TFT142 TFV142 TFX142 TFZ142 TGB142 TGD142 TGF142 TGH142 TGJ142 TGL142 TGN142 TGP142 TGR142 TGT142 TGV142 TGX142 TGZ142 THB142 THD142 THF142 THH142 THJ142 THL142 THN142 THP142 THR142 THT142 THV142 THX142 THZ142 TIB142 TID142 TIF142 TIH142 TIJ142 TIL142 TIN142 TIP142 TIR142 TIT142 TIV142 TIX142 TIZ142 TJB142 TJD142 TJF142 TJH142 TJJ142 TJL142 TJN142 TJP142 TJR142 TJT142 TJV142 TJX142 TJZ142 TKB142 TKD142 TKF142 TKH142 TKJ142 TKL142 TKN142 TKP142 TKR142 TKT142 TKV142 TKX142 TKZ142 TLB142 TLD142 TLF142 TLH142 TLJ142 TLL142 TLN142 TLP142 TLR142 TLT142 TLV142 TLX142 TLZ142 TMB142 TMD142 TMF142 TMH142 TMJ142 TML142 TMN142 TMP142 TMR142 TMT142 TMV142 TMX142 TMZ142 TNB142 TND142 TNF142 TNH142 TNJ142 TNL142 TNN142 TNP142 TNR142 TNT142 TNV142 TNX142 TNZ142 TOB142 TOD142 TOF142 TOH142 TOJ142 TOL142 TON142 TOP142 TOR142 TOT142 TOV142 TOX142 TOZ142 TPB142 TPD142 TPF142 TPH142 TPJ142 TPL142 TPN142 TPP142 TPR142 TPT142 TPV142 TPX142 TPZ142 TQB142 TQD142 TQF142 TQH142 TQJ142 TQL142 TQN142 TQP142 TQR142 TQT142 TQV142 TQX142 TQZ142 TRB142 TRD142 TRF142 TRH142 TRJ142 TRL142 TRN142 TRP142 TRR142 TRT142 TRV142 TRX142 TRZ142 TSB142 TSD142 TSF142 TSH142 TSJ142 TSL142 TSN142 TSP142 TSR142 TST142 TSV142 TSX142 TSZ142 TTB142 TTD142 TTF142 TTH142 TTJ142 TTL142 TTN142 TTP142 TTR142 TTT142 TTV142 TTX142 TTZ142 TUB142 TUD142 TUF142 TUH142 TUJ142 TUL142 TUN142 TUP142 TUR142 TUT142 TUV142 TUX142 TUZ142 TVB142 TVD142 TVF142 TVH142 TVJ142 TVL142 TVN142 TVP142 TVR142 TVT142 TVV142 TVX142 TVZ142 TWB142 TWD142 TWF142 TWH142 TWJ142 TWL142 TWN142 TWP142 TWR142 TWT142 TWV142 TWX142 TWZ142 TXB142 TXD142 TXF142 TXH142 TXJ142 TXL142 TXN142 TXP142 TXR142 TXT142 TXV142 TXX142 TXZ142 TYB142 TYD142 TYF142 TYH142 TYJ142 TYL142 TYN142 TYP142 TYR142 TYT142 TYV142 TYX142 TYZ142 TZB142 TZD142 TZF142 TZH142 TZJ142 TZL142 TZN142 TZP142 TZR142 TZT142 TZV142 TZX142 TZZ142 UAB142 UAD142 UAF142 UAH142 UAJ142 UAL142 UAN142 UAP142 UAR142 UAT142 UAV142 UAX142 UAZ142 UBB142 UBD142 UBF142 UBH142 UBJ142 UBL142 UBN142 UBP142 UBR142 UBT142 UBV142 UBX142 UBZ142 UCB142 UCD142 UCF142 UCH142 UCJ142 UCL142 UCN142 UCP142 UCR142 UCT142 UCV142 UCX142 UCZ142 UDB142 UDD142 UDF142 UDH142 UDJ142 UDL142 UDN142 UDP142 UDR142 UDT142 UDV142 UDX142 UDZ142 UEB142 UED142 UEF142 UEH142 UEJ142 UEL142 UEN142 UEP142 UER142 UET142 UEV142 UEX142 UEZ142 UFB142 UFD142 UFF142 UFH142 UFJ142 UFL142 UFN142 UFP142 UFR142 UFT142 UFV142 UFX142 UFZ142 UGB142 UGD142 UGF142 UGH142 UGJ142 UGL142 UGN142 UGP142 UGR142 UGT142 UGV142 UGX142 UGZ142 UHB142 UHD142 UHF142 UHH142 UHJ142 UHL142 UHN142 UHP142 UHR142 UHT142 UHV142 UHX142 UHZ142 UIB142 UID142 UIF142 UIH142 UIJ142 UIL142 UIN142 UIP142 UIR142 UIT142 UIV142 UIX142 UIZ142 UJB142 UJD142 UJF142 UJH142 UJJ142 UJL142 UJN142 UJP142 UJR142 UJT142 UJV142 UJX142 UJZ142 UKB142 UKD142 UKF142 UKH142 UKJ142 UKL142 UKN142 UKP142 UKR142 UKT142 UKV142 UKX142 UKZ142 ULB142 ULD142 ULF142 ULH142 ULJ142 ULL142 ULN142 ULP142 ULR142 ULT142 ULV142 ULX142 ULZ142 UMB142 UMD142 UMF142 UMH142 UMJ142 UML142 UMN142 UMP142 UMR142 UMT142 UMV142 UMX142 UMZ142 UNB142 UND142 UNF142 UNH142 UNJ142 UNL142 UNN142 UNP142 UNR142 UNT142 UNV142 UNX142 UNZ142 UOB142 UOD142 UOF142 UOH142 UOJ142 UOL142 UON142 UOP142 UOR142 UOT142 UOV142 UOX142 UOZ142 UPB142 UPD142 UPF142 UPH142 UPJ142 UPL142 UPN142 UPP142 UPR142 UPT142 UPV142 UPX142 UPZ142 UQB142 UQD142 UQF142 UQH142 UQJ142 UQL142 UQN142 UQP142 UQR142 UQT142 UQV142 UQX142 UQZ142 URB142 URD142 URF142 URH142 URJ142 URL142 URN142 URP142 URR142 URT142 URV142 URX142 URZ142 USB142 USD142 USF142 USH142 USJ142 USL142 USN142 USP142 USR142 UST142 USV142 USX142 USZ142 UTB142 UTD142 UTF142 UTH142 UTJ142 UTL142 UTN142 UTP142 UTR142 UTT142 UTV142 UTX142 UTZ142 UUB142 UUD142 UUF142 UUH142 UUJ142 UUL142 UUN142 UUP142 UUR142 UUT142 UUV142 UUX142 UUZ142 UVB142 UVD142 UVF142 UVH142 UVJ142 UVL142 UVN142 UVP142 UVR142 UVT142 UVV142 UVX142 UVZ142 UWB142 UWD142 UWF142 UWH142 UWJ142 UWL142 UWN142 UWP142 UWR142 UWT142 UWV142 UWX142 UWZ142 UXB142 UXD142 UXF142 UXH142 UXJ142 UXL142 UXN142 UXP142 UXR142 UXT142 UXV142 UXX142 UXZ142 UYB142 UYD142 UYF142 UYH142 UYJ142 UYL142 UYN142 UYP142 UYR142 UYT142 UYV142 UYX142 UYZ142 UZB142 UZD142 UZF142 UZH142 UZJ142 UZL142 UZN142 UZP142 UZR142 UZT142 UZV142 UZX142 UZZ142 VAB142 VAD142 VAF142 VAH142 VAJ142 VAL142 VAN142 VAP142 VAR142 VAT142 VAV142 VAX142 VAZ142 VBB142 VBD142 VBF142 VBH142 VBJ142 VBL142 VBN142 VBP142 VBR142 VBT142 VBV142 VBX142 VBZ142 VCB142 VCD142 VCF142 VCH142 VCJ142 VCL142 VCN142 VCP142 VCR142 VCT142 VCV142 VCX142 VCZ142 VDB142 VDD142 VDF142 VDH142 VDJ142 VDL142 VDN142 VDP142 VDR142 VDT142 VDV142 VDX142 VDZ142 VEB142 VED142 VEF142 VEH142 VEJ142 VEL142 VEN142 VEP142 VER142 VET142 VEV142 VEX142 VEZ142 VFB142 VFD142 VFF142 VFH142 VFJ142 VFL142 VFN142 VFP142 VFR142 VFT142 VFV142 VFX142 VFZ142 VGB142 VGD142 VGF142 VGH142 VGJ142 VGL142 VGN142 VGP142 VGR142 VGT142 VGV142 VGX142 VGZ142 VHB142 VHD142 VHF142 VHH142 VHJ142 VHL142 VHN142 VHP142 VHR142 VHT142 VHV142 VHX142 VHZ142 VIB142 VID142 VIF142 VIH142 VIJ142 VIL142 VIN142 VIP142 VIR142 VIT142 VIV142 VIX142 VIZ142 VJB142 VJD142 VJF142 VJH142 VJJ142 VJL142 VJN142 VJP142 VJR142 VJT142 VJV142 VJX142 VJZ142 VKB142 VKD142 VKF142 VKH142 VKJ142 VKL142 VKN142 VKP142 VKR142 VKT142 VKV142 VKX142 VKZ142 VLB142 VLD142 VLF142 VLH142 VLJ142 VLL142 VLN142 VLP142 VLR142 VLT142 VLV142 VLX142 VLZ142 VMB142 VMD142 VMF142 VMH142 VMJ142 VML142 VMN142 VMP142 VMR142 VMT142 VMV142 VMX142 VMZ142 VNB142 VND142 VNF142 VNH142 VNJ142 VNL142 VNN142 VNP142 VNR142 VNT142 VNV142 VNX142 VNZ142 VOB142 VOD142 VOF142 VOH142 VOJ142 VOL142 VON142 VOP142 VOR142 VOT142 VOV142 VOX142 VOZ142 VPB142 VPD142 VPF142 VPH142 VPJ142 VPL142 VPN142 VPP142 VPR142 VPT142 VPV142 VPX142 VPZ142 VQB142 VQD142 VQF142 VQH142 VQJ142 VQL142 VQN142 VQP142 VQR142 VQT142 VQV142 VQX142 VQZ142 VRB142 VRD142 VRF142 VRH142 VRJ142 VRL142 VRN142 VRP142 VRR142 VRT142 VRV142 VRX142 VRZ142 VSB142 VSD142 VSF142 VSH142 VSJ142 VSL142 VSN142 VSP142 VSR142 VST142 VSV142 VSX142 VSZ142 VTB142 VTD142 VTF142 VTH142 VTJ142 VTL142 VTN142 VTP142 VTR142 VTT142 VTV142 VTX142 VTZ142 VUB142 VUD142 VUF142 VUH142 VUJ142 VUL142 VUN142 VUP142 VUR142 VUT142 VUV142 VUX142 VUZ142 VVB142 VVD142 VVF142 VVH142 VVJ142 VVL142 VVN142 VVP142 VVR142 VVT142 VVV142 VVX142 VVZ142 VWB142 VWD142 VWF142 VWH142 VWJ142 VWL142 VWN142 VWP142 VWR142 VWT142 VWV142 VWX142 VWZ142 VXB142 VXD142 VXF142 VXH142 VXJ142 VXL142 VXN142 VXP142 VXR142 VXT142 VXV142 VXX142 VXZ142 VYB142 VYD142 VYF142 VYH142 VYJ142 VYL142 VYN142 VYP142 VYR142 VYT142 VYV142 VYX142 VYZ142 VZB142 VZD142 VZF142 VZH142 VZJ142 VZL142 VZN142 VZP142 VZR142 VZT142 VZV142 VZX142 VZZ142 WAB142 WAD142 WAF142 WAH142 WAJ142 WAL142 WAN142 WAP142 WAR142 WAT142 WAV142 WAX142 WAZ142 WBB142 WBD142 WBF142 WBH142 WBJ142 WBL142 WBN142 WBP142 WBR142 WBT142 WBV142 WBX142 WBZ142 WCB142 WCD142 WCF142 WCH142 WCJ142 WCL142 WCN142 WCP142 WCR142 WCT142 WCV142 WCX142 WCZ142 WDB142 WDD142 WDF142 WDH142 WDJ142 WDL142 WDN142 WDP142 WDR142 WDT142 WDV142 WDX142 WDZ142 WEB142 WED142 WEF142 WEH142 WEJ142 WEL142 WEN142 WEP142 WER142 WET142 WEV142 WEX142 WEZ142 WFB142 WFD142 WFF142 WFH142 WFJ142 WFL142 WFN142 WFP142 WFR142 WFT142 WFV142 WFX142 WFZ142 WGB142 WGD142 WGF142 WGH142 WGJ142 WGL142 WGN142 WGP142 WGR142 WGT142 WGV142 WGX142 WGZ142 WHB142 WHD142 WHF142 WHH142 WHJ142 WHL142 WHN142 WHP142 WHR142 WHT142 WHV142 WHX142 WHZ142 WIB142 WID142 WIF142 WIH142 WIJ142 WIL142 WIN142 WIP142 WIR142 WIT142 WIV142 WIX142 WIZ142 WJB142 WJD142 WJF142 WJH142 WJJ142 WJL142 WJN142 WJP142 WJR142 WJT142 WJV142 WJX142 WJZ142 WKB142 WKD142 WKF142 WKH142 WKJ142 WKL142 WKN142 WKP142 WKR142 WKT142 WKV142 WKX142 WKZ142 WLB142 WLD142 WLF142 WLH142 WLJ142 WLL142 WLN142 WLP142 WLR142 WLT142 WLV142 WLX142 WLZ142 WMB142 WMD142 WMF142 WMH142 WMJ142 WML142 WMN142 WMP142 WMR142 WMT142 WMV142 WMX142 WMZ142 WNB142 WND142 WNF142 WNH142 WNJ142 WNL142 WNN142 WNP142 WNR142 WNT142 WNV142 WNX142 WNZ142 WOB142 WOD142 WOF142 WOH142 WOJ142 WOL142 WON142 WOP142 WOR142 WOT142 WOV142 WOX142 WOZ142 WPB142 WPD142 WPF142 WPH142 WPJ142 WPL142 WPN142 WPP142 WPR142 WPT142 WPV142 WPX142 WPZ142 WQB142 WQD142 WQF142 WQH142 WQJ142 WQL142 WQN142 WQP142 WQR142 WQT142 WQV142 WQX142 WQZ142 WRB142 WRD142 WRF142 WRH142 WRJ142 WRL142 WRN142 WRP142 WRR142 WRT142 WRV142 WRX142 WRZ142 WSB142 WSD142 WSF142 WSH142 WSJ142 WSL142 WSN142 WSP142 WSR142 WST142 WSV142 WSX142 WSZ142 WTB142 WTD142 WTF142 WTH142 WTJ142 WTL142 WTN142 WTP142 WTR142 WTT142 WTV142 WTX142 WTZ142 WUB142 WUD142 WUF142 WUH142 WUJ142 WUL142 WUN142 WUP142 WUR142 WUT142 WUV142 WUX142 WUZ142 WVB142 WVD142 WVF142 WVH142 WVJ142 WVL142 WVN142 WVP142 WVR142 WVT142 WVV142 WVX142 WVZ142 WWB142 WWD142 WWF142 WWH142 WWJ142 WWL142 WWN142 WWP142 WWR142 WWT142 WWV142 WWX142 WWZ142 WXB142 WXD142 WXF142 WXH142 WXJ142 WXL142 WXN142 WXP142 WXR142 WXT142 WXV142 WXX142 WXZ142 WYB142 WYD142 WYF142 WYH142 WYJ142 WYL142 WYN142 WYP142 WYR142 WYT142 WYV142 WYX142 WYZ142 WZB142 WZD142 WZF142 WZH142 WZJ142 WZL142 WZN142 WZP142 WZR142 WZT142 WZV142 WZX142 WZZ142 XAB142 XAD142 XAF142 XAH142 XAJ142 XAL142 XAN142 XAP142 XAR142 XAT142 XAV142 XAX142 XAZ142 XBB142 XBD142 XBF142 XBH142 XBJ142 XBL142 XBN142 XBP142 XBR142 XBT142 XBV142 XBX142 XBZ142 XCB142 XCD142 XCF142 XCH142 XCJ142 XCL142 XCN142 XCP142 XCR142 XCT142 XCV142 XCX142 XCZ142 XDB142 XDD142 XDF142 XDH142 XDJ142 XDL142 XDN142 XDP142 XDR142 XDT142 XDV142 XDX142 XDZ142 XEB142 XED142 XEF142 XEH142 XEJ142 XEL142 XEN142 XEP142 XER142 XET142 XEV142 XEX142 XEZ142 XFB142 XFD142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CA993-B64A-4646-B7A1-64398E9833C4}">
  <sheetPr>
    <tabColor rgb="FFFF0000"/>
  </sheetPr>
  <dimension ref="A1:H28"/>
  <sheetViews>
    <sheetView topLeftCell="D1" zoomScale="105" workbookViewId="0">
      <selection activeCell="H11" sqref="H11"/>
    </sheetView>
  </sheetViews>
  <sheetFormatPr baseColWidth="10" defaultColWidth="137.33203125" defaultRowHeight="15" customHeight="1" x14ac:dyDescent="0.3"/>
  <cols>
    <col min="1" max="1" width="43.109375" bestFit="1" customWidth="1"/>
    <col min="2" max="2" width="10.88671875" style="26" bestFit="1" customWidth="1"/>
    <col min="3" max="3" width="10.5546875" customWidth="1"/>
    <col min="4" max="4" width="64.6640625" customWidth="1"/>
    <col min="5" max="5" width="9.6640625" bestFit="1" customWidth="1"/>
    <col min="6" max="6" width="11.6640625" bestFit="1" customWidth="1"/>
    <col min="7" max="7" width="5.6640625" bestFit="1" customWidth="1"/>
    <col min="8" max="8" width="6.6640625" customWidth="1"/>
  </cols>
  <sheetData>
    <row r="1" spans="1:8" ht="15.6" x14ac:dyDescent="0.3">
      <c r="A1" s="10"/>
      <c r="B1" s="357"/>
      <c r="C1" s="358"/>
      <c r="D1" s="357"/>
      <c r="E1" s="33"/>
    </row>
    <row r="2" spans="1:8" ht="14.4" x14ac:dyDescent="0.3">
      <c r="A2" s="30" t="s">
        <v>2</v>
      </c>
      <c r="B2" s="2" t="s">
        <v>3</v>
      </c>
      <c r="C2" s="195" t="s">
        <v>5</v>
      </c>
      <c r="D2" s="30" t="s">
        <v>6</v>
      </c>
      <c r="E2" s="30" t="s">
        <v>8</v>
      </c>
      <c r="F2" s="36" t="s">
        <v>9</v>
      </c>
      <c r="G2" t="s">
        <v>10</v>
      </c>
      <c r="H2" t="s">
        <v>11</v>
      </c>
    </row>
    <row r="3" spans="1:8" ht="14.4" x14ac:dyDescent="0.3">
      <c r="A3" s="1" t="s">
        <v>384</v>
      </c>
      <c r="B3" s="6">
        <v>19</v>
      </c>
      <c r="C3" s="3" t="s">
        <v>16</v>
      </c>
      <c r="D3" s="1" t="s">
        <v>493</v>
      </c>
      <c r="E3" s="1"/>
      <c r="F3" s="1"/>
    </row>
    <row r="4" spans="1:8" ht="14.4" x14ac:dyDescent="0.3">
      <c r="A4" s="1" t="s">
        <v>404</v>
      </c>
      <c r="B4" s="3">
        <v>22</v>
      </c>
      <c r="C4" s="3" t="s">
        <v>16</v>
      </c>
      <c r="D4" s="1" t="s">
        <v>494</v>
      </c>
      <c r="E4" s="1"/>
      <c r="F4" s="1"/>
    </row>
    <row r="5" spans="1:8" ht="14.4" x14ac:dyDescent="0.3">
      <c r="A5" s="1" t="s">
        <v>322</v>
      </c>
      <c r="B5" s="6">
        <v>14</v>
      </c>
      <c r="C5" s="3" t="s">
        <v>16</v>
      </c>
      <c r="D5" s="1"/>
      <c r="E5" s="1"/>
      <c r="F5" s="1"/>
    </row>
    <row r="6" spans="1:8" ht="14.4" x14ac:dyDescent="0.3">
      <c r="A6" s="1" t="s">
        <v>385</v>
      </c>
      <c r="B6" s="6">
        <v>19</v>
      </c>
      <c r="C6" s="3" t="s">
        <v>16</v>
      </c>
      <c r="D6" s="1" t="s">
        <v>495</v>
      </c>
      <c r="E6" s="1"/>
      <c r="F6" s="1"/>
    </row>
    <row r="7" spans="1:8" ht="14.4" x14ac:dyDescent="0.3">
      <c r="A7" s="1" t="s">
        <v>128</v>
      </c>
      <c r="B7" s="6">
        <v>18</v>
      </c>
      <c r="C7" s="3" t="s">
        <v>16</v>
      </c>
      <c r="D7" s="1" t="s">
        <v>496</v>
      </c>
      <c r="E7" s="1"/>
      <c r="F7" s="1"/>
    </row>
    <row r="8" spans="1:8" ht="14.4" x14ac:dyDescent="0.3">
      <c r="A8" s="1" t="s">
        <v>143</v>
      </c>
      <c r="B8" s="6">
        <v>19</v>
      </c>
      <c r="C8" s="3" t="s">
        <v>16</v>
      </c>
      <c r="D8" s="1" t="s">
        <v>497</v>
      </c>
      <c r="E8" s="1"/>
      <c r="F8" s="1"/>
    </row>
    <row r="9" spans="1:8" ht="14.4" x14ac:dyDescent="0.3">
      <c r="A9" s="1" t="s">
        <v>337</v>
      </c>
      <c r="B9" s="6">
        <v>15</v>
      </c>
      <c r="C9" s="3" t="s">
        <v>16</v>
      </c>
      <c r="D9" s="1"/>
      <c r="E9" s="1"/>
      <c r="F9" s="1"/>
    </row>
    <row r="10" spans="1:8" ht="14.4" x14ac:dyDescent="0.3">
      <c r="A10" s="9" t="s">
        <v>410</v>
      </c>
      <c r="B10" s="14">
        <v>22</v>
      </c>
      <c r="C10" s="3" t="s">
        <v>16</v>
      </c>
      <c r="D10" s="1" t="s">
        <v>498</v>
      </c>
      <c r="E10" s="1"/>
      <c r="F10" s="1"/>
    </row>
    <row r="11" spans="1:8" ht="14.4" x14ac:dyDescent="0.3">
      <c r="A11" s="1" t="s">
        <v>126</v>
      </c>
      <c r="B11" s="6">
        <v>17</v>
      </c>
      <c r="C11" s="3" t="s">
        <v>16</v>
      </c>
      <c r="D11" s="1" t="s">
        <v>499</v>
      </c>
      <c r="E11" s="1"/>
      <c r="F11" s="1"/>
    </row>
    <row r="12" spans="1:8" ht="14.4" x14ac:dyDescent="0.3">
      <c r="A12" s="1" t="s">
        <v>412</v>
      </c>
      <c r="B12" s="3">
        <v>22</v>
      </c>
      <c r="C12" s="3" t="s">
        <v>14</v>
      </c>
      <c r="D12" s="1" t="s">
        <v>500</v>
      </c>
      <c r="E12" s="1"/>
      <c r="F12" s="1"/>
    </row>
    <row r="13" spans="1:8" ht="14.4" x14ac:dyDescent="0.3">
      <c r="A13" s="1" t="s">
        <v>68</v>
      </c>
      <c r="B13" s="6">
        <v>11</v>
      </c>
      <c r="C13" s="3" t="s">
        <v>14</v>
      </c>
      <c r="D13" s="1"/>
      <c r="E13" s="1"/>
      <c r="F13" s="1"/>
    </row>
    <row r="14" spans="1:8" ht="14.4" x14ac:dyDescent="0.3">
      <c r="A14" s="1" t="s">
        <v>400</v>
      </c>
      <c r="B14" s="6">
        <v>20</v>
      </c>
      <c r="C14" s="3" t="s">
        <v>14</v>
      </c>
      <c r="D14" s="1"/>
      <c r="E14" s="1"/>
      <c r="F14" s="1"/>
    </row>
    <row r="15" spans="1:8" ht="14.4" x14ac:dyDescent="0.3">
      <c r="A15" s="1" t="s">
        <v>414</v>
      </c>
      <c r="B15" s="3">
        <v>22</v>
      </c>
      <c r="C15" s="3" t="s">
        <v>16</v>
      </c>
      <c r="D15" s="1" t="s">
        <v>501</v>
      </c>
      <c r="E15" s="1"/>
      <c r="F15" s="1"/>
    </row>
    <row r="16" spans="1:8" ht="14.4" x14ac:dyDescent="0.3">
      <c r="A16" s="9" t="s">
        <v>207</v>
      </c>
      <c r="B16" s="14" t="s">
        <v>203</v>
      </c>
      <c r="C16" s="3" t="s">
        <v>16</v>
      </c>
      <c r="D16" s="1" t="s">
        <v>208</v>
      </c>
      <c r="E16" s="1"/>
      <c r="F16" s="1"/>
    </row>
    <row r="17" spans="1:6" ht="14.4" x14ac:dyDescent="0.3">
      <c r="A17" s="1" t="s">
        <v>328</v>
      </c>
      <c r="B17" s="3">
        <v>14</v>
      </c>
      <c r="C17" s="3" t="s">
        <v>16</v>
      </c>
      <c r="D17" s="1"/>
      <c r="E17" s="1"/>
      <c r="F17" s="1"/>
    </row>
    <row r="18" spans="1:6" ht="14.4" x14ac:dyDescent="0.3">
      <c r="A18" s="1" t="s">
        <v>330</v>
      </c>
      <c r="B18" s="6">
        <v>14</v>
      </c>
      <c r="C18" s="3" t="s">
        <v>14</v>
      </c>
      <c r="D18" s="1" t="s">
        <v>493</v>
      </c>
      <c r="E18" s="1"/>
      <c r="F18" s="1"/>
    </row>
    <row r="19" spans="1:6" ht="14.4" x14ac:dyDescent="0.3">
      <c r="A19" s="9"/>
      <c r="B19" s="14"/>
      <c r="C19" s="14"/>
      <c r="D19" s="9"/>
      <c r="E19" s="68"/>
      <c r="F19" s="68"/>
    </row>
    <row r="20" spans="1:6" ht="14.4" x14ac:dyDescent="0.3">
      <c r="A20" s="68"/>
      <c r="B20" s="78"/>
      <c r="C20" s="78"/>
      <c r="D20" s="68"/>
      <c r="E20" s="1"/>
      <c r="F20" s="1"/>
    </row>
    <row r="21" spans="1:6" ht="14.4" x14ac:dyDescent="0.3">
      <c r="A21" s="1"/>
      <c r="B21" s="3"/>
      <c r="C21" s="3"/>
      <c r="D21" s="1"/>
      <c r="E21" s="1"/>
      <c r="F21" s="1"/>
    </row>
    <row r="22" spans="1:6" ht="14.4" x14ac:dyDescent="0.3">
      <c r="A22" s="1"/>
      <c r="B22" s="3"/>
      <c r="C22" s="3"/>
      <c r="D22" s="1"/>
      <c r="E22" s="1"/>
      <c r="F22" s="1"/>
    </row>
    <row r="23" spans="1:6" ht="14.4" x14ac:dyDescent="0.3">
      <c r="A23" s="1"/>
      <c r="B23" s="3"/>
      <c r="C23" s="3"/>
      <c r="D23" s="1"/>
      <c r="E23" s="1"/>
      <c r="F23" s="1"/>
    </row>
    <row r="24" spans="1:6" ht="14.4" x14ac:dyDescent="0.3">
      <c r="A24" s="1"/>
      <c r="B24" s="3"/>
      <c r="C24" s="3"/>
      <c r="D24" s="1"/>
      <c r="E24" s="1"/>
      <c r="F24" s="1"/>
    </row>
    <row r="25" spans="1:6" ht="14.4" x14ac:dyDescent="0.3">
      <c r="A25" s="1"/>
      <c r="B25" s="3"/>
      <c r="C25" s="3"/>
      <c r="D25" s="1"/>
      <c r="E25" s="1"/>
      <c r="F25" s="1"/>
    </row>
    <row r="26" spans="1:6" ht="14.4" x14ac:dyDescent="0.3">
      <c r="A26" s="1"/>
      <c r="B26" s="3"/>
      <c r="C26" s="3"/>
      <c r="D26" s="1"/>
    </row>
    <row r="27" spans="1:6" ht="14.4" x14ac:dyDescent="0.3">
      <c r="C27" s="5"/>
    </row>
    <row r="28" spans="1:6" ht="21" x14ac:dyDescent="0.4">
      <c r="A28" s="128" t="s">
        <v>211</v>
      </c>
      <c r="B28" s="129"/>
      <c r="C28" s="260">
        <f>+COUNTIF(C3:C26,"OK")</f>
        <v>12</v>
      </c>
      <c r="D28" s="131"/>
    </row>
  </sheetData>
  <autoFilter ref="A2:H18" xr:uid="{89F0672B-CFA8-4DFF-A494-D2844A7BF64D}">
    <sortState xmlns:xlrd2="http://schemas.microsoft.com/office/spreadsheetml/2017/richdata2" ref="A3:H18">
      <sortCondition ref="A2:A18"/>
    </sortState>
  </autoFilter>
  <mergeCells count="1">
    <mergeCell ref="B1:D1"/>
  </mergeCells>
  <conditionalFormatting sqref="A10">
    <cfRule type="expression" dxfId="1124" priority="46">
      <formula>COUNTIF($A10:W10, "NI")</formula>
    </cfRule>
  </conditionalFormatting>
  <conditionalFormatting sqref="A21:A25">
    <cfRule type="expression" dxfId="1123" priority="1145">
      <formula>COUNTIF($B20:W20, "C")</formula>
    </cfRule>
    <cfRule type="expression" dxfId="1122" priority="1146">
      <formula>COUNTIF($B20:W20, "Q")</formula>
    </cfRule>
    <cfRule type="expression" dxfId="1121" priority="1147">
      <formula>COUNTIF($B20:W20, "M")</formula>
    </cfRule>
    <cfRule type="expression" dxfId="1120" priority="1148">
      <formula>COUNTIF($B20:W20, "A")</formula>
    </cfRule>
    <cfRule type="expression" dxfId="1119" priority="1149">
      <formula>COUNTIF($A20:W20, "NI")</formula>
    </cfRule>
  </conditionalFormatting>
  <conditionalFormatting sqref="A7:B7">
    <cfRule type="expression" dxfId="1118" priority="1150">
      <formula>COUNTIF($B7:V7, "C")</formula>
    </cfRule>
    <cfRule type="expression" dxfId="1117" priority="1151">
      <formula>COUNTIF($B7:V7, "Q")</formula>
    </cfRule>
    <cfRule type="expression" dxfId="1116" priority="1152">
      <formula>COUNTIF($B7:V7, "M")</formula>
    </cfRule>
    <cfRule type="expression" dxfId="1115" priority="1153">
      <formula>COUNTIF($B7:V7, "A")</formula>
    </cfRule>
    <cfRule type="expression" dxfId="1114" priority="1154">
      <formula>COUNTIF($A7:V7, "NI")</formula>
    </cfRule>
  </conditionalFormatting>
  <conditionalFormatting sqref="A10:B10">
    <cfRule type="expression" dxfId="1113" priority="1155">
      <formula>COUNTIF($C10:W10, "A")</formula>
    </cfRule>
  </conditionalFormatting>
  <conditionalFormatting sqref="A16:B16">
    <cfRule type="expression" dxfId="1112" priority="1156">
      <formula>COUNTIF($A15:W15, "NI")</formula>
    </cfRule>
    <cfRule type="expression" dxfId="1111" priority="1157">
      <formula>COUNTIF($B15:W15, "A")</formula>
    </cfRule>
  </conditionalFormatting>
  <conditionalFormatting sqref="B10">
    <cfRule type="expression" dxfId="1110" priority="1158">
      <formula>COUNTIF($C10:X10, "C")</formula>
    </cfRule>
    <cfRule type="expression" dxfId="1109" priority="1159">
      <formula>COUNTIF($C10:X10, "Q")</formula>
    </cfRule>
    <cfRule type="expression" dxfId="1108" priority="1160">
      <formula>COUNTIF($C10:X10, "M")</formula>
    </cfRule>
    <cfRule type="expression" dxfId="1107" priority="1161">
      <formula>COUNTIF($A10:X10, "NI")</formula>
    </cfRule>
  </conditionalFormatting>
  <conditionalFormatting sqref="B16">
    <cfRule type="expression" dxfId="1106" priority="1162">
      <formula>COUNTIF($B15:X15, "C")</formula>
    </cfRule>
    <cfRule type="expression" dxfId="1105" priority="1163">
      <formula>COUNTIF($B15:X15, "Q")</formula>
    </cfRule>
    <cfRule type="expression" dxfId="1104" priority="1164">
      <formula>COUNTIF($B15:X15, "M")</formula>
    </cfRule>
  </conditionalFormatting>
  <pageMargins left="0.7" right="0.7" top="0.75" bottom="0.75" header="0.3" footer="0.3"/>
  <pageSetup orientation="portrait" horizontalDpi="360" verticalDpi="36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848CB-9412-4DAC-B778-3256C05826AF}">
  <sheetPr filterMode="1">
    <tabColor rgb="FFFF0000"/>
  </sheetPr>
  <dimension ref="A1:J56"/>
  <sheetViews>
    <sheetView zoomScale="105" workbookViewId="0">
      <selection activeCell="A40" sqref="A40:D40"/>
    </sheetView>
  </sheetViews>
  <sheetFormatPr baseColWidth="10" defaultColWidth="137.33203125" defaultRowHeight="14.4" x14ac:dyDescent="0.3"/>
  <cols>
    <col min="1" max="1" width="43.109375" bestFit="1" customWidth="1"/>
    <col min="2" max="2" width="10.88671875" style="26" bestFit="1" customWidth="1"/>
    <col min="3" max="3" width="16.5546875" customWidth="1"/>
    <col min="4" max="4" width="10.5546875" customWidth="1"/>
    <col min="5" max="5" width="64.6640625" customWidth="1"/>
    <col min="6" max="6" width="5.88671875" customWidth="1"/>
    <col min="7" max="7" width="8.109375" customWidth="1"/>
    <col min="8" max="8" width="12.6640625" bestFit="1" customWidth="1"/>
    <col min="9" max="9" width="5.6640625" bestFit="1" customWidth="1"/>
    <col min="10" max="10" width="6.6640625" customWidth="1"/>
  </cols>
  <sheetData>
    <row r="1" spans="1:10" ht="15.6" x14ac:dyDescent="0.3">
      <c r="A1" s="10" t="s">
        <v>0</v>
      </c>
      <c r="B1" s="357" t="s">
        <v>1</v>
      </c>
      <c r="C1" s="357"/>
      <c r="D1" s="358"/>
      <c r="E1" s="357"/>
      <c r="F1" s="85"/>
      <c r="G1" s="33"/>
    </row>
    <row r="2" spans="1:10" x14ac:dyDescent="0.3">
      <c r="A2" s="30" t="s">
        <v>2</v>
      </c>
      <c r="B2" s="2" t="s">
        <v>3</v>
      </c>
      <c r="C2" s="30" t="s">
        <v>4</v>
      </c>
      <c r="D2" s="195" t="s">
        <v>5</v>
      </c>
      <c r="E2" s="30" t="s">
        <v>6</v>
      </c>
      <c r="F2" s="30" t="s">
        <v>7</v>
      </c>
      <c r="G2" s="30" t="s">
        <v>8</v>
      </c>
      <c r="H2" s="36" t="s">
        <v>9</v>
      </c>
      <c r="I2" t="s">
        <v>10</v>
      </c>
      <c r="J2" t="s">
        <v>11</v>
      </c>
    </row>
    <row r="3" spans="1:10" hidden="1" x14ac:dyDescent="0.3">
      <c r="A3" s="270" t="s">
        <v>19</v>
      </c>
      <c r="B3" s="6">
        <v>5</v>
      </c>
      <c r="C3" s="1" t="s">
        <v>20</v>
      </c>
      <c r="D3" s="277" t="s">
        <v>14</v>
      </c>
      <c r="E3" s="1" t="s">
        <v>21</v>
      </c>
      <c r="F3" s="1"/>
      <c r="G3" s="1"/>
      <c r="H3" s="1" t="s">
        <v>16</v>
      </c>
    </row>
    <row r="4" spans="1:10" x14ac:dyDescent="0.3">
      <c r="A4" s="270" t="s">
        <v>26</v>
      </c>
      <c r="B4" s="6">
        <v>7</v>
      </c>
      <c r="C4" s="1" t="s">
        <v>23</v>
      </c>
      <c r="D4" s="277" t="s">
        <v>16</v>
      </c>
      <c r="E4" s="1" t="s">
        <v>468</v>
      </c>
      <c r="F4" s="1"/>
      <c r="G4" s="1"/>
      <c r="H4" s="1" t="s">
        <v>16</v>
      </c>
    </row>
    <row r="5" spans="1:10" x14ac:dyDescent="0.3">
      <c r="A5" s="270" t="s">
        <v>36</v>
      </c>
      <c r="B5" s="6">
        <v>7</v>
      </c>
      <c r="C5" s="1" t="s">
        <v>13</v>
      </c>
      <c r="D5" s="277" t="s">
        <v>16</v>
      </c>
      <c r="E5" s="1" t="s">
        <v>468</v>
      </c>
      <c r="F5" s="1"/>
      <c r="G5" s="1"/>
      <c r="H5" s="1" t="s">
        <v>16</v>
      </c>
    </row>
    <row r="6" spans="1:10" x14ac:dyDescent="0.3">
      <c r="A6" s="270" t="s">
        <v>261</v>
      </c>
      <c r="B6" s="6">
        <v>7</v>
      </c>
      <c r="C6" s="1" t="s">
        <v>0</v>
      </c>
      <c r="D6" s="277" t="s">
        <v>16</v>
      </c>
      <c r="E6" s="1" t="s">
        <v>0</v>
      </c>
      <c r="F6" s="1"/>
      <c r="G6" s="1"/>
      <c r="H6" s="1"/>
    </row>
    <row r="7" spans="1:10" hidden="1" x14ac:dyDescent="0.3">
      <c r="A7" s="270" t="s">
        <v>43</v>
      </c>
      <c r="B7" s="6">
        <v>8</v>
      </c>
      <c r="C7" s="1" t="s">
        <v>13</v>
      </c>
      <c r="D7" s="277" t="s">
        <v>14</v>
      </c>
      <c r="E7" s="1" t="s">
        <v>44</v>
      </c>
      <c r="F7" s="1"/>
      <c r="G7" s="1"/>
      <c r="H7" s="274" t="s">
        <v>16</v>
      </c>
    </row>
    <row r="8" spans="1:10" hidden="1" x14ac:dyDescent="0.3">
      <c r="A8" s="270" t="s">
        <v>53</v>
      </c>
      <c r="B8" s="6">
        <v>11</v>
      </c>
      <c r="C8" s="1" t="s">
        <v>20</v>
      </c>
      <c r="D8" s="277" t="s">
        <v>14</v>
      </c>
      <c r="E8" s="1" t="s">
        <v>54</v>
      </c>
      <c r="F8" s="1"/>
      <c r="G8" s="1"/>
      <c r="H8" s="1" t="s">
        <v>16</v>
      </c>
    </row>
    <row r="9" spans="1:10" x14ac:dyDescent="0.3">
      <c r="A9" s="270" t="s">
        <v>68</v>
      </c>
      <c r="B9" s="6">
        <v>11</v>
      </c>
      <c r="C9" s="1" t="s">
        <v>13</v>
      </c>
      <c r="D9" s="277" t="s">
        <v>16</v>
      </c>
      <c r="E9" s="1"/>
      <c r="F9" s="1"/>
      <c r="G9" s="1"/>
      <c r="H9" s="1" t="s">
        <v>16</v>
      </c>
    </row>
    <row r="10" spans="1:10" hidden="1" x14ac:dyDescent="0.3">
      <c r="A10" s="270" t="s">
        <v>72</v>
      </c>
      <c r="B10" s="6">
        <v>12</v>
      </c>
      <c r="C10" s="1" t="s">
        <v>20</v>
      </c>
      <c r="D10" s="277" t="s">
        <v>14</v>
      </c>
      <c r="E10" s="1" t="s">
        <v>73</v>
      </c>
      <c r="F10" s="1"/>
      <c r="G10" s="1"/>
      <c r="H10" s="1" t="s">
        <v>16</v>
      </c>
    </row>
    <row r="11" spans="1:10" hidden="1" x14ac:dyDescent="0.3">
      <c r="A11" s="270" t="s">
        <v>76</v>
      </c>
      <c r="B11" s="6">
        <v>13</v>
      </c>
      <c r="C11" s="1" t="s">
        <v>20</v>
      </c>
      <c r="D11" s="277" t="s">
        <v>14</v>
      </c>
      <c r="E11" s="1" t="s">
        <v>77</v>
      </c>
      <c r="F11" s="1"/>
      <c r="G11" s="1"/>
      <c r="H11" s="274" t="s">
        <v>16</v>
      </c>
    </row>
    <row r="12" spans="1:10" hidden="1" x14ac:dyDescent="0.3">
      <c r="A12" s="270" t="s">
        <v>85</v>
      </c>
      <c r="B12" s="6">
        <v>14</v>
      </c>
      <c r="C12" s="1" t="s">
        <v>13</v>
      </c>
      <c r="D12" s="277" t="s">
        <v>14</v>
      </c>
      <c r="E12" s="1" t="s">
        <v>86</v>
      </c>
      <c r="F12" s="1"/>
      <c r="G12" s="1"/>
      <c r="H12" s="1" t="s">
        <v>16</v>
      </c>
    </row>
    <row r="13" spans="1:10" hidden="1" x14ac:dyDescent="0.3">
      <c r="A13" s="270" t="s">
        <v>82</v>
      </c>
      <c r="B13" s="6">
        <v>14</v>
      </c>
      <c r="C13" s="1" t="s">
        <v>20</v>
      </c>
      <c r="D13" s="277" t="s">
        <v>14</v>
      </c>
      <c r="E13" s="1" t="s">
        <v>83</v>
      </c>
      <c r="F13" s="1"/>
      <c r="G13" s="1"/>
      <c r="H13" s="1" t="s">
        <v>16</v>
      </c>
    </row>
    <row r="14" spans="1:10" x14ac:dyDescent="0.3">
      <c r="A14" s="270" t="s">
        <v>80</v>
      </c>
      <c r="B14" s="6">
        <v>14</v>
      </c>
      <c r="C14" s="1" t="s">
        <v>13</v>
      </c>
      <c r="D14" s="277" t="s">
        <v>16</v>
      </c>
      <c r="E14" s="1"/>
      <c r="F14" s="1"/>
      <c r="G14" s="1"/>
      <c r="H14" s="1"/>
    </row>
    <row r="15" spans="1:10" x14ac:dyDescent="0.3">
      <c r="A15" s="270" t="s">
        <v>78</v>
      </c>
      <c r="B15" s="6">
        <v>14</v>
      </c>
      <c r="C15" s="1" t="s">
        <v>79</v>
      </c>
      <c r="D15" s="277" t="s">
        <v>16</v>
      </c>
      <c r="E15" s="1" t="s">
        <v>468</v>
      </c>
      <c r="F15" s="1"/>
      <c r="G15" s="1"/>
      <c r="H15" s="1" t="s">
        <v>16</v>
      </c>
    </row>
    <row r="16" spans="1:10" hidden="1" x14ac:dyDescent="0.3">
      <c r="A16" s="270" t="s">
        <v>95</v>
      </c>
      <c r="B16" s="6">
        <v>15</v>
      </c>
      <c r="C16" s="1" t="s">
        <v>13</v>
      </c>
      <c r="D16" s="277" t="s">
        <v>14</v>
      </c>
      <c r="E16" s="1"/>
      <c r="F16" s="1"/>
      <c r="G16" s="1"/>
      <c r="H16" s="1" t="s">
        <v>16</v>
      </c>
      <c r="I16">
        <f>104-I15</f>
        <v>104</v>
      </c>
    </row>
    <row r="17" spans="1:8" hidden="1" x14ac:dyDescent="0.3">
      <c r="A17" s="270" t="s">
        <v>98</v>
      </c>
      <c r="B17" s="6">
        <v>15</v>
      </c>
      <c r="C17" s="1" t="s">
        <v>13</v>
      </c>
      <c r="D17" s="277" t="s">
        <v>14</v>
      </c>
      <c r="E17" s="1" t="s">
        <v>99</v>
      </c>
      <c r="F17" s="1"/>
      <c r="G17" s="1"/>
      <c r="H17" s="1" t="s">
        <v>16</v>
      </c>
    </row>
    <row r="18" spans="1:8" hidden="1" x14ac:dyDescent="0.3">
      <c r="A18" s="270" t="s">
        <v>88</v>
      </c>
      <c r="B18" s="6">
        <v>15</v>
      </c>
      <c r="C18" s="1" t="s">
        <v>20</v>
      </c>
      <c r="D18" s="277" t="s">
        <v>14</v>
      </c>
      <c r="E18" s="1" t="s">
        <v>89</v>
      </c>
      <c r="F18" s="1"/>
      <c r="G18" s="1"/>
      <c r="H18" s="1" t="s">
        <v>16</v>
      </c>
    </row>
    <row r="19" spans="1:8" hidden="1" x14ac:dyDescent="0.3">
      <c r="A19" s="270" t="s">
        <v>100</v>
      </c>
      <c r="B19" s="3">
        <v>17</v>
      </c>
      <c r="C19" s="1" t="s">
        <v>13</v>
      </c>
      <c r="D19" s="277" t="s">
        <v>14</v>
      </c>
      <c r="E19" s="1" t="s">
        <v>21</v>
      </c>
      <c r="F19" s="1"/>
      <c r="G19" s="1"/>
      <c r="H19" s="1" t="s">
        <v>16</v>
      </c>
    </row>
    <row r="20" spans="1:8" hidden="1" x14ac:dyDescent="0.3">
      <c r="A20" s="270" t="s">
        <v>102</v>
      </c>
      <c r="B20" s="6">
        <v>18</v>
      </c>
      <c r="C20" s="1" t="s">
        <v>13</v>
      </c>
      <c r="D20" s="277" t="s">
        <v>14</v>
      </c>
      <c r="E20" s="28" t="s">
        <v>103</v>
      </c>
      <c r="F20" s="1"/>
      <c r="G20" s="1"/>
      <c r="H20" s="1" t="s">
        <v>16</v>
      </c>
    </row>
    <row r="21" spans="1:8" hidden="1" x14ac:dyDescent="0.3">
      <c r="A21" s="270" t="s">
        <v>132</v>
      </c>
      <c r="B21" s="6">
        <v>19</v>
      </c>
      <c r="C21" s="1" t="s">
        <v>23</v>
      </c>
      <c r="D21" s="277" t="s">
        <v>14</v>
      </c>
      <c r="E21" s="1" t="s">
        <v>133</v>
      </c>
      <c r="F21" s="1"/>
      <c r="G21" s="1"/>
      <c r="H21" s="1" t="s">
        <v>16</v>
      </c>
    </row>
    <row r="22" spans="1:8" hidden="1" x14ac:dyDescent="0.3">
      <c r="A22" s="270" t="s">
        <v>123</v>
      </c>
      <c r="B22" s="6">
        <v>19</v>
      </c>
      <c r="C22" s="1" t="s">
        <v>20</v>
      </c>
      <c r="D22" s="277" t="s">
        <v>14</v>
      </c>
      <c r="E22" s="1" t="s">
        <v>124</v>
      </c>
      <c r="F22" s="1"/>
      <c r="G22" s="1"/>
      <c r="H22" s="1" t="s">
        <v>16</v>
      </c>
    </row>
    <row r="23" spans="1:8" x14ac:dyDescent="0.3">
      <c r="A23" s="270" t="s">
        <v>143</v>
      </c>
      <c r="B23" s="6">
        <v>19</v>
      </c>
      <c r="C23" s="1" t="s">
        <v>13</v>
      </c>
      <c r="D23" s="277" t="s">
        <v>16</v>
      </c>
      <c r="E23" s="1"/>
      <c r="F23" s="1"/>
      <c r="G23" s="1"/>
      <c r="H23" s="1" t="s">
        <v>16</v>
      </c>
    </row>
    <row r="24" spans="1:8" x14ac:dyDescent="0.3">
      <c r="A24" s="270" t="s">
        <v>147</v>
      </c>
      <c r="B24" s="6">
        <v>20</v>
      </c>
      <c r="C24" s="1" t="s">
        <v>13</v>
      </c>
      <c r="D24" s="277" t="s">
        <v>16</v>
      </c>
      <c r="E24" s="1" t="s">
        <v>502</v>
      </c>
      <c r="F24" s="1"/>
      <c r="G24" s="1"/>
      <c r="H24" s="1" t="s">
        <v>16</v>
      </c>
    </row>
    <row r="25" spans="1:8" x14ac:dyDescent="0.3">
      <c r="A25" s="270" t="s">
        <v>153</v>
      </c>
      <c r="B25" s="6">
        <v>20</v>
      </c>
      <c r="C25" s="1" t="s">
        <v>13</v>
      </c>
      <c r="D25" s="277" t="s">
        <v>16</v>
      </c>
      <c r="E25" s="1" t="s">
        <v>468</v>
      </c>
      <c r="F25" s="1"/>
      <c r="G25" s="1"/>
      <c r="H25" s="1" t="s">
        <v>16</v>
      </c>
    </row>
    <row r="26" spans="1:8" x14ac:dyDescent="0.3">
      <c r="A26" s="270" t="s">
        <v>162</v>
      </c>
      <c r="B26" s="6">
        <v>20</v>
      </c>
      <c r="C26" s="1" t="s">
        <v>13</v>
      </c>
      <c r="D26" s="277" t="s">
        <v>16</v>
      </c>
      <c r="E26" s="1"/>
      <c r="F26" s="1"/>
      <c r="G26" s="1"/>
      <c r="H26" s="1" t="s">
        <v>16</v>
      </c>
    </row>
    <row r="27" spans="1:8" x14ac:dyDescent="0.3">
      <c r="A27" s="270" t="s">
        <v>161</v>
      </c>
      <c r="B27" s="6">
        <v>20</v>
      </c>
      <c r="C27" s="1" t="s">
        <v>13</v>
      </c>
      <c r="D27" s="277" t="s">
        <v>16</v>
      </c>
      <c r="E27" s="1"/>
      <c r="F27" s="1"/>
      <c r="G27" s="1"/>
      <c r="H27" s="1" t="s">
        <v>16</v>
      </c>
    </row>
    <row r="28" spans="1:8" x14ac:dyDescent="0.3">
      <c r="A28" s="270" t="s">
        <v>145</v>
      </c>
      <c r="B28" s="6">
        <v>20</v>
      </c>
      <c r="C28" s="1" t="s">
        <v>13</v>
      </c>
      <c r="D28" s="277" t="s">
        <v>16</v>
      </c>
      <c r="E28" s="1"/>
      <c r="F28" s="1"/>
      <c r="G28" s="1"/>
      <c r="H28" s="1" t="s">
        <v>16</v>
      </c>
    </row>
    <row r="29" spans="1:8" x14ac:dyDescent="0.3">
      <c r="A29" s="270" t="s">
        <v>159</v>
      </c>
      <c r="B29" s="6">
        <v>20</v>
      </c>
      <c r="C29" s="1" t="s">
        <v>79</v>
      </c>
      <c r="D29" s="277" t="s">
        <v>16</v>
      </c>
      <c r="E29" s="1"/>
      <c r="F29" s="1"/>
      <c r="G29" s="1"/>
      <c r="H29" s="1" t="s">
        <v>16</v>
      </c>
    </row>
    <row r="30" spans="1:8" hidden="1" x14ac:dyDescent="0.3">
      <c r="A30" s="270" t="s">
        <v>195</v>
      </c>
      <c r="B30" s="3">
        <v>21</v>
      </c>
      <c r="C30" s="1" t="s">
        <v>13</v>
      </c>
      <c r="D30" s="277" t="s">
        <v>14</v>
      </c>
      <c r="E30" s="1"/>
      <c r="F30" s="1"/>
      <c r="G30" s="1"/>
      <c r="H30" s="1" t="s">
        <v>16</v>
      </c>
    </row>
    <row r="31" spans="1:8" hidden="1" x14ac:dyDescent="0.3">
      <c r="A31" s="270" t="s">
        <v>188</v>
      </c>
      <c r="B31" s="3">
        <v>21</v>
      </c>
      <c r="C31" s="1" t="s">
        <v>79</v>
      </c>
      <c r="D31" s="277" t="s">
        <v>14</v>
      </c>
      <c r="E31" s="1"/>
      <c r="F31" s="1"/>
      <c r="G31" s="1"/>
      <c r="H31" s="1" t="s">
        <v>16</v>
      </c>
    </row>
    <row r="32" spans="1:8" hidden="1" x14ac:dyDescent="0.3">
      <c r="A32" s="270" t="s">
        <v>164</v>
      </c>
      <c r="B32" s="3">
        <v>21</v>
      </c>
      <c r="C32" s="1" t="s">
        <v>165</v>
      </c>
      <c r="D32" s="277" t="s">
        <v>14</v>
      </c>
      <c r="E32" s="1"/>
      <c r="F32" s="1"/>
      <c r="G32" s="1"/>
      <c r="H32" s="1" t="s">
        <v>16</v>
      </c>
    </row>
    <row r="33" spans="1:10" hidden="1" x14ac:dyDescent="0.3">
      <c r="A33" s="270" t="s">
        <v>192</v>
      </c>
      <c r="B33" s="3">
        <v>21</v>
      </c>
      <c r="C33" s="1" t="s">
        <v>165</v>
      </c>
      <c r="D33" s="277" t="s">
        <v>14</v>
      </c>
      <c r="E33" s="1" t="s">
        <v>193</v>
      </c>
      <c r="F33" s="1"/>
      <c r="G33" s="1"/>
      <c r="H33" s="1" t="s">
        <v>16</v>
      </c>
    </row>
    <row r="34" spans="1:10" hidden="1" x14ac:dyDescent="0.3">
      <c r="A34" s="270" t="s">
        <v>201</v>
      </c>
      <c r="B34" s="3">
        <v>21</v>
      </c>
      <c r="C34" s="1" t="s">
        <v>13</v>
      </c>
      <c r="D34" s="277" t="s">
        <v>14</v>
      </c>
      <c r="E34" s="1" t="s">
        <v>64</v>
      </c>
      <c r="F34" s="1"/>
      <c r="G34" s="1"/>
      <c r="H34" s="1" t="s">
        <v>16</v>
      </c>
    </row>
    <row r="35" spans="1:10" x14ac:dyDescent="0.3">
      <c r="A35" s="270" t="s">
        <v>183</v>
      </c>
      <c r="B35" s="3">
        <v>21</v>
      </c>
      <c r="C35" s="1" t="s">
        <v>20</v>
      </c>
      <c r="D35" s="136" t="s">
        <v>16</v>
      </c>
      <c r="E35" s="1"/>
      <c r="F35" s="1"/>
      <c r="G35" s="1"/>
      <c r="H35" s="1" t="s">
        <v>16</v>
      </c>
    </row>
    <row r="36" spans="1:10" x14ac:dyDescent="0.3">
      <c r="A36" s="270" t="s">
        <v>180</v>
      </c>
      <c r="B36" s="3">
        <v>21</v>
      </c>
      <c r="C36" s="1" t="s">
        <v>23</v>
      </c>
      <c r="D36" s="277" t="s">
        <v>16</v>
      </c>
      <c r="E36" s="1"/>
      <c r="F36" s="1"/>
      <c r="G36" s="1"/>
      <c r="H36" s="1" t="s">
        <v>16</v>
      </c>
    </row>
    <row r="37" spans="1:10" x14ac:dyDescent="0.3">
      <c r="A37" s="270" t="s">
        <v>170</v>
      </c>
      <c r="B37" s="3">
        <v>21</v>
      </c>
      <c r="C37" s="1" t="s">
        <v>13</v>
      </c>
      <c r="D37" s="277" t="s">
        <v>16</v>
      </c>
      <c r="E37" s="1" t="s">
        <v>468</v>
      </c>
      <c r="F37" s="1"/>
      <c r="G37" s="1"/>
      <c r="H37" s="1" t="s">
        <v>16</v>
      </c>
    </row>
    <row r="38" spans="1:10" x14ac:dyDescent="0.3">
      <c r="A38" s="270" t="s">
        <v>172</v>
      </c>
      <c r="B38" s="3">
        <v>21</v>
      </c>
      <c r="C38" s="1" t="s">
        <v>79</v>
      </c>
      <c r="D38" s="277" t="s">
        <v>16</v>
      </c>
      <c r="E38" s="1"/>
      <c r="F38" s="1"/>
      <c r="G38" s="1"/>
      <c r="H38" s="1" t="s">
        <v>16</v>
      </c>
    </row>
    <row r="39" spans="1:10" x14ac:dyDescent="0.3">
      <c r="A39" s="270" t="s">
        <v>196</v>
      </c>
      <c r="B39" s="3">
        <v>21</v>
      </c>
      <c r="C39" s="1" t="s">
        <v>20</v>
      </c>
      <c r="D39" s="277" t="s">
        <v>16</v>
      </c>
      <c r="E39" s="1"/>
      <c r="F39" s="1"/>
      <c r="G39" s="1"/>
      <c r="H39" s="1" t="s">
        <v>16</v>
      </c>
    </row>
    <row r="40" spans="1:10" x14ac:dyDescent="0.3">
      <c r="A40" s="270" t="s">
        <v>204</v>
      </c>
      <c r="B40" s="3" t="s">
        <v>205</v>
      </c>
      <c r="C40" s="1" t="s">
        <v>165</v>
      </c>
      <c r="D40" s="277" t="s">
        <v>16</v>
      </c>
      <c r="E40" s="1"/>
      <c r="F40" s="1"/>
      <c r="G40" s="1"/>
      <c r="H40" s="1" t="s">
        <v>16</v>
      </c>
    </row>
    <row r="41" spans="1:10" x14ac:dyDescent="0.3">
      <c r="D41" s="5"/>
    </row>
    <row r="42" spans="1:10" ht="21" x14ac:dyDescent="0.4">
      <c r="A42" s="128" t="s">
        <v>211</v>
      </c>
      <c r="B42" s="129"/>
      <c r="C42" s="130"/>
      <c r="D42" s="260">
        <f>+COUNTIF(D3:D40,"OK")</f>
        <v>19</v>
      </c>
      <c r="E42" s="131"/>
    </row>
    <row r="43" spans="1:10" x14ac:dyDescent="0.3">
      <c r="A43" s="9"/>
      <c r="B43" s="19"/>
      <c r="C43" s="9"/>
      <c r="D43" s="14"/>
      <c r="E43" s="9"/>
      <c r="F43" s="9"/>
    </row>
    <row r="44" spans="1:10" x14ac:dyDescent="0.3">
      <c r="D44" s="5"/>
      <c r="J44">
        <f>58-8</f>
        <v>50</v>
      </c>
    </row>
    <row r="45" spans="1:10" ht="21" x14ac:dyDescent="0.4">
      <c r="D45" s="129"/>
      <c r="E45" s="23"/>
    </row>
    <row r="46" spans="1:10" x14ac:dyDescent="0.3">
      <c r="D46">
        <f>44-9</f>
        <v>35</v>
      </c>
    </row>
    <row r="50" spans="3:5" x14ac:dyDescent="0.3">
      <c r="C50">
        <f>10/6</f>
        <v>1.6666666666666667</v>
      </c>
      <c r="D50">
        <f>58-2</f>
        <v>56</v>
      </c>
      <c r="E50">
        <f>19+18</f>
        <v>37</v>
      </c>
    </row>
    <row r="51" spans="3:5" x14ac:dyDescent="0.3">
      <c r="C51">
        <v>1</v>
      </c>
      <c r="D51">
        <v>2</v>
      </c>
      <c r="E51">
        <f>37+5+5</f>
        <v>47</v>
      </c>
    </row>
    <row r="52" spans="3:5" x14ac:dyDescent="0.3">
      <c r="C52">
        <v>1</v>
      </c>
      <c r="D52">
        <v>2</v>
      </c>
    </row>
    <row r="53" spans="3:5" x14ac:dyDescent="0.3">
      <c r="C53">
        <v>1</v>
      </c>
      <c r="D53">
        <v>2</v>
      </c>
    </row>
    <row r="54" spans="3:5" x14ac:dyDescent="0.3">
      <c r="C54">
        <v>1</v>
      </c>
      <c r="D54">
        <v>2</v>
      </c>
    </row>
    <row r="55" spans="3:5" x14ac:dyDescent="0.3">
      <c r="C55">
        <v>1</v>
      </c>
      <c r="D55">
        <v>1</v>
      </c>
    </row>
    <row r="56" spans="3:5" x14ac:dyDescent="0.3">
      <c r="C56">
        <v>1</v>
      </c>
      <c r="D56">
        <v>1</v>
      </c>
    </row>
  </sheetData>
  <autoFilter ref="A2:H40" xr:uid="{80F8C0D2-914A-459C-8135-E4A9AA743823}">
    <filterColumn colId="3">
      <filters>
        <filter val="OK"/>
      </filters>
    </filterColumn>
    <sortState xmlns:xlrd2="http://schemas.microsoft.com/office/spreadsheetml/2017/richdata2" ref="A3:H40">
      <sortCondition ref="B2:B40"/>
    </sortState>
  </autoFilter>
  <mergeCells count="1">
    <mergeCell ref="B1:E1"/>
  </mergeCells>
  <conditionalFormatting sqref="A33:B33">
    <cfRule type="expression" dxfId="1103" priority="46">
      <formula>COUNTIF($B33:Y33, "C")</formula>
    </cfRule>
    <cfRule type="expression" dxfId="1102" priority="47">
      <formula>COUNTIF($B33:Y33, "Q")</formula>
    </cfRule>
    <cfRule type="expression" dxfId="1101" priority="48">
      <formula>COUNTIF($B33:Y33, "M")</formula>
    </cfRule>
    <cfRule type="expression" dxfId="1100" priority="49">
      <formula>COUNTIF($B33:Y33, "A")</formula>
    </cfRule>
    <cfRule type="expression" dxfId="1099" priority="50">
      <formula>COUNTIF($A33:Y33, "NI")</formula>
    </cfRule>
  </conditionalFormatting>
  <conditionalFormatting sqref="B40">
    <cfRule type="expression" dxfId="1098" priority="6">
      <formula>COUNTIF($B40:Z40, "C")</formula>
    </cfRule>
    <cfRule type="expression" dxfId="1097" priority="7">
      <formula>COUNTIF($B40:Z40, "Q")</formula>
    </cfRule>
    <cfRule type="expression" dxfId="1096" priority="8">
      <formula>COUNTIF($B40:Z40, "M")</formula>
    </cfRule>
    <cfRule type="expression" dxfId="1095" priority="9">
      <formula>COUNTIF($B40:Z40, "A")</formula>
    </cfRule>
    <cfRule type="expression" dxfId="1094" priority="10">
      <formula>COUNTIF($A40:Z40, "NI")</formula>
    </cfRule>
  </conditionalFormatting>
  <conditionalFormatting sqref="G8:G9">
    <cfRule type="expression" dxfId="1093" priority="71">
      <formula>COUNTIF($A8:AF8, "NI")</formula>
    </cfRule>
  </conditionalFormatting>
  <conditionalFormatting sqref="G10:G11 A16">
    <cfRule type="expression" dxfId="1092" priority="66">
      <formula>COUNTIF($B10:Y10, "C")</formula>
    </cfRule>
    <cfRule type="expression" dxfId="1091" priority="67">
      <formula>COUNTIF($B10:Y10, "Q")</formula>
    </cfRule>
    <cfRule type="expression" dxfId="1090" priority="68">
      <formula>COUNTIF($B10:Y10, "M")</formula>
    </cfRule>
    <cfRule type="expression" dxfId="1089" priority="69">
      <formula>COUNTIF($B10:Y10, "A")</formula>
    </cfRule>
    <cfRule type="expression" dxfId="1088" priority="70">
      <formula>COUNTIF($A10:Y10, "NI")</formula>
    </cfRule>
  </conditionalFormatting>
  <pageMargins left="0.7" right="0.7" top="0.75" bottom="0.75" header="0.3" footer="0.3"/>
  <pageSetup orientation="portrait" horizontalDpi="360" verticalDpi="36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C787-79B9-4AA8-B9D5-019609CF7B3B}">
  <sheetPr filterMode="1">
    <tabColor rgb="FFFFFF00"/>
  </sheetPr>
  <dimension ref="A1:G115"/>
  <sheetViews>
    <sheetView workbookViewId="0">
      <selection activeCell="A107" sqref="A24:A107"/>
    </sheetView>
  </sheetViews>
  <sheetFormatPr baseColWidth="10" defaultColWidth="137.33203125" defaultRowHeight="14.4" x14ac:dyDescent="0.3"/>
  <cols>
    <col min="1" max="1" width="42.33203125" bestFit="1" customWidth="1"/>
    <col min="2" max="2" width="12.33203125" style="26" customWidth="1"/>
    <col min="3" max="3" width="16.5546875" customWidth="1"/>
    <col min="4" max="4" width="16.44140625" bestFit="1" customWidth="1"/>
    <col min="5" max="5" width="87.6640625" customWidth="1"/>
    <col min="6" max="6" width="9.33203125" bestFit="1" customWidth="1"/>
    <col min="7" max="7" width="32.6640625" bestFit="1" customWidth="1"/>
  </cols>
  <sheetData>
    <row r="1" spans="1:7" ht="15.6" x14ac:dyDescent="0.3">
      <c r="A1" s="10" t="s">
        <v>0</v>
      </c>
      <c r="B1" s="357" t="s">
        <v>503</v>
      </c>
      <c r="C1" s="357"/>
      <c r="D1" s="357"/>
      <c r="E1" s="357"/>
      <c r="F1" s="85"/>
      <c r="G1" s="33"/>
    </row>
    <row r="2" spans="1:7" x14ac:dyDescent="0.3">
      <c r="A2" s="30" t="s">
        <v>2</v>
      </c>
      <c r="B2" s="2" t="s">
        <v>3</v>
      </c>
      <c r="C2" s="30" t="s">
        <v>4</v>
      </c>
      <c r="D2" s="2" t="s">
        <v>5</v>
      </c>
      <c r="E2" s="30" t="s">
        <v>6</v>
      </c>
      <c r="F2" s="30" t="s">
        <v>7</v>
      </c>
      <c r="G2" s="30" t="s">
        <v>504</v>
      </c>
    </row>
    <row r="3" spans="1:7" hidden="1" x14ac:dyDescent="0.3">
      <c r="A3" s="1" t="s">
        <v>505</v>
      </c>
      <c r="B3" s="6">
        <v>4</v>
      </c>
      <c r="C3" s="1" t="s">
        <v>20</v>
      </c>
      <c r="D3" s="28" t="s">
        <v>28</v>
      </c>
      <c r="E3" s="1" t="s">
        <v>506</v>
      </c>
      <c r="F3" s="1"/>
      <c r="G3" s="1"/>
    </row>
    <row r="4" spans="1:7" hidden="1" x14ac:dyDescent="0.3">
      <c r="A4" s="1" t="s">
        <v>261</v>
      </c>
      <c r="B4" s="6">
        <v>7</v>
      </c>
      <c r="C4" s="1" t="s">
        <v>20</v>
      </c>
      <c r="D4" s="28" t="s">
        <v>28</v>
      </c>
      <c r="E4" s="28" t="s">
        <v>7</v>
      </c>
      <c r="F4" s="28"/>
      <c r="G4" s="28"/>
    </row>
    <row r="5" spans="1:7" hidden="1" x14ac:dyDescent="0.3">
      <c r="A5" s="1" t="s">
        <v>267</v>
      </c>
      <c r="B5" s="6">
        <v>8</v>
      </c>
      <c r="C5" s="1" t="s">
        <v>20</v>
      </c>
      <c r="D5" s="28" t="s">
        <v>24</v>
      </c>
      <c r="E5" s="1"/>
      <c r="F5" s="1"/>
      <c r="G5" s="1"/>
    </row>
    <row r="6" spans="1:7" hidden="1" x14ac:dyDescent="0.3">
      <c r="A6" s="1" t="s">
        <v>263</v>
      </c>
      <c r="B6" s="6">
        <v>8</v>
      </c>
      <c r="C6" s="1" t="s">
        <v>507</v>
      </c>
      <c r="D6" s="28" t="s">
        <v>28</v>
      </c>
      <c r="E6" s="1"/>
      <c r="F6" s="1"/>
      <c r="G6" s="1"/>
    </row>
    <row r="7" spans="1:7" x14ac:dyDescent="0.3">
      <c r="A7" s="1" t="s">
        <v>365</v>
      </c>
      <c r="B7" s="3">
        <v>17</v>
      </c>
      <c r="C7" s="1" t="s">
        <v>507</v>
      </c>
      <c r="D7" s="28" t="s">
        <v>16</v>
      </c>
      <c r="E7" t="s">
        <v>508</v>
      </c>
      <c r="F7" s="1"/>
      <c r="G7" s="1"/>
    </row>
    <row r="8" spans="1:7" hidden="1" x14ac:dyDescent="0.3">
      <c r="A8" s="1" t="s">
        <v>509</v>
      </c>
      <c r="B8" s="6">
        <v>13</v>
      </c>
      <c r="C8" s="1" t="s">
        <v>20</v>
      </c>
      <c r="D8" s="28" t="s">
        <v>14</v>
      </c>
      <c r="E8" s="1"/>
      <c r="F8" s="1"/>
      <c r="G8" s="1"/>
    </row>
    <row r="9" spans="1:7" hidden="1" x14ac:dyDescent="0.3">
      <c r="A9" s="1" t="s">
        <v>31</v>
      </c>
      <c r="B9" s="6">
        <v>10</v>
      </c>
      <c r="C9" s="1" t="s">
        <v>20</v>
      </c>
      <c r="D9" s="28" t="s">
        <v>28</v>
      </c>
      <c r="E9" s="1"/>
      <c r="F9" s="1"/>
      <c r="G9" s="1"/>
    </row>
    <row r="10" spans="1:7" hidden="1" x14ac:dyDescent="0.3">
      <c r="A10" s="1" t="s">
        <v>27</v>
      </c>
      <c r="B10" s="6">
        <v>10</v>
      </c>
      <c r="C10" s="1" t="s">
        <v>20</v>
      </c>
      <c r="D10" s="28" t="s">
        <v>28</v>
      </c>
      <c r="E10" s="1" t="s">
        <v>510</v>
      </c>
      <c r="F10" s="1"/>
      <c r="G10" s="1"/>
    </row>
    <row r="11" spans="1:7" hidden="1" x14ac:dyDescent="0.3">
      <c r="A11" s="1" t="s">
        <v>333</v>
      </c>
      <c r="B11" s="6">
        <v>16</v>
      </c>
      <c r="C11" s="1" t="s">
        <v>507</v>
      </c>
      <c r="D11" s="1" t="s">
        <v>14</v>
      </c>
      <c r="E11" s="1"/>
      <c r="F11" s="1"/>
      <c r="G11" s="1"/>
    </row>
    <row r="12" spans="1:7" hidden="1" x14ac:dyDescent="0.3">
      <c r="A12" s="1" t="s">
        <v>290</v>
      </c>
      <c r="B12" s="6">
        <v>11</v>
      </c>
      <c r="C12" s="1" t="s">
        <v>511</v>
      </c>
      <c r="D12" s="28" t="s">
        <v>28</v>
      </c>
      <c r="E12" s="1" t="s">
        <v>66</v>
      </c>
      <c r="F12" s="1"/>
      <c r="G12" s="1"/>
    </row>
    <row r="13" spans="1:7" hidden="1" x14ac:dyDescent="0.3">
      <c r="A13" s="1" t="s">
        <v>42</v>
      </c>
      <c r="B13" s="6">
        <v>11</v>
      </c>
      <c r="C13" s="1" t="s">
        <v>511</v>
      </c>
      <c r="D13" s="28" t="s">
        <v>28</v>
      </c>
      <c r="E13" s="29" t="s">
        <v>512</v>
      </c>
      <c r="F13" s="1"/>
      <c r="G13" s="1"/>
    </row>
    <row r="14" spans="1:7" hidden="1" x14ac:dyDescent="0.3">
      <c r="A14" s="1" t="s">
        <v>283</v>
      </c>
      <c r="B14" s="6">
        <v>11</v>
      </c>
      <c r="C14" s="1" t="s">
        <v>507</v>
      </c>
      <c r="D14" s="28" t="s">
        <v>28</v>
      </c>
      <c r="E14" s="1" t="s">
        <v>513</v>
      </c>
      <c r="F14" s="1"/>
      <c r="G14" s="1"/>
    </row>
    <row r="15" spans="1:7" hidden="1" x14ac:dyDescent="0.3">
      <c r="A15" s="1" t="s">
        <v>39</v>
      </c>
      <c r="B15" s="6">
        <v>11</v>
      </c>
      <c r="C15" s="1" t="s">
        <v>507</v>
      </c>
      <c r="D15" s="28" t="s">
        <v>28</v>
      </c>
      <c r="E15" s="28" t="s">
        <v>33</v>
      </c>
      <c r="F15" s="28"/>
      <c r="G15" s="28"/>
    </row>
    <row r="16" spans="1:7" hidden="1" x14ac:dyDescent="0.3">
      <c r="A16" s="1" t="s">
        <v>514</v>
      </c>
      <c r="B16" s="6">
        <v>11</v>
      </c>
      <c r="C16" s="1" t="s">
        <v>515</v>
      </c>
      <c r="D16" s="28" t="s">
        <v>28</v>
      </c>
      <c r="E16" s="1"/>
      <c r="F16" s="1"/>
      <c r="G16" s="1"/>
    </row>
    <row r="17" spans="1:7" hidden="1" x14ac:dyDescent="0.3">
      <c r="A17" s="1" t="s">
        <v>302</v>
      </c>
      <c r="B17" s="6">
        <v>12</v>
      </c>
      <c r="C17" s="1" t="s">
        <v>20</v>
      </c>
      <c r="D17" s="28" t="s">
        <v>28</v>
      </c>
      <c r="E17" s="1" t="s">
        <v>516</v>
      </c>
      <c r="F17" s="1"/>
      <c r="G17" s="1"/>
    </row>
    <row r="18" spans="1:7" hidden="1" x14ac:dyDescent="0.3">
      <c r="A18" s="1" t="s">
        <v>49</v>
      </c>
      <c r="B18" s="6">
        <v>12</v>
      </c>
      <c r="C18" s="1" t="s">
        <v>511</v>
      </c>
      <c r="D18" s="28" t="s">
        <v>28</v>
      </c>
      <c r="E18" s="1" t="s">
        <v>517</v>
      </c>
      <c r="F18" s="1"/>
      <c r="G18" s="1"/>
    </row>
    <row r="19" spans="1:7" hidden="1" x14ac:dyDescent="0.3">
      <c r="A19" s="1" t="s">
        <v>297</v>
      </c>
      <c r="B19" s="6">
        <v>12</v>
      </c>
      <c r="C19" s="1" t="s">
        <v>515</v>
      </c>
      <c r="D19" s="28" t="s">
        <v>28</v>
      </c>
      <c r="E19" s="1" t="s">
        <v>518</v>
      </c>
      <c r="F19" s="1"/>
      <c r="G19" s="1"/>
    </row>
    <row r="20" spans="1:7" hidden="1" x14ac:dyDescent="0.3">
      <c r="A20" s="1" t="s">
        <v>291</v>
      </c>
      <c r="B20" s="6">
        <v>12</v>
      </c>
      <c r="C20" s="1" t="s">
        <v>515</v>
      </c>
      <c r="D20" s="28" t="s">
        <v>28</v>
      </c>
      <c r="E20" s="1" t="s">
        <v>519</v>
      </c>
      <c r="F20" s="1"/>
      <c r="G20" s="1"/>
    </row>
    <row r="21" spans="1:7" hidden="1" x14ac:dyDescent="0.3">
      <c r="A21" s="1" t="s">
        <v>46</v>
      </c>
      <c r="B21" s="6">
        <v>12</v>
      </c>
      <c r="C21" s="1" t="s">
        <v>507</v>
      </c>
      <c r="D21" s="28" t="s">
        <v>520</v>
      </c>
      <c r="E21" s="1" t="s">
        <v>521</v>
      </c>
      <c r="F21" s="1"/>
      <c r="G21" s="1"/>
    </row>
    <row r="22" spans="1:7" x14ac:dyDescent="0.3">
      <c r="A22" s="1" t="s">
        <v>366</v>
      </c>
      <c r="B22" s="3">
        <v>17</v>
      </c>
      <c r="C22" s="1" t="s">
        <v>515</v>
      </c>
      <c r="D22" s="28" t="s">
        <v>16</v>
      </c>
      <c r="E22" s="1" t="s">
        <v>522</v>
      </c>
      <c r="F22" s="1"/>
      <c r="G22" s="1"/>
    </row>
    <row r="23" spans="1:7" hidden="1" x14ac:dyDescent="0.3">
      <c r="A23" s="1" t="s">
        <v>45</v>
      </c>
      <c r="B23" s="6">
        <v>12</v>
      </c>
      <c r="C23" s="1" t="s">
        <v>20</v>
      </c>
      <c r="D23" s="1" t="s">
        <v>28</v>
      </c>
      <c r="E23" s="1"/>
      <c r="F23" s="1"/>
      <c r="G23" s="1"/>
    </row>
    <row r="24" spans="1:7" x14ac:dyDescent="0.3">
      <c r="A24" s="1" t="s">
        <v>293</v>
      </c>
      <c r="B24" s="6">
        <v>12</v>
      </c>
      <c r="C24" s="1" t="s">
        <v>507</v>
      </c>
      <c r="D24" s="28" t="s">
        <v>16</v>
      </c>
      <c r="E24" s="28"/>
      <c r="F24" s="28"/>
      <c r="G24" s="28"/>
    </row>
    <row r="25" spans="1:7" hidden="1" x14ac:dyDescent="0.3">
      <c r="A25" s="1" t="s">
        <v>52</v>
      </c>
      <c r="B25" s="6">
        <v>12</v>
      </c>
      <c r="C25" s="1" t="s">
        <v>507</v>
      </c>
      <c r="D25" s="28" t="s">
        <v>24</v>
      </c>
      <c r="E25" s="1"/>
      <c r="F25" s="1"/>
      <c r="G25" s="1"/>
    </row>
    <row r="26" spans="1:7" hidden="1" x14ac:dyDescent="0.3">
      <c r="A26" s="1" t="s">
        <v>523</v>
      </c>
      <c r="B26" s="6">
        <v>13</v>
      </c>
      <c r="C26" s="1" t="s">
        <v>20</v>
      </c>
      <c r="D26" s="28" t="s">
        <v>28</v>
      </c>
      <c r="E26" s="1"/>
      <c r="F26" s="1"/>
      <c r="G26" s="1"/>
    </row>
    <row r="27" spans="1:7" hidden="1" x14ac:dyDescent="0.3">
      <c r="A27" s="1" t="s">
        <v>321</v>
      </c>
      <c r="B27" s="6">
        <v>13</v>
      </c>
      <c r="C27" s="1" t="s">
        <v>511</v>
      </c>
      <c r="D27" s="28" t="s">
        <v>24</v>
      </c>
      <c r="E27" s="1"/>
      <c r="F27" s="1"/>
      <c r="G27" s="1"/>
    </row>
    <row r="28" spans="1:7" hidden="1" x14ac:dyDescent="0.3">
      <c r="A28" s="1" t="s">
        <v>524</v>
      </c>
      <c r="B28" s="6">
        <v>13</v>
      </c>
      <c r="C28" s="1" t="s">
        <v>511</v>
      </c>
      <c r="D28" s="28" t="s">
        <v>28</v>
      </c>
      <c r="E28" s="1" t="s">
        <v>525</v>
      </c>
      <c r="F28" s="1"/>
      <c r="G28" s="1"/>
    </row>
    <row r="29" spans="1:7" hidden="1" x14ac:dyDescent="0.3">
      <c r="A29" s="1" t="s">
        <v>313</v>
      </c>
      <c r="B29" s="6">
        <v>13</v>
      </c>
      <c r="C29" s="1" t="s">
        <v>20</v>
      </c>
      <c r="D29" s="28" t="s">
        <v>28</v>
      </c>
      <c r="E29" s="1"/>
      <c r="F29" s="1"/>
      <c r="G29" s="1"/>
    </row>
    <row r="30" spans="1:7" hidden="1" x14ac:dyDescent="0.3">
      <c r="A30" s="1" t="s">
        <v>316</v>
      </c>
      <c r="B30" s="6">
        <v>13</v>
      </c>
      <c r="C30" s="1" t="s">
        <v>23</v>
      </c>
      <c r="D30" s="28" t="s">
        <v>24</v>
      </c>
      <c r="E30" s="1"/>
      <c r="F30" s="1"/>
      <c r="G30" s="1"/>
    </row>
    <row r="31" spans="1:7" hidden="1" x14ac:dyDescent="0.3">
      <c r="A31" s="1" t="s">
        <v>56</v>
      </c>
      <c r="B31" s="6">
        <v>13</v>
      </c>
      <c r="C31" s="1" t="s">
        <v>20</v>
      </c>
      <c r="D31" s="28" t="s">
        <v>24</v>
      </c>
      <c r="E31" s="1"/>
      <c r="F31" s="1"/>
      <c r="G31" s="1"/>
    </row>
    <row r="32" spans="1:7" hidden="1" x14ac:dyDescent="0.3">
      <c r="A32" s="1" t="s">
        <v>57</v>
      </c>
      <c r="B32" s="6">
        <v>13</v>
      </c>
      <c r="C32" s="1" t="s">
        <v>23</v>
      </c>
      <c r="D32" s="1" t="s">
        <v>28</v>
      </c>
      <c r="E32" s="1" t="s">
        <v>526</v>
      </c>
      <c r="F32" s="1"/>
      <c r="G32" s="1"/>
    </row>
    <row r="33" spans="1:7" x14ac:dyDescent="0.3">
      <c r="A33" s="1" t="s">
        <v>295</v>
      </c>
      <c r="B33" s="6">
        <v>12</v>
      </c>
      <c r="C33" s="1" t="s">
        <v>507</v>
      </c>
      <c r="D33" s="28" t="s">
        <v>16</v>
      </c>
      <c r="E33" t="s">
        <v>527</v>
      </c>
      <c r="F33" s="1"/>
      <c r="G33" s="1"/>
    </row>
    <row r="34" spans="1:7" hidden="1" x14ac:dyDescent="0.3">
      <c r="A34" s="1" t="s">
        <v>308</v>
      </c>
      <c r="B34" s="6">
        <v>13</v>
      </c>
      <c r="C34" s="1" t="s">
        <v>515</v>
      </c>
      <c r="D34" s="28" t="s">
        <v>28</v>
      </c>
      <c r="E34" s="1" t="s">
        <v>528</v>
      </c>
      <c r="F34" s="1"/>
      <c r="G34" s="1"/>
    </row>
    <row r="35" spans="1:7" x14ac:dyDescent="0.3">
      <c r="A35" s="1" t="s">
        <v>370</v>
      </c>
      <c r="B35" s="3">
        <v>17</v>
      </c>
      <c r="C35" s="1" t="s">
        <v>20</v>
      </c>
      <c r="D35" s="28" t="s">
        <v>16</v>
      </c>
      <c r="E35" s="1" t="s">
        <v>529</v>
      </c>
      <c r="F35" s="1"/>
      <c r="G35" s="1"/>
    </row>
    <row r="36" spans="1:7" hidden="1" x14ac:dyDescent="0.3">
      <c r="A36" s="1" t="s">
        <v>530</v>
      </c>
      <c r="B36" s="6">
        <v>14</v>
      </c>
      <c r="C36" s="1" t="s">
        <v>20</v>
      </c>
      <c r="D36" s="28" t="s">
        <v>28</v>
      </c>
      <c r="E36" s="1"/>
      <c r="F36" s="1"/>
      <c r="G36" s="1"/>
    </row>
    <row r="37" spans="1:7" hidden="1" x14ac:dyDescent="0.3">
      <c r="A37" s="1" t="s">
        <v>70</v>
      </c>
      <c r="B37" s="6">
        <v>14</v>
      </c>
      <c r="C37" s="1" t="s">
        <v>20</v>
      </c>
      <c r="D37" s="28" t="s">
        <v>28</v>
      </c>
      <c r="E37" s="1" t="s">
        <v>66</v>
      </c>
      <c r="F37" s="1"/>
      <c r="G37" s="1"/>
    </row>
    <row r="38" spans="1:7" hidden="1" x14ac:dyDescent="0.3">
      <c r="A38" s="1" t="s">
        <v>85</v>
      </c>
      <c r="B38" s="6">
        <v>14</v>
      </c>
      <c r="C38" s="1" t="s">
        <v>20</v>
      </c>
      <c r="D38" s="28" t="s">
        <v>28</v>
      </c>
      <c r="E38" s="1" t="s">
        <v>66</v>
      </c>
      <c r="F38" s="1"/>
      <c r="G38" s="1"/>
    </row>
    <row r="39" spans="1:7" hidden="1" x14ac:dyDescent="0.3">
      <c r="A39" s="1" t="s">
        <v>531</v>
      </c>
      <c r="B39" s="6">
        <v>14</v>
      </c>
      <c r="C39" s="1" t="s">
        <v>20</v>
      </c>
      <c r="D39" s="28" t="s">
        <v>24</v>
      </c>
      <c r="E39" s="1" t="s">
        <v>230</v>
      </c>
      <c r="F39" s="1"/>
      <c r="G39" s="1"/>
    </row>
    <row r="40" spans="1:7" hidden="1" x14ac:dyDescent="0.3">
      <c r="A40" s="1" t="s">
        <v>74</v>
      </c>
      <c r="B40" s="6">
        <v>14</v>
      </c>
      <c r="C40" s="1" t="s">
        <v>20</v>
      </c>
      <c r="D40" s="28" t="s">
        <v>28</v>
      </c>
      <c r="E40" s="1" t="s">
        <v>33</v>
      </c>
      <c r="F40" s="1"/>
      <c r="G40" s="1"/>
    </row>
    <row r="41" spans="1:7" hidden="1" x14ac:dyDescent="0.3">
      <c r="A41" s="1" t="s">
        <v>19</v>
      </c>
      <c r="B41" s="6">
        <v>14</v>
      </c>
      <c r="C41" s="1" t="s">
        <v>511</v>
      </c>
      <c r="D41" s="28" t="s">
        <v>28</v>
      </c>
      <c r="E41" s="1" t="s">
        <v>532</v>
      </c>
      <c r="F41" s="1"/>
      <c r="G41" s="1"/>
    </row>
    <row r="42" spans="1:7" hidden="1" x14ac:dyDescent="0.3">
      <c r="A42" s="1" t="s">
        <v>326</v>
      </c>
      <c r="B42" s="6">
        <v>14</v>
      </c>
      <c r="C42" s="1" t="s">
        <v>511</v>
      </c>
      <c r="D42" s="28" t="s">
        <v>28</v>
      </c>
      <c r="E42" s="1" t="s">
        <v>533</v>
      </c>
      <c r="F42" s="1"/>
      <c r="G42" s="1"/>
    </row>
    <row r="43" spans="1:7" hidden="1" x14ac:dyDescent="0.3">
      <c r="A43" s="1" t="s">
        <v>534</v>
      </c>
      <c r="B43" s="6">
        <v>14</v>
      </c>
      <c r="C43" s="1" t="s">
        <v>511</v>
      </c>
      <c r="D43" s="28" t="s">
        <v>28</v>
      </c>
      <c r="E43" s="1" t="s">
        <v>535</v>
      </c>
      <c r="F43" s="1"/>
      <c r="G43" s="1"/>
    </row>
    <row r="44" spans="1:7" hidden="1" x14ac:dyDescent="0.3">
      <c r="A44" s="1" t="s">
        <v>71</v>
      </c>
      <c r="B44" s="6">
        <v>14</v>
      </c>
      <c r="C44" s="1" t="s">
        <v>511</v>
      </c>
      <c r="D44" s="28" t="s">
        <v>24</v>
      </c>
      <c r="E44" s="1"/>
      <c r="F44" s="1"/>
      <c r="G44" s="1"/>
    </row>
    <row r="45" spans="1:7" hidden="1" x14ac:dyDescent="0.3">
      <c r="A45" s="1" t="s">
        <v>329</v>
      </c>
      <c r="B45" s="6">
        <v>14</v>
      </c>
      <c r="C45" s="1" t="s">
        <v>511</v>
      </c>
      <c r="D45" s="28" t="s">
        <v>28</v>
      </c>
      <c r="E45" s="1" t="s">
        <v>536</v>
      </c>
      <c r="F45" s="1"/>
      <c r="G45" s="1"/>
    </row>
    <row r="46" spans="1:7" hidden="1" x14ac:dyDescent="0.3">
      <c r="A46" s="1" t="s">
        <v>84</v>
      </c>
      <c r="B46" s="6">
        <v>14</v>
      </c>
      <c r="C46" s="1" t="s">
        <v>511</v>
      </c>
      <c r="D46" s="28" t="s">
        <v>24</v>
      </c>
      <c r="E46" s="1"/>
      <c r="F46" s="1"/>
      <c r="G46" s="1"/>
    </row>
    <row r="47" spans="1:7" hidden="1" x14ac:dyDescent="0.3">
      <c r="A47" s="1" t="s">
        <v>327</v>
      </c>
      <c r="B47" s="6">
        <v>14</v>
      </c>
      <c r="C47" s="1" t="s">
        <v>511</v>
      </c>
      <c r="D47" s="28" t="s">
        <v>24</v>
      </c>
      <c r="E47" s="1"/>
      <c r="F47" s="1"/>
      <c r="G47" s="1"/>
    </row>
    <row r="48" spans="1:7" hidden="1" x14ac:dyDescent="0.3">
      <c r="A48" s="1" t="s">
        <v>537</v>
      </c>
      <c r="B48" s="6">
        <v>14</v>
      </c>
      <c r="C48" s="1" t="s">
        <v>511</v>
      </c>
      <c r="D48" s="28" t="s">
        <v>28</v>
      </c>
      <c r="E48" s="1"/>
      <c r="F48" s="1"/>
      <c r="G48" s="1"/>
    </row>
    <row r="49" spans="1:7" hidden="1" x14ac:dyDescent="0.3">
      <c r="A49" s="1" t="s">
        <v>344</v>
      </c>
      <c r="B49" s="6">
        <v>15</v>
      </c>
      <c r="C49" s="1" t="s">
        <v>20</v>
      </c>
      <c r="D49" s="28" t="s">
        <v>28</v>
      </c>
      <c r="E49" s="1"/>
      <c r="F49" s="1"/>
      <c r="G49" s="1"/>
    </row>
    <row r="50" spans="1:7" hidden="1" x14ac:dyDescent="0.3">
      <c r="A50" s="1" t="s">
        <v>346</v>
      </c>
      <c r="B50" s="6">
        <v>15</v>
      </c>
      <c r="C50" s="1" t="s">
        <v>20</v>
      </c>
      <c r="D50" s="28" t="s">
        <v>24</v>
      </c>
      <c r="E50" s="1" t="s">
        <v>538</v>
      </c>
      <c r="F50" s="1"/>
      <c r="G50" s="1"/>
    </row>
    <row r="51" spans="1:7" hidden="1" x14ac:dyDescent="0.3">
      <c r="A51" s="1" t="s">
        <v>348</v>
      </c>
      <c r="B51" s="6">
        <v>15</v>
      </c>
      <c r="C51" s="1" t="s">
        <v>20</v>
      </c>
      <c r="D51" s="28" t="s">
        <v>28</v>
      </c>
      <c r="E51" s="1"/>
      <c r="F51" s="1"/>
      <c r="G51" s="1"/>
    </row>
    <row r="52" spans="1:7" x14ac:dyDescent="0.3">
      <c r="A52" s="1" t="s">
        <v>336</v>
      </c>
      <c r="B52" s="6">
        <v>15</v>
      </c>
      <c r="C52" s="1" t="s">
        <v>511</v>
      </c>
      <c r="D52" s="28" t="s">
        <v>16</v>
      </c>
      <c r="E52" s="1" t="s">
        <v>539</v>
      </c>
      <c r="F52" s="1"/>
      <c r="G52" s="1"/>
    </row>
    <row r="53" spans="1:7" hidden="1" x14ac:dyDescent="0.3">
      <c r="A53" s="1" t="s">
        <v>337</v>
      </c>
      <c r="B53" s="6">
        <v>15</v>
      </c>
      <c r="C53" s="1" t="s">
        <v>20</v>
      </c>
      <c r="D53" s="28" t="s">
        <v>24</v>
      </c>
      <c r="E53" s="1"/>
      <c r="F53" s="1"/>
      <c r="G53" s="1"/>
    </row>
    <row r="54" spans="1:7" hidden="1" x14ac:dyDescent="0.3">
      <c r="A54" s="1" t="s">
        <v>347</v>
      </c>
      <c r="B54" s="6">
        <v>15</v>
      </c>
      <c r="C54" s="1" t="s">
        <v>511</v>
      </c>
      <c r="D54" s="28" t="s">
        <v>28</v>
      </c>
      <c r="E54" s="1" t="s">
        <v>540</v>
      </c>
      <c r="F54" s="1"/>
      <c r="G54" s="1"/>
    </row>
    <row r="55" spans="1:7" hidden="1" x14ac:dyDescent="0.3">
      <c r="A55" s="1" t="s">
        <v>114</v>
      </c>
      <c r="B55" s="3">
        <v>17</v>
      </c>
      <c r="C55" s="1" t="s">
        <v>20</v>
      </c>
      <c r="D55" s="28" t="s">
        <v>14</v>
      </c>
      <c r="E55" s="1" t="s">
        <v>541</v>
      </c>
      <c r="F55" s="1"/>
    </row>
    <row r="56" spans="1:7" hidden="1" x14ac:dyDescent="0.3">
      <c r="A56" s="1" t="s">
        <v>341</v>
      </c>
      <c r="B56" s="6">
        <v>15</v>
      </c>
      <c r="C56" s="1" t="s">
        <v>511</v>
      </c>
      <c r="D56" s="28" t="s">
        <v>24</v>
      </c>
      <c r="E56" s="1"/>
      <c r="F56" s="1"/>
      <c r="G56" s="1"/>
    </row>
    <row r="57" spans="1:7" hidden="1" x14ac:dyDescent="0.3">
      <c r="A57" s="1" t="s">
        <v>90</v>
      </c>
      <c r="B57" s="6">
        <v>15</v>
      </c>
      <c r="C57" s="1" t="s">
        <v>511</v>
      </c>
      <c r="D57" s="28" t="s">
        <v>28</v>
      </c>
      <c r="E57" s="1" t="s">
        <v>542</v>
      </c>
      <c r="F57" s="1"/>
      <c r="G57" s="1"/>
    </row>
    <row r="58" spans="1:7" hidden="1" x14ac:dyDescent="0.3">
      <c r="A58" s="1" t="s">
        <v>95</v>
      </c>
      <c r="B58" s="6">
        <v>15</v>
      </c>
      <c r="C58" s="1" t="s">
        <v>20</v>
      </c>
      <c r="D58" s="28" t="s">
        <v>24</v>
      </c>
      <c r="E58" s="28"/>
      <c r="F58" s="28"/>
      <c r="G58" s="28"/>
    </row>
    <row r="59" spans="1:7" hidden="1" x14ac:dyDescent="0.3">
      <c r="A59" s="1" t="s">
        <v>96</v>
      </c>
      <c r="B59" s="6">
        <v>15</v>
      </c>
      <c r="C59" s="1" t="s">
        <v>23</v>
      </c>
      <c r="D59" s="1" t="s">
        <v>28</v>
      </c>
      <c r="E59" s="1" t="s">
        <v>543</v>
      </c>
      <c r="F59" s="1"/>
      <c r="G59" s="1"/>
    </row>
    <row r="60" spans="1:7" hidden="1" x14ac:dyDescent="0.3">
      <c r="A60" s="1" t="s">
        <v>351</v>
      </c>
      <c r="B60" s="6">
        <v>16</v>
      </c>
      <c r="C60" s="1" t="s">
        <v>20</v>
      </c>
      <c r="D60" s="28" t="s">
        <v>24</v>
      </c>
      <c r="E60" s="1"/>
      <c r="F60" s="1"/>
      <c r="G60" s="1"/>
    </row>
    <row r="61" spans="1:7" hidden="1" x14ac:dyDescent="0.3">
      <c r="A61" s="1" t="s">
        <v>104</v>
      </c>
      <c r="B61" s="6">
        <v>16</v>
      </c>
      <c r="C61" s="1" t="s">
        <v>507</v>
      </c>
      <c r="D61" s="1" t="s">
        <v>28</v>
      </c>
      <c r="E61" s="1" t="s">
        <v>544</v>
      </c>
      <c r="F61" s="1"/>
      <c r="G61" s="1"/>
    </row>
    <row r="62" spans="1:7" hidden="1" x14ac:dyDescent="0.3">
      <c r="A62" s="1" t="s">
        <v>353</v>
      </c>
      <c r="B62" s="6">
        <v>16</v>
      </c>
      <c r="C62" s="1" t="s">
        <v>20</v>
      </c>
      <c r="D62" s="28" t="s">
        <v>28</v>
      </c>
      <c r="E62" s="1" t="s">
        <v>545</v>
      </c>
      <c r="F62" s="1"/>
      <c r="G62" s="1"/>
    </row>
    <row r="63" spans="1:7" hidden="1" x14ac:dyDescent="0.3">
      <c r="A63" s="1" t="s">
        <v>105</v>
      </c>
      <c r="B63" s="6">
        <v>16</v>
      </c>
      <c r="C63" s="1" t="s">
        <v>20</v>
      </c>
      <c r="D63" s="28" t="s">
        <v>28</v>
      </c>
      <c r="E63" s="1" t="s">
        <v>546</v>
      </c>
      <c r="F63" s="1"/>
      <c r="G63" s="1"/>
    </row>
    <row r="64" spans="1:7" x14ac:dyDescent="0.3">
      <c r="A64" s="1" t="s">
        <v>547</v>
      </c>
      <c r="B64" s="6">
        <v>7</v>
      </c>
      <c r="C64" s="1" t="s">
        <v>23</v>
      </c>
      <c r="D64" s="1" t="s">
        <v>16</v>
      </c>
      <c r="E64" s="1" t="s">
        <v>548</v>
      </c>
      <c r="F64" s="1"/>
      <c r="G64" s="1"/>
    </row>
    <row r="65" spans="1:7" hidden="1" x14ac:dyDescent="0.3">
      <c r="A65" s="1" t="s">
        <v>356</v>
      </c>
      <c r="B65" s="6">
        <v>16</v>
      </c>
      <c r="C65" s="1" t="s">
        <v>515</v>
      </c>
      <c r="D65" s="28" t="s">
        <v>28</v>
      </c>
      <c r="E65" s="1" t="s">
        <v>517</v>
      </c>
      <c r="F65" s="1"/>
      <c r="G65" s="1"/>
    </row>
    <row r="66" spans="1:7" hidden="1" x14ac:dyDescent="0.3">
      <c r="A66" s="1" t="s">
        <v>360</v>
      </c>
      <c r="B66" s="6">
        <v>16</v>
      </c>
      <c r="C66" s="1" t="s">
        <v>515</v>
      </c>
      <c r="D66" s="28" t="s">
        <v>28</v>
      </c>
      <c r="E66" s="1" t="s">
        <v>549</v>
      </c>
      <c r="F66" s="1"/>
      <c r="G66" s="1"/>
    </row>
    <row r="67" spans="1:7" hidden="1" x14ac:dyDescent="0.3">
      <c r="A67" s="1" t="s">
        <v>350</v>
      </c>
      <c r="B67" s="6">
        <v>16</v>
      </c>
      <c r="C67" s="1" t="s">
        <v>515</v>
      </c>
      <c r="D67" s="28" t="s">
        <v>24</v>
      </c>
      <c r="E67" s="28" t="s">
        <v>550</v>
      </c>
      <c r="F67" s="28"/>
      <c r="G67" s="28"/>
    </row>
    <row r="68" spans="1:7" hidden="1" x14ac:dyDescent="0.3">
      <c r="A68" s="1" t="s">
        <v>352</v>
      </c>
      <c r="B68" s="6">
        <v>16</v>
      </c>
      <c r="C68" s="1" t="s">
        <v>515</v>
      </c>
      <c r="D68" s="28" t="s">
        <v>24</v>
      </c>
      <c r="E68" s="28"/>
      <c r="F68" s="28"/>
      <c r="G68" s="28"/>
    </row>
    <row r="69" spans="1:7" hidden="1" x14ac:dyDescent="0.3">
      <c r="A69" s="1" t="s">
        <v>357</v>
      </c>
      <c r="B69" s="6">
        <v>16</v>
      </c>
      <c r="C69" s="1" t="s">
        <v>515</v>
      </c>
      <c r="D69" s="28" t="s">
        <v>24</v>
      </c>
      <c r="E69" s="1"/>
      <c r="F69" s="1"/>
      <c r="G69" s="1"/>
    </row>
    <row r="70" spans="1:7" hidden="1" x14ac:dyDescent="0.3">
      <c r="A70" s="1" t="s">
        <v>363</v>
      </c>
      <c r="B70" s="6">
        <v>16</v>
      </c>
      <c r="C70" s="1" t="s">
        <v>507</v>
      </c>
      <c r="D70" s="1" t="s">
        <v>24</v>
      </c>
      <c r="E70" s="1"/>
      <c r="F70" s="1"/>
      <c r="G70" s="1"/>
    </row>
    <row r="71" spans="1:7" hidden="1" x14ac:dyDescent="0.3">
      <c r="A71" s="1" t="s">
        <v>355</v>
      </c>
      <c r="B71" s="6">
        <v>16</v>
      </c>
      <c r="C71" s="1" t="s">
        <v>515</v>
      </c>
      <c r="D71" s="28" t="s">
        <v>24</v>
      </c>
      <c r="E71" s="1" t="s">
        <v>551</v>
      </c>
      <c r="F71" s="1"/>
      <c r="G71" s="1"/>
    </row>
    <row r="72" spans="1:7" hidden="1" x14ac:dyDescent="0.3">
      <c r="A72" s="1" t="s">
        <v>361</v>
      </c>
      <c r="B72" s="6">
        <v>16</v>
      </c>
      <c r="C72" s="1" t="s">
        <v>20</v>
      </c>
      <c r="D72" s="28" t="s">
        <v>24</v>
      </c>
      <c r="E72" s="1"/>
      <c r="F72" s="1"/>
      <c r="G72" s="1"/>
    </row>
    <row r="73" spans="1:7" hidden="1" x14ac:dyDescent="0.3">
      <c r="A73" s="1" t="s">
        <v>186</v>
      </c>
      <c r="B73" s="6">
        <v>16</v>
      </c>
      <c r="C73" s="1" t="s">
        <v>23</v>
      </c>
      <c r="D73" s="28" t="s">
        <v>28</v>
      </c>
      <c r="E73" s="1"/>
      <c r="F73" s="1"/>
      <c r="G73" s="1"/>
    </row>
    <row r="74" spans="1:7" hidden="1" x14ac:dyDescent="0.3">
      <c r="A74" s="1" t="s">
        <v>17</v>
      </c>
      <c r="B74" s="6">
        <v>16</v>
      </c>
      <c r="C74" s="1" t="s">
        <v>507</v>
      </c>
      <c r="D74" s="28" t="s">
        <v>24</v>
      </c>
      <c r="E74" s="28"/>
      <c r="F74" s="28"/>
      <c r="G74" s="28"/>
    </row>
    <row r="75" spans="1:7" hidden="1" x14ac:dyDescent="0.3">
      <c r="A75" s="1" t="s">
        <v>368</v>
      </c>
      <c r="B75" s="3">
        <v>17</v>
      </c>
      <c r="C75" s="1" t="s">
        <v>23</v>
      </c>
      <c r="D75" s="28" t="s">
        <v>28</v>
      </c>
      <c r="E75" s="1" t="s">
        <v>33</v>
      </c>
      <c r="F75" s="1"/>
      <c r="G75" s="1"/>
    </row>
    <row r="76" spans="1:7" hidden="1" x14ac:dyDescent="0.3">
      <c r="A76" s="1" t="s">
        <v>373</v>
      </c>
      <c r="B76" s="3">
        <v>17</v>
      </c>
      <c r="C76" s="1" t="s">
        <v>507</v>
      </c>
      <c r="D76" s="28" t="s">
        <v>28</v>
      </c>
      <c r="E76" s="1" t="s">
        <v>552</v>
      </c>
      <c r="F76" s="1"/>
      <c r="G76" s="1"/>
    </row>
    <row r="77" spans="1:7" hidden="1" x14ac:dyDescent="0.3">
      <c r="A77" s="1" t="s">
        <v>125</v>
      </c>
      <c r="B77" s="3">
        <v>17</v>
      </c>
      <c r="C77" s="1" t="s">
        <v>515</v>
      </c>
      <c r="D77" s="28" t="s">
        <v>35</v>
      </c>
      <c r="E77" s="1" t="s">
        <v>553</v>
      </c>
      <c r="F77" s="1"/>
      <c r="G77" s="1"/>
    </row>
    <row r="78" spans="1:7" x14ac:dyDescent="0.3">
      <c r="A78" s="1" t="s">
        <v>106</v>
      </c>
      <c r="B78" s="6">
        <v>16</v>
      </c>
      <c r="C78" s="1" t="s">
        <v>20</v>
      </c>
      <c r="D78" s="28" t="s">
        <v>16</v>
      </c>
      <c r="E78" s="1" t="s">
        <v>554</v>
      </c>
      <c r="F78" s="1"/>
      <c r="G78" s="1"/>
    </row>
    <row r="79" spans="1:7" hidden="1" x14ac:dyDescent="0.3">
      <c r="A79" s="1" t="s">
        <v>371</v>
      </c>
      <c r="B79" s="3">
        <v>17</v>
      </c>
      <c r="C79" s="1" t="s">
        <v>23</v>
      </c>
      <c r="D79" s="28" t="s">
        <v>28</v>
      </c>
      <c r="E79" s="1" t="s">
        <v>555</v>
      </c>
      <c r="F79" s="1"/>
      <c r="G79" s="1"/>
    </row>
    <row r="80" spans="1:7" hidden="1" x14ac:dyDescent="0.3">
      <c r="A80" s="1" t="s">
        <v>113</v>
      </c>
      <c r="B80" s="3">
        <v>17</v>
      </c>
      <c r="C80" s="1" t="s">
        <v>507</v>
      </c>
      <c r="D80" s="28" t="s">
        <v>24</v>
      </c>
      <c r="E80" s="1"/>
      <c r="F80" s="1"/>
      <c r="G80" s="1"/>
    </row>
    <row r="81" spans="1:7" x14ac:dyDescent="0.3">
      <c r="A81" s="1" t="s">
        <v>126</v>
      </c>
      <c r="B81" s="3">
        <v>17</v>
      </c>
      <c r="C81" s="1" t="s">
        <v>20</v>
      </c>
      <c r="D81" s="28" t="s">
        <v>16</v>
      </c>
      <c r="E81" s="1" t="s">
        <v>556</v>
      </c>
      <c r="F81" s="1"/>
      <c r="G81" s="1"/>
    </row>
    <row r="82" spans="1:7" x14ac:dyDescent="0.3">
      <c r="A82" s="1" t="s">
        <v>372</v>
      </c>
      <c r="B82" s="3">
        <v>17</v>
      </c>
      <c r="C82" s="1" t="s">
        <v>23</v>
      </c>
      <c r="D82" s="28" t="s">
        <v>16</v>
      </c>
      <c r="E82" s="1" t="s">
        <v>557</v>
      </c>
      <c r="F82" s="1"/>
      <c r="G82" s="1"/>
    </row>
    <row r="83" spans="1:7" x14ac:dyDescent="0.3">
      <c r="A83" s="1" t="s">
        <v>338</v>
      </c>
      <c r="B83" s="6">
        <v>15</v>
      </c>
      <c r="C83" s="1" t="s">
        <v>20</v>
      </c>
      <c r="D83" s="28" t="s">
        <v>16</v>
      </c>
      <c r="E83" s="1" t="s">
        <v>558</v>
      </c>
      <c r="F83" s="1"/>
      <c r="G83" s="1"/>
    </row>
    <row r="84" spans="1:7" x14ac:dyDescent="0.3">
      <c r="A84" s="1" t="s">
        <v>559</v>
      </c>
      <c r="B84" s="6" t="s">
        <v>203</v>
      </c>
      <c r="C84" s="1" t="s">
        <v>20</v>
      </c>
      <c r="D84" s="1" t="s">
        <v>16</v>
      </c>
      <c r="E84" s="1" t="s">
        <v>560</v>
      </c>
      <c r="F84" s="1"/>
      <c r="G84" s="1"/>
    </row>
    <row r="85" spans="1:7" hidden="1" x14ac:dyDescent="0.3">
      <c r="A85" s="1" t="s">
        <v>364</v>
      </c>
      <c r="B85" s="3">
        <v>17</v>
      </c>
      <c r="C85" s="1" t="s">
        <v>515</v>
      </c>
      <c r="D85" s="28" t="s">
        <v>24</v>
      </c>
      <c r="E85" s="1"/>
      <c r="F85" s="1"/>
      <c r="G85" s="1"/>
    </row>
    <row r="86" spans="1:7" hidden="1" x14ac:dyDescent="0.3">
      <c r="A86" s="1" t="s">
        <v>369</v>
      </c>
      <c r="B86" s="3">
        <v>17</v>
      </c>
      <c r="C86" s="1" t="s">
        <v>20</v>
      </c>
      <c r="D86" s="28" t="s">
        <v>24</v>
      </c>
      <c r="E86" s="1"/>
      <c r="F86" s="1"/>
      <c r="G86" s="1"/>
    </row>
    <row r="87" spans="1:7" x14ac:dyDescent="0.3">
      <c r="A87" s="1" t="s">
        <v>561</v>
      </c>
      <c r="B87" s="6">
        <v>11</v>
      </c>
      <c r="C87" s="1" t="s">
        <v>507</v>
      </c>
      <c r="D87" s="1" t="s">
        <v>16</v>
      </c>
      <c r="E87" s="1" t="s">
        <v>562</v>
      </c>
      <c r="F87" s="1"/>
      <c r="G87" s="1"/>
    </row>
    <row r="88" spans="1:7" hidden="1" x14ac:dyDescent="0.3">
      <c r="A88" s="1" t="s">
        <v>367</v>
      </c>
      <c r="B88" s="3">
        <v>17</v>
      </c>
      <c r="C88" s="1" t="s">
        <v>507</v>
      </c>
      <c r="D88" s="28" t="s">
        <v>24</v>
      </c>
      <c r="E88" s="1" t="s">
        <v>563</v>
      </c>
      <c r="F88" s="1"/>
      <c r="G88" s="1"/>
    </row>
    <row r="89" spans="1:7" hidden="1" x14ac:dyDescent="0.3">
      <c r="A89" s="1" t="s">
        <v>100</v>
      </c>
      <c r="B89" s="3">
        <v>17</v>
      </c>
      <c r="C89" s="1" t="s">
        <v>515</v>
      </c>
      <c r="D89" s="28" t="s">
        <v>28</v>
      </c>
      <c r="E89" s="1" t="s">
        <v>564</v>
      </c>
      <c r="F89" s="1"/>
      <c r="G89" s="1"/>
    </row>
    <row r="90" spans="1:7" x14ac:dyDescent="0.3">
      <c r="A90" s="1" t="s">
        <v>374</v>
      </c>
      <c r="B90" s="3">
        <v>17</v>
      </c>
      <c r="C90" s="1" t="s">
        <v>20</v>
      </c>
      <c r="D90" s="28" t="s">
        <v>16</v>
      </c>
      <c r="E90" s="1"/>
      <c r="F90" s="1"/>
      <c r="G90" s="1"/>
    </row>
    <row r="91" spans="1:7" hidden="1" x14ac:dyDescent="0.3">
      <c r="A91" s="1" t="s">
        <v>378</v>
      </c>
      <c r="B91" s="3">
        <v>17</v>
      </c>
      <c r="C91" s="1" t="s">
        <v>23</v>
      </c>
      <c r="D91" s="28" t="s">
        <v>28</v>
      </c>
      <c r="E91" s="1" t="s">
        <v>33</v>
      </c>
      <c r="F91" s="1"/>
      <c r="G91" s="1"/>
    </row>
    <row r="92" spans="1:7" hidden="1" x14ac:dyDescent="0.3">
      <c r="A92" s="1" t="s">
        <v>117</v>
      </c>
      <c r="B92" s="3">
        <v>17</v>
      </c>
      <c r="C92" s="1" t="s">
        <v>507</v>
      </c>
      <c r="D92" s="28" t="s">
        <v>24</v>
      </c>
      <c r="E92" s="1"/>
      <c r="F92" s="1"/>
      <c r="G92" s="1"/>
    </row>
    <row r="93" spans="1:7" hidden="1" x14ac:dyDescent="0.3">
      <c r="A93" s="1" t="s">
        <v>376</v>
      </c>
      <c r="B93" s="3">
        <v>17</v>
      </c>
      <c r="C93" s="1" t="s">
        <v>515</v>
      </c>
      <c r="D93" s="28" t="s">
        <v>28</v>
      </c>
      <c r="E93" s="1" t="s">
        <v>565</v>
      </c>
      <c r="F93" s="1"/>
      <c r="G93" s="1"/>
    </row>
    <row r="94" spans="1:7" x14ac:dyDescent="0.3">
      <c r="A94" s="1" t="s">
        <v>278</v>
      </c>
      <c r="B94" s="6">
        <v>10</v>
      </c>
      <c r="C94" s="1" t="s">
        <v>20</v>
      </c>
      <c r="D94" s="28" t="s">
        <v>16</v>
      </c>
      <c r="E94" s="1"/>
      <c r="F94" s="1"/>
      <c r="G94" s="1"/>
    </row>
    <row r="95" spans="1:7" hidden="1" x14ac:dyDescent="0.3">
      <c r="A95" s="1" t="s">
        <v>115</v>
      </c>
      <c r="B95" s="3">
        <v>17</v>
      </c>
      <c r="C95" s="1" t="s">
        <v>23</v>
      </c>
      <c r="D95" s="28" t="s">
        <v>28</v>
      </c>
      <c r="E95" s="1" t="s">
        <v>566</v>
      </c>
      <c r="F95" s="1"/>
      <c r="G95" s="1"/>
    </row>
    <row r="96" spans="1:7" hidden="1" x14ac:dyDescent="0.3">
      <c r="A96" s="1" t="s">
        <v>120</v>
      </c>
      <c r="B96" s="3">
        <v>17</v>
      </c>
      <c r="C96" s="1" t="s">
        <v>507</v>
      </c>
      <c r="D96" s="28" t="s">
        <v>28</v>
      </c>
      <c r="E96" s="1" t="s">
        <v>567</v>
      </c>
      <c r="F96" s="1"/>
      <c r="G96" s="1"/>
    </row>
    <row r="97" spans="1:7" hidden="1" x14ac:dyDescent="0.3">
      <c r="A97" s="33" t="s">
        <v>122</v>
      </c>
      <c r="B97" s="48">
        <v>17</v>
      </c>
      <c r="C97" s="33" t="s">
        <v>515</v>
      </c>
      <c r="D97" s="35" t="s">
        <v>24</v>
      </c>
      <c r="F97" s="33"/>
      <c r="G97" s="33"/>
    </row>
    <row r="98" spans="1:7" hidden="1" x14ac:dyDescent="0.3">
      <c r="A98" s="9" t="s">
        <v>210</v>
      </c>
      <c r="B98" s="19" t="s">
        <v>203</v>
      </c>
      <c r="C98" s="9" t="s">
        <v>20</v>
      </c>
      <c r="D98" s="9" t="s">
        <v>14</v>
      </c>
      <c r="E98" s="76"/>
      <c r="F98" s="9"/>
      <c r="G98" s="9"/>
    </row>
    <row r="99" spans="1:7" hidden="1" x14ac:dyDescent="0.3">
      <c r="A99" s="64" t="s">
        <v>121</v>
      </c>
      <c r="B99" s="94">
        <v>17</v>
      </c>
      <c r="C99" s="64" t="s">
        <v>23</v>
      </c>
      <c r="D99" s="66" t="s">
        <v>28</v>
      </c>
      <c r="E99" s="64" t="s">
        <v>516</v>
      </c>
      <c r="F99" s="64"/>
      <c r="G99" s="64"/>
    </row>
    <row r="100" spans="1:7" hidden="1" x14ac:dyDescent="0.3">
      <c r="A100" s="68" t="s">
        <v>270</v>
      </c>
      <c r="B100" s="95">
        <v>9</v>
      </c>
      <c r="C100" s="68" t="s">
        <v>23</v>
      </c>
      <c r="D100" s="82" t="s">
        <v>14</v>
      </c>
      <c r="E100" s="68"/>
      <c r="F100" s="68"/>
      <c r="G100" s="68"/>
    </row>
    <row r="101" spans="1:7" x14ac:dyDescent="0.3">
      <c r="A101" s="9" t="s">
        <v>375</v>
      </c>
      <c r="B101" s="14">
        <v>17</v>
      </c>
      <c r="C101" s="9" t="s">
        <v>20</v>
      </c>
      <c r="D101" s="15" t="s">
        <v>16</v>
      </c>
      <c r="E101" s="9" t="s">
        <v>568</v>
      </c>
      <c r="F101" s="9"/>
      <c r="G101" s="9"/>
    </row>
    <row r="102" spans="1:7" hidden="1" x14ac:dyDescent="0.3">
      <c r="A102" s="9" t="s">
        <v>569</v>
      </c>
      <c r="B102" s="19">
        <v>13</v>
      </c>
      <c r="C102" s="9" t="s">
        <v>23</v>
      </c>
      <c r="D102" s="15" t="s">
        <v>28</v>
      </c>
      <c r="E102" s="9"/>
      <c r="F102" s="9"/>
      <c r="G102" s="9"/>
    </row>
    <row r="103" spans="1:7" x14ac:dyDescent="0.3">
      <c r="A103" s="9" t="s">
        <v>46</v>
      </c>
      <c r="B103" s="19">
        <v>12</v>
      </c>
      <c r="C103" s="9" t="s">
        <v>23</v>
      </c>
      <c r="D103" s="9" t="s">
        <v>16</v>
      </c>
      <c r="E103" s="9" t="s">
        <v>570</v>
      </c>
      <c r="F103" s="9"/>
      <c r="G103" s="9"/>
    </row>
    <row r="104" spans="1:7" hidden="1" x14ac:dyDescent="0.3">
      <c r="A104" s="96" t="s">
        <v>101</v>
      </c>
      <c r="B104" s="97">
        <v>16</v>
      </c>
      <c r="C104" s="96" t="s">
        <v>20</v>
      </c>
      <c r="D104" s="101" t="s">
        <v>14</v>
      </c>
      <c r="E104" s="98" t="s">
        <v>571</v>
      </c>
      <c r="F104" s="96"/>
      <c r="G104" s="96"/>
    </row>
    <row r="105" spans="1:7" x14ac:dyDescent="0.3">
      <c r="A105" s="68" t="s">
        <v>377</v>
      </c>
      <c r="B105" s="78">
        <v>17</v>
      </c>
      <c r="C105" s="68" t="s">
        <v>23</v>
      </c>
      <c r="D105" s="82" t="s">
        <v>16</v>
      </c>
      <c r="E105" s="68" t="s">
        <v>541</v>
      </c>
      <c r="F105" s="68"/>
      <c r="G105" s="68"/>
    </row>
    <row r="106" spans="1:7" hidden="1" x14ac:dyDescent="0.3">
      <c r="A106" s="9" t="s">
        <v>30</v>
      </c>
      <c r="B106" s="19">
        <v>10</v>
      </c>
      <c r="C106" s="9" t="s">
        <v>515</v>
      </c>
      <c r="D106" s="15" t="s">
        <v>14</v>
      </c>
      <c r="E106" s="9" t="s">
        <v>572</v>
      </c>
      <c r="F106" s="9"/>
      <c r="G106" s="9"/>
    </row>
    <row r="107" spans="1:7" x14ac:dyDescent="0.3">
      <c r="A107" s="9" t="s">
        <v>573</v>
      </c>
      <c r="B107" s="19">
        <v>15</v>
      </c>
      <c r="C107" s="9" t="s">
        <v>507</v>
      </c>
      <c r="D107" s="9" t="s">
        <v>16</v>
      </c>
      <c r="E107" s="9" t="s">
        <v>544</v>
      </c>
      <c r="F107" s="9"/>
      <c r="G107" s="9"/>
    </row>
    <row r="108" spans="1:7" hidden="1" x14ac:dyDescent="0.3">
      <c r="A108" s="9" t="s">
        <v>65</v>
      </c>
      <c r="B108" s="19">
        <v>13</v>
      </c>
      <c r="C108" s="9"/>
      <c r="D108" s="9"/>
      <c r="E108" s="9"/>
      <c r="F108" s="9"/>
      <c r="G108" s="9"/>
    </row>
    <row r="114" spans="1:5" x14ac:dyDescent="0.3">
      <c r="C114" t="s">
        <v>574</v>
      </c>
    </row>
    <row r="115" spans="1:5" ht="21" x14ac:dyDescent="0.4">
      <c r="A115" s="361" t="s">
        <v>211</v>
      </c>
      <c r="B115" s="362"/>
      <c r="C115" s="363"/>
      <c r="D115" s="364">
        <f>+COUNTIF(D3:D114,"OK")</f>
        <v>19</v>
      </c>
      <c r="E115" s="364"/>
    </row>
  </sheetData>
  <autoFilter ref="A2:G108" xr:uid="{5E54FD58-F896-4449-B5B3-97E51729B509}">
    <filterColumn colId="3">
      <filters>
        <filter val="OK"/>
      </filters>
    </filterColumn>
    <sortState xmlns:xlrd2="http://schemas.microsoft.com/office/spreadsheetml/2017/richdata2" ref="A3:G108">
      <sortCondition ref="A2:A108"/>
    </sortState>
  </autoFilter>
  <mergeCells count="3">
    <mergeCell ref="B1:E1"/>
    <mergeCell ref="A115:C115"/>
    <mergeCell ref="D115:E115"/>
  </mergeCells>
  <conditionalFormatting sqref="A41:A42 A48:B59">
    <cfRule type="expression" dxfId="1087" priority="21">
      <formula>COUNTIF($A41:Y41, "NI")</formula>
    </cfRule>
  </conditionalFormatting>
  <conditionalFormatting sqref="A29:B29">
    <cfRule type="expression" dxfId="1086" priority="27">
      <formula>COUNTIF($A29:G29, "NI")</formula>
    </cfRule>
  </conditionalFormatting>
  <conditionalFormatting sqref="A40:B40 A61:B99">
    <cfRule type="expression" dxfId="1085" priority="26">
      <formula>COUNTIF($A40:Y40, "NI")</formula>
    </cfRule>
  </conditionalFormatting>
  <conditionalFormatting sqref="A43:B46">
    <cfRule type="expression" dxfId="1084" priority="20">
      <formula>COUNTIF($A43:Y43, "NI")</formula>
    </cfRule>
  </conditionalFormatting>
  <conditionalFormatting sqref="B29">
    <cfRule type="expression" dxfId="1083" priority="28">
      <formula>COUNTIF($B29:G29, "C")</formula>
    </cfRule>
    <cfRule type="expression" dxfId="1082" priority="29">
      <formula>COUNTIF($B29:G29, "Q")</formula>
    </cfRule>
    <cfRule type="expression" dxfId="1081" priority="30">
      <formula>COUNTIF($B29:G29, "M")</formula>
    </cfRule>
    <cfRule type="expression" dxfId="1080" priority="31">
      <formula>COUNTIF($B29:G29, "A")</formula>
    </cfRule>
  </conditionalFormatting>
  <conditionalFormatting sqref="B40 B48:B59">
    <cfRule type="expression" dxfId="1079" priority="23">
      <formula>COUNTIF($B40:Z40, "Q")</formula>
    </cfRule>
    <cfRule type="expression" dxfId="1078" priority="24">
      <formula>COUNTIF($B40:Z40, "M")</formula>
    </cfRule>
    <cfRule type="expression" dxfId="1077" priority="25">
      <formula>COUNTIF($B40:Z40, "A")</formula>
    </cfRule>
  </conditionalFormatting>
  <conditionalFormatting sqref="B43:B46 B61:B99">
    <cfRule type="expression" dxfId="1076" priority="16">
      <formula>COUNTIF($B43:Z43, "C")</formula>
    </cfRule>
    <cfRule type="expression" dxfId="1075" priority="17">
      <formula>COUNTIF($B43:Z43, "Q")</formula>
    </cfRule>
    <cfRule type="expression" dxfId="1074" priority="18">
      <formula>COUNTIF($B43:Z43, "M")</formula>
    </cfRule>
    <cfRule type="expression" dxfId="1073" priority="19">
      <formula>COUNTIF($B43:Z43, "A")</formula>
    </cfRule>
  </conditionalFormatting>
  <conditionalFormatting sqref="B48:B59 B40">
    <cfRule type="expression" dxfId="1072" priority="22">
      <formula>COUNTIF($B40:Z40, "C")</formula>
    </cfRule>
  </conditionalFormatting>
  <pageMargins left="0.7" right="0.7" top="0.75" bottom="0.75" header="0.3" footer="0.3"/>
  <pageSetup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C0D2-914A-459C-8135-E4A9AA743823}">
  <sheetPr filterMode="1">
    <tabColor rgb="FFFFFF00"/>
  </sheetPr>
  <dimension ref="A1:H132"/>
  <sheetViews>
    <sheetView topLeftCell="E16" zoomScale="105" workbookViewId="0">
      <selection activeCell="A34" sqref="A34"/>
    </sheetView>
  </sheetViews>
  <sheetFormatPr baseColWidth="10" defaultColWidth="137.33203125" defaultRowHeight="14.4" x14ac:dyDescent="0.3"/>
  <cols>
    <col min="1" max="1" width="42.33203125" bestFit="1" customWidth="1"/>
    <col min="2" max="2" width="12.33203125" style="26" customWidth="1"/>
    <col min="3" max="3" width="16.5546875" customWidth="1"/>
    <col min="4" max="4" width="16.44140625" customWidth="1"/>
    <col min="5" max="5" width="87.6640625" customWidth="1"/>
    <col min="6" max="6" width="9.33203125" bestFit="1" customWidth="1"/>
    <col min="7" max="7" width="32.6640625" bestFit="1" customWidth="1"/>
  </cols>
  <sheetData>
    <row r="1" spans="1:8" ht="15.6" x14ac:dyDescent="0.3">
      <c r="A1" s="10" t="s">
        <v>0</v>
      </c>
      <c r="B1" s="357"/>
      <c r="C1" s="357"/>
      <c r="D1" s="358"/>
      <c r="E1" s="357"/>
      <c r="F1" s="85"/>
      <c r="G1" s="33"/>
    </row>
    <row r="2" spans="1:8" x14ac:dyDescent="0.3">
      <c r="A2" s="30" t="s">
        <v>2</v>
      </c>
      <c r="B2" s="2" t="s">
        <v>3</v>
      </c>
      <c r="C2" s="181" t="s">
        <v>4</v>
      </c>
      <c r="D2" s="195" t="s">
        <v>5</v>
      </c>
      <c r="E2" s="30" t="s">
        <v>6</v>
      </c>
      <c r="F2" s="30" t="s">
        <v>7</v>
      </c>
      <c r="G2" s="30" t="s">
        <v>8</v>
      </c>
      <c r="H2" t="s">
        <v>9</v>
      </c>
    </row>
    <row r="3" spans="1:8" x14ac:dyDescent="0.3">
      <c r="A3" s="149" t="s">
        <v>575</v>
      </c>
      <c r="B3" s="154">
        <v>9</v>
      </c>
      <c r="C3" s="9" t="s">
        <v>13</v>
      </c>
      <c r="D3" s="211" t="s">
        <v>16</v>
      </c>
      <c r="E3" s="1" t="s">
        <v>576</v>
      </c>
      <c r="F3" s="1"/>
      <c r="G3" s="1" t="s">
        <v>577</v>
      </c>
      <c r="H3" t="s">
        <v>577</v>
      </c>
    </row>
    <row r="4" spans="1:8" hidden="1" x14ac:dyDescent="0.3">
      <c r="A4" s="149" t="s">
        <v>38</v>
      </c>
      <c r="B4" s="154">
        <v>11</v>
      </c>
      <c r="C4" s="9" t="s">
        <v>13</v>
      </c>
      <c r="D4" s="56" t="s">
        <v>24</v>
      </c>
      <c r="E4" s="1"/>
      <c r="F4" s="1"/>
      <c r="G4" s="1"/>
    </row>
    <row r="5" spans="1:8" hidden="1" x14ac:dyDescent="0.3">
      <c r="A5" s="1" t="s">
        <v>72</v>
      </c>
      <c r="B5" s="154">
        <v>12</v>
      </c>
      <c r="C5" s="9" t="s">
        <v>20</v>
      </c>
      <c r="D5" s="56" t="s">
        <v>28</v>
      </c>
      <c r="E5" s="1" t="s">
        <v>578</v>
      </c>
      <c r="F5" s="1"/>
      <c r="G5" s="1"/>
      <c r="H5" t="s">
        <v>577</v>
      </c>
    </row>
    <row r="6" spans="1:8" x14ac:dyDescent="0.3">
      <c r="A6" s="149" t="s">
        <v>579</v>
      </c>
      <c r="B6" s="154">
        <v>12</v>
      </c>
      <c r="C6" s="9" t="s">
        <v>20</v>
      </c>
      <c r="D6" s="211" t="s">
        <v>16</v>
      </c>
      <c r="E6" s="1" t="s">
        <v>580</v>
      </c>
      <c r="F6" s="1"/>
      <c r="G6" s="1" t="s">
        <v>577</v>
      </c>
      <c r="H6" t="s">
        <v>577</v>
      </c>
    </row>
    <row r="7" spans="1:8" hidden="1" x14ac:dyDescent="0.3">
      <c r="A7" s="149" t="s">
        <v>41</v>
      </c>
      <c r="B7" s="154">
        <v>11</v>
      </c>
      <c r="C7" s="9" t="s">
        <v>20</v>
      </c>
      <c r="D7" s="211" t="s">
        <v>14</v>
      </c>
      <c r="E7" s="1" t="s">
        <v>581</v>
      </c>
      <c r="F7" s="1"/>
      <c r="G7" s="1" t="s">
        <v>577</v>
      </c>
      <c r="H7" t="s">
        <v>577</v>
      </c>
    </row>
    <row r="8" spans="1:8" x14ac:dyDescent="0.3">
      <c r="A8" s="149" t="s">
        <v>78</v>
      </c>
      <c r="B8" s="154">
        <v>12</v>
      </c>
      <c r="C8" s="9" t="s">
        <v>20</v>
      </c>
      <c r="D8" s="211" t="s">
        <v>16</v>
      </c>
      <c r="E8" s="1" t="s">
        <v>582</v>
      </c>
      <c r="F8" s="1"/>
      <c r="G8" s="1" t="s">
        <v>577</v>
      </c>
      <c r="H8" t="s">
        <v>577</v>
      </c>
    </row>
    <row r="9" spans="1:8" hidden="1" x14ac:dyDescent="0.3">
      <c r="A9" s="149" t="s">
        <v>60</v>
      </c>
      <c r="B9" s="154">
        <v>13</v>
      </c>
      <c r="C9" s="9" t="s">
        <v>13</v>
      </c>
      <c r="D9" s="56" t="s">
        <v>28</v>
      </c>
      <c r="E9" s="1" t="s">
        <v>583</v>
      </c>
      <c r="F9" s="1"/>
      <c r="G9" s="1"/>
    </row>
    <row r="10" spans="1:8" hidden="1" x14ac:dyDescent="0.3">
      <c r="A10" s="149" t="s">
        <v>117</v>
      </c>
      <c r="B10" s="190">
        <v>17</v>
      </c>
      <c r="C10" s="9" t="s">
        <v>23</v>
      </c>
      <c r="D10" s="56" t="s">
        <v>28</v>
      </c>
      <c r="E10" s="1" t="s">
        <v>584</v>
      </c>
      <c r="F10" s="1"/>
      <c r="G10" s="1"/>
    </row>
    <row r="11" spans="1:8" hidden="1" x14ac:dyDescent="0.3">
      <c r="A11" s="149" t="s">
        <v>123</v>
      </c>
      <c r="B11" s="154">
        <v>19</v>
      </c>
      <c r="C11" s="9" t="s">
        <v>20</v>
      </c>
      <c r="D11" s="56" t="s">
        <v>28</v>
      </c>
      <c r="E11" s="1" t="s">
        <v>585</v>
      </c>
      <c r="F11" s="1"/>
      <c r="G11" s="1"/>
    </row>
    <row r="12" spans="1:8" hidden="1" x14ac:dyDescent="0.3">
      <c r="A12" s="149" t="s">
        <v>141</v>
      </c>
      <c r="B12" s="154">
        <v>19</v>
      </c>
      <c r="C12" s="9" t="s">
        <v>23</v>
      </c>
      <c r="D12" s="56" t="s">
        <v>24</v>
      </c>
      <c r="E12" s="1"/>
      <c r="F12" s="1"/>
      <c r="G12" s="1"/>
    </row>
    <row r="13" spans="1:8" hidden="1" x14ac:dyDescent="0.3">
      <c r="A13" s="149" t="s">
        <v>76</v>
      </c>
      <c r="B13" s="154">
        <v>13</v>
      </c>
      <c r="C13" s="9" t="s">
        <v>20</v>
      </c>
      <c r="D13" s="56" t="s">
        <v>28</v>
      </c>
      <c r="E13" s="1"/>
      <c r="F13" s="1"/>
      <c r="G13" s="1"/>
    </row>
    <row r="14" spans="1:8" hidden="1" x14ac:dyDescent="0.3">
      <c r="A14" s="149" t="s">
        <v>132</v>
      </c>
      <c r="B14" s="154">
        <v>19</v>
      </c>
      <c r="C14" s="9" t="s">
        <v>23</v>
      </c>
      <c r="D14" s="56" t="s">
        <v>28</v>
      </c>
      <c r="E14" s="1"/>
      <c r="F14" s="1"/>
      <c r="G14" s="1"/>
    </row>
    <row r="15" spans="1:8" hidden="1" x14ac:dyDescent="0.3">
      <c r="A15" s="149" t="s">
        <v>19</v>
      </c>
      <c r="B15" s="154">
        <v>14</v>
      </c>
      <c r="C15" s="9" t="s">
        <v>20</v>
      </c>
      <c r="D15" s="56"/>
      <c r="E15" s="1" t="s">
        <v>586</v>
      </c>
      <c r="F15" s="1"/>
      <c r="G15" s="1"/>
    </row>
    <row r="16" spans="1:8" x14ac:dyDescent="0.3">
      <c r="A16" s="149" t="s">
        <v>569</v>
      </c>
      <c r="B16" s="154">
        <v>13</v>
      </c>
      <c r="C16" s="9" t="s">
        <v>13</v>
      </c>
      <c r="D16" s="211" t="s">
        <v>16</v>
      </c>
      <c r="E16" s="1" t="s">
        <v>587</v>
      </c>
      <c r="F16" s="1"/>
      <c r="G16" s="1" t="s">
        <v>577</v>
      </c>
      <c r="H16" t="s">
        <v>577</v>
      </c>
    </row>
    <row r="17" spans="1:8" hidden="1" x14ac:dyDescent="0.3">
      <c r="A17" s="1" t="s">
        <v>118</v>
      </c>
      <c r="B17" s="154">
        <v>17</v>
      </c>
      <c r="C17" s="9" t="s">
        <v>23</v>
      </c>
      <c r="D17" s="211" t="s">
        <v>588</v>
      </c>
      <c r="E17" s="1" t="s">
        <v>589</v>
      </c>
      <c r="F17" s="1"/>
      <c r="G17" s="1" t="s">
        <v>577</v>
      </c>
    </row>
    <row r="18" spans="1:8" hidden="1" x14ac:dyDescent="0.3">
      <c r="A18" s="149" t="s">
        <v>146</v>
      </c>
      <c r="B18" s="154">
        <v>19</v>
      </c>
      <c r="C18" s="9" t="s">
        <v>13</v>
      </c>
      <c r="D18" s="56" t="s">
        <v>24</v>
      </c>
      <c r="E18" s="1" t="s">
        <v>590</v>
      </c>
      <c r="F18" s="1"/>
      <c r="G18" s="1"/>
    </row>
    <row r="19" spans="1:8" hidden="1" x14ac:dyDescent="0.3">
      <c r="A19" s="1" t="s">
        <v>12</v>
      </c>
      <c r="B19" s="154">
        <v>15</v>
      </c>
      <c r="C19" s="9" t="s">
        <v>13</v>
      </c>
      <c r="D19" s="56" t="s">
        <v>14</v>
      </c>
      <c r="E19" s="1" t="s">
        <v>591</v>
      </c>
      <c r="F19" s="1"/>
      <c r="G19" s="1"/>
    </row>
    <row r="20" spans="1:8" hidden="1" x14ac:dyDescent="0.3">
      <c r="A20" s="149" t="s">
        <v>156</v>
      </c>
      <c r="B20" s="154">
        <v>20</v>
      </c>
      <c r="C20" s="9" t="s">
        <v>23</v>
      </c>
      <c r="D20" s="56" t="s">
        <v>24</v>
      </c>
      <c r="E20" s="1" t="s">
        <v>592</v>
      </c>
      <c r="F20" s="1"/>
      <c r="G20" s="1"/>
      <c r="H20" t="s">
        <v>577</v>
      </c>
    </row>
    <row r="21" spans="1:8" hidden="1" x14ac:dyDescent="0.3">
      <c r="A21" s="176" t="s">
        <v>128</v>
      </c>
      <c r="B21" s="156">
        <v>18</v>
      </c>
      <c r="C21" s="68" t="s">
        <v>23</v>
      </c>
      <c r="D21" s="61" t="s">
        <v>24</v>
      </c>
      <c r="E21" s="33"/>
      <c r="F21" s="33"/>
      <c r="G21" s="33"/>
    </row>
    <row r="22" spans="1:8" hidden="1" x14ac:dyDescent="0.3">
      <c r="A22" s="162" t="s">
        <v>127</v>
      </c>
      <c r="B22" s="19">
        <v>18</v>
      </c>
      <c r="C22" s="9" t="s">
        <v>23</v>
      </c>
      <c r="D22" s="9" t="s">
        <v>28</v>
      </c>
      <c r="E22" s="9"/>
      <c r="F22" s="9"/>
      <c r="G22" s="9"/>
    </row>
    <row r="23" spans="1:8" x14ac:dyDescent="0.3">
      <c r="A23" s="9" t="s">
        <v>593</v>
      </c>
      <c r="B23" s="19">
        <v>14</v>
      </c>
      <c r="C23" s="9" t="s">
        <v>23</v>
      </c>
      <c r="D23" s="197" t="s">
        <v>16</v>
      </c>
      <c r="E23" s="9" t="s">
        <v>594</v>
      </c>
      <c r="F23" s="9"/>
      <c r="G23" s="9" t="s">
        <v>577</v>
      </c>
      <c r="H23" t="s">
        <v>577</v>
      </c>
    </row>
    <row r="24" spans="1:8" hidden="1" x14ac:dyDescent="0.3">
      <c r="A24" s="219" t="s">
        <v>175</v>
      </c>
      <c r="B24" s="220">
        <v>19</v>
      </c>
      <c r="C24" s="79" t="s">
        <v>23</v>
      </c>
      <c r="D24" s="241" t="s">
        <v>47</v>
      </c>
      <c r="E24" s="64" t="s">
        <v>595</v>
      </c>
      <c r="F24" s="64"/>
      <c r="G24" s="64"/>
    </row>
    <row r="25" spans="1:8" hidden="1" x14ac:dyDescent="0.3">
      <c r="A25" s="149" t="s">
        <v>53</v>
      </c>
      <c r="B25" s="154">
        <v>11</v>
      </c>
      <c r="C25" s="9" t="s">
        <v>20</v>
      </c>
      <c r="D25" s="56" t="s">
        <v>35</v>
      </c>
      <c r="E25" s="1" t="s">
        <v>160</v>
      </c>
      <c r="F25" s="1"/>
      <c r="G25" s="1"/>
    </row>
    <row r="26" spans="1:8" x14ac:dyDescent="0.3">
      <c r="A26" s="149" t="s">
        <v>331</v>
      </c>
      <c r="B26" s="154">
        <v>14</v>
      </c>
      <c r="C26" s="9" t="s">
        <v>23</v>
      </c>
      <c r="D26" s="211" t="s">
        <v>16</v>
      </c>
      <c r="E26" s="1" t="s">
        <v>596</v>
      </c>
      <c r="F26" s="1"/>
      <c r="G26" s="1" t="s">
        <v>577</v>
      </c>
      <c r="H26" t="s">
        <v>577</v>
      </c>
    </row>
    <row r="27" spans="1:8" hidden="1" x14ac:dyDescent="0.3">
      <c r="A27" s="149" t="s">
        <v>94</v>
      </c>
      <c r="B27" s="154">
        <v>15</v>
      </c>
      <c r="C27" s="9" t="s">
        <v>13</v>
      </c>
      <c r="D27" s="56" t="s">
        <v>14</v>
      </c>
      <c r="E27" s="1" t="s">
        <v>597</v>
      </c>
      <c r="F27" s="1"/>
      <c r="G27" s="1" t="s">
        <v>598</v>
      </c>
      <c r="H27" t="s">
        <v>577</v>
      </c>
    </row>
    <row r="28" spans="1:8" hidden="1" x14ac:dyDescent="0.3">
      <c r="A28" s="149" t="s">
        <v>25</v>
      </c>
      <c r="B28" s="154">
        <v>8</v>
      </c>
      <c r="C28" s="9" t="s">
        <v>13</v>
      </c>
      <c r="D28" s="56" t="s">
        <v>28</v>
      </c>
      <c r="E28" s="1" t="s">
        <v>599</v>
      </c>
      <c r="F28" s="1"/>
      <c r="G28" s="1"/>
    </row>
    <row r="29" spans="1:8" hidden="1" x14ac:dyDescent="0.3">
      <c r="A29" s="149" t="s">
        <v>100</v>
      </c>
      <c r="B29" s="190">
        <v>17</v>
      </c>
      <c r="C29" s="9" t="s">
        <v>13</v>
      </c>
      <c r="D29" s="211" t="s">
        <v>14</v>
      </c>
      <c r="E29" s="1" t="s">
        <v>600</v>
      </c>
      <c r="F29" s="1"/>
      <c r="G29" s="1" t="s">
        <v>577</v>
      </c>
      <c r="H29" t="s">
        <v>577</v>
      </c>
    </row>
    <row r="30" spans="1:8" hidden="1" x14ac:dyDescent="0.3">
      <c r="A30" s="149" t="s">
        <v>143</v>
      </c>
      <c r="B30" s="154">
        <v>19</v>
      </c>
      <c r="C30" s="9" t="s">
        <v>13</v>
      </c>
      <c r="D30" s="56" t="s">
        <v>24</v>
      </c>
      <c r="E30" s="1" t="s">
        <v>601</v>
      </c>
      <c r="F30" s="1"/>
      <c r="G30" s="1"/>
    </row>
    <row r="31" spans="1:8" hidden="1" x14ac:dyDescent="0.3">
      <c r="A31" s="149" t="s">
        <v>150</v>
      </c>
      <c r="B31" s="154">
        <v>19</v>
      </c>
      <c r="C31" s="9" t="s">
        <v>13</v>
      </c>
      <c r="D31" s="56" t="s">
        <v>28</v>
      </c>
      <c r="E31" s="1" t="s">
        <v>602</v>
      </c>
      <c r="F31" s="1"/>
      <c r="G31" s="1"/>
    </row>
    <row r="32" spans="1:8" hidden="1" x14ac:dyDescent="0.3">
      <c r="A32" s="149" t="s">
        <v>147</v>
      </c>
      <c r="B32" s="154">
        <v>20</v>
      </c>
      <c r="C32" s="9" t="s">
        <v>13</v>
      </c>
      <c r="D32" s="56" t="s">
        <v>14</v>
      </c>
      <c r="E32" s="1" t="s">
        <v>603</v>
      </c>
      <c r="F32" s="1"/>
      <c r="G32" s="1"/>
    </row>
    <row r="33" spans="1:8" hidden="1" x14ac:dyDescent="0.3">
      <c r="A33" s="149" t="s">
        <v>130</v>
      </c>
      <c r="B33" s="154">
        <v>18</v>
      </c>
      <c r="C33" s="9" t="s">
        <v>23</v>
      </c>
      <c r="D33" s="56" t="s">
        <v>14</v>
      </c>
      <c r="E33" s="1" t="s">
        <v>604</v>
      </c>
      <c r="F33" s="1"/>
      <c r="G33" s="1"/>
    </row>
    <row r="34" spans="1:8" x14ac:dyDescent="0.3">
      <c r="A34" s="149" t="s">
        <v>155</v>
      </c>
      <c r="B34" s="154">
        <v>14</v>
      </c>
      <c r="C34" s="9" t="s">
        <v>20</v>
      </c>
      <c r="D34" s="211" t="s">
        <v>16</v>
      </c>
      <c r="E34" s="1" t="s">
        <v>89</v>
      </c>
      <c r="F34" s="1"/>
      <c r="G34" s="1" t="s">
        <v>577</v>
      </c>
      <c r="H34" t="s">
        <v>577</v>
      </c>
    </row>
    <row r="35" spans="1:8" hidden="1" x14ac:dyDescent="0.3">
      <c r="A35" s="149" t="s">
        <v>140</v>
      </c>
      <c r="B35" s="154">
        <v>19</v>
      </c>
      <c r="C35" s="9" t="s">
        <v>23</v>
      </c>
      <c r="D35" s="56" t="s">
        <v>24</v>
      </c>
      <c r="E35" s="1"/>
      <c r="F35" s="1"/>
      <c r="G35" s="1"/>
    </row>
    <row r="36" spans="1:8" hidden="1" x14ac:dyDescent="0.3">
      <c r="A36" s="149" t="s">
        <v>70</v>
      </c>
      <c r="B36" s="154">
        <v>14</v>
      </c>
      <c r="C36" s="9" t="s">
        <v>23</v>
      </c>
      <c r="D36" s="56" t="s">
        <v>47</v>
      </c>
      <c r="E36" s="1" t="s">
        <v>234</v>
      </c>
      <c r="F36" s="1"/>
      <c r="G36" s="1"/>
      <c r="H36" t="s">
        <v>577</v>
      </c>
    </row>
    <row r="37" spans="1:8" hidden="1" x14ac:dyDescent="0.3">
      <c r="A37" s="149" t="s">
        <v>45</v>
      </c>
      <c r="B37" s="154">
        <v>12</v>
      </c>
      <c r="C37" s="9" t="s">
        <v>23</v>
      </c>
      <c r="D37" s="56" t="s">
        <v>28</v>
      </c>
      <c r="E37" s="1"/>
      <c r="F37" s="1"/>
      <c r="G37" s="1"/>
    </row>
    <row r="38" spans="1:8" hidden="1" x14ac:dyDescent="0.3">
      <c r="A38" s="149" t="s">
        <v>137</v>
      </c>
      <c r="B38" s="154">
        <v>18</v>
      </c>
      <c r="C38" s="9" t="s">
        <v>20</v>
      </c>
      <c r="D38" s="56" t="s">
        <v>24</v>
      </c>
      <c r="E38" s="1"/>
      <c r="F38" s="1"/>
      <c r="G38" s="1"/>
    </row>
    <row r="39" spans="1:8" x14ac:dyDescent="0.3">
      <c r="A39" s="1" t="s">
        <v>605</v>
      </c>
      <c r="B39" s="154">
        <v>15</v>
      </c>
      <c r="C39" s="9" t="s">
        <v>20</v>
      </c>
      <c r="D39" s="211" t="s">
        <v>16</v>
      </c>
      <c r="E39" s="1" t="s">
        <v>606</v>
      </c>
      <c r="F39" s="1"/>
      <c r="G39" s="1" t="s">
        <v>577</v>
      </c>
      <c r="H39" t="s">
        <v>577</v>
      </c>
    </row>
    <row r="40" spans="1:8" x14ac:dyDescent="0.3">
      <c r="A40" s="149" t="s">
        <v>336</v>
      </c>
      <c r="B40" s="154">
        <v>15</v>
      </c>
      <c r="C40" s="9" t="s">
        <v>23</v>
      </c>
      <c r="D40" s="211" t="s">
        <v>16</v>
      </c>
      <c r="E40" s="1" t="s">
        <v>607</v>
      </c>
      <c r="F40" s="1"/>
      <c r="G40" s="1" t="s">
        <v>577</v>
      </c>
      <c r="H40" t="s">
        <v>577</v>
      </c>
    </row>
    <row r="41" spans="1:8" hidden="1" x14ac:dyDescent="0.3">
      <c r="A41" s="1" t="s">
        <v>29</v>
      </c>
      <c r="B41" s="154">
        <v>10</v>
      </c>
      <c r="C41" s="9" t="s">
        <v>13</v>
      </c>
      <c r="D41" s="56" t="s">
        <v>14</v>
      </c>
      <c r="E41" s="1" t="s">
        <v>608</v>
      </c>
      <c r="F41" s="1"/>
      <c r="G41" s="1" t="s">
        <v>598</v>
      </c>
      <c r="H41" t="s">
        <v>577</v>
      </c>
    </row>
    <row r="42" spans="1:8" x14ac:dyDescent="0.3">
      <c r="A42" s="1" t="s">
        <v>609</v>
      </c>
      <c r="B42" s="154">
        <v>15</v>
      </c>
      <c r="C42" s="9" t="s">
        <v>23</v>
      </c>
      <c r="D42" s="211" t="s">
        <v>16</v>
      </c>
      <c r="E42" s="1" t="s">
        <v>610</v>
      </c>
      <c r="F42" s="1"/>
      <c r="G42" s="1" t="s">
        <v>577</v>
      </c>
      <c r="H42" t="s">
        <v>577</v>
      </c>
    </row>
    <row r="43" spans="1:8" hidden="1" x14ac:dyDescent="0.3">
      <c r="A43" s="149" t="s">
        <v>109</v>
      </c>
      <c r="B43" s="154">
        <v>16</v>
      </c>
      <c r="C43" s="9" t="s">
        <v>20</v>
      </c>
      <c r="D43" s="56" t="s">
        <v>28</v>
      </c>
      <c r="E43" s="1" t="s">
        <v>604</v>
      </c>
      <c r="F43" s="1"/>
      <c r="G43" s="1"/>
    </row>
    <row r="44" spans="1:8" hidden="1" x14ac:dyDescent="0.3">
      <c r="A44" s="193" t="s">
        <v>120</v>
      </c>
      <c r="B44" s="154">
        <v>17</v>
      </c>
      <c r="C44" s="9" t="s">
        <v>23</v>
      </c>
      <c r="D44" s="211" t="s">
        <v>588</v>
      </c>
      <c r="E44" s="1" t="s">
        <v>611</v>
      </c>
      <c r="F44" s="1"/>
      <c r="G44" s="1" t="s">
        <v>577</v>
      </c>
    </row>
    <row r="45" spans="1:8" hidden="1" x14ac:dyDescent="0.3">
      <c r="A45" s="149" t="s">
        <v>96</v>
      </c>
      <c r="B45" s="154">
        <v>15</v>
      </c>
      <c r="C45" s="9" t="s">
        <v>20</v>
      </c>
      <c r="D45" s="56" t="s">
        <v>24</v>
      </c>
      <c r="E45" s="1"/>
      <c r="F45" s="1"/>
      <c r="G45" s="1"/>
    </row>
    <row r="46" spans="1:8" hidden="1" x14ac:dyDescent="0.3">
      <c r="A46" s="149" t="s">
        <v>125</v>
      </c>
      <c r="B46" s="190">
        <v>17</v>
      </c>
      <c r="C46" s="9" t="s">
        <v>20</v>
      </c>
      <c r="D46" s="56" t="s">
        <v>24</v>
      </c>
      <c r="E46" s="1"/>
      <c r="F46" s="1"/>
      <c r="G46" s="1"/>
    </row>
    <row r="47" spans="1:8" x14ac:dyDescent="0.3">
      <c r="A47" s="149" t="s">
        <v>612</v>
      </c>
      <c r="B47" s="154">
        <v>15</v>
      </c>
      <c r="C47" s="9" t="s">
        <v>23</v>
      </c>
      <c r="D47" s="211" t="s">
        <v>16</v>
      </c>
      <c r="E47" s="1" t="s">
        <v>613</v>
      </c>
      <c r="F47" s="1"/>
      <c r="G47" s="1" t="s">
        <v>577</v>
      </c>
      <c r="H47" t="s">
        <v>577</v>
      </c>
    </row>
    <row r="48" spans="1:8" hidden="1" x14ac:dyDescent="0.3">
      <c r="A48" s="149" t="s">
        <v>39</v>
      </c>
      <c r="B48" s="154">
        <v>11</v>
      </c>
      <c r="C48" s="9" t="s">
        <v>13</v>
      </c>
      <c r="D48" s="56" t="s">
        <v>24</v>
      </c>
      <c r="E48" s="28" t="s">
        <v>614</v>
      </c>
      <c r="F48" s="28"/>
      <c r="G48" s="28"/>
    </row>
    <row r="49" spans="1:8" hidden="1" x14ac:dyDescent="0.3">
      <c r="A49" s="162" t="s">
        <v>153</v>
      </c>
      <c r="B49" s="177">
        <v>20</v>
      </c>
      <c r="C49" s="9" t="s">
        <v>13</v>
      </c>
      <c r="D49" s="146" t="s">
        <v>28</v>
      </c>
      <c r="E49" s="1" t="s">
        <v>615</v>
      </c>
      <c r="F49" s="9"/>
      <c r="G49" s="9"/>
    </row>
    <row r="50" spans="1:8" hidden="1" x14ac:dyDescent="0.3">
      <c r="A50" s="194" t="s">
        <v>114</v>
      </c>
      <c r="B50" s="17">
        <v>17</v>
      </c>
      <c r="C50" s="9" t="s">
        <v>23</v>
      </c>
      <c r="D50" s="56" t="s">
        <v>24</v>
      </c>
      <c r="E50" s="9" t="s">
        <v>592</v>
      </c>
      <c r="F50" s="9"/>
      <c r="G50" s="9"/>
    </row>
    <row r="51" spans="1:8" hidden="1" x14ac:dyDescent="0.3">
      <c r="A51" s="162" t="s">
        <v>42</v>
      </c>
      <c r="B51" s="177">
        <v>11</v>
      </c>
      <c r="C51" s="9" t="s">
        <v>20</v>
      </c>
      <c r="D51" s="56" t="s">
        <v>28</v>
      </c>
      <c r="E51" s="83" t="s">
        <v>616</v>
      </c>
      <c r="F51" s="9"/>
      <c r="G51" s="9"/>
    </row>
    <row r="52" spans="1:8" x14ac:dyDescent="0.3">
      <c r="A52" s="172" t="s">
        <v>617</v>
      </c>
      <c r="B52" s="157">
        <v>16</v>
      </c>
      <c r="C52" s="9" t="s">
        <v>20</v>
      </c>
      <c r="D52" s="211" t="s">
        <v>16</v>
      </c>
      <c r="E52" s="9" t="s">
        <v>89</v>
      </c>
      <c r="F52" s="9"/>
      <c r="G52" s="9"/>
      <c r="H52" t="s">
        <v>577</v>
      </c>
    </row>
    <row r="53" spans="1:8" hidden="1" x14ac:dyDescent="0.3">
      <c r="A53" s="174" t="s">
        <v>55</v>
      </c>
      <c r="B53" s="157">
        <v>13</v>
      </c>
      <c r="C53" s="9" t="s">
        <v>23</v>
      </c>
      <c r="D53" s="56" t="s">
        <v>24</v>
      </c>
      <c r="E53" s="9" t="s">
        <v>592</v>
      </c>
      <c r="F53" s="9"/>
      <c r="G53" s="9"/>
    </row>
    <row r="54" spans="1:8" hidden="1" x14ac:dyDescent="0.3">
      <c r="A54" s="174" t="s">
        <v>31</v>
      </c>
      <c r="B54" s="180">
        <v>10</v>
      </c>
      <c r="C54" s="9" t="s">
        <v>20</v>
      </c>
      <c r="D54" s="56" t="s">
        <v>24</v>
      </c>
      <c r="E54" s="68" t="s">
        <v>233</v>
      </c>
      <c r="F54" s="68"/>
      <c r="G54" s="68"/>
    </row>
    <row r="55" spans="1:8" hidden="1" x14ac:dyDescent="0.3">
      <c r="A55" s="174" t="s">
        <v>104</v>
      </c>
      <c r="B55" s="178">
        <v>16</v>
      </c>
      <c r="C55" s="9" t="s">
        <v>23</v>
      </c>
      <c r="D55" s="56" t="s">
        <v>28</v>
      </c>
      <c r="E55" s="1"/>
      <c r="F55" s="68"/>
      <c r="G55" s="68"/>
    </row>
    <row r="56" spans="1:8" hidden="1" x14ac:dyDescent="0.3">
      <c r="A56" s="162" t="s">
        <v>71</v>
      </c>
      <c r="B56" s="157">
        <v>14</v>
      </c>
      <c r="C56" s="9" t="s">
        <v>13</v>
      </c>
      <c r="D56" s="146" t="s">
        <v>24</v>
      </c>
      <c r="E56" s="9" t="s">
        <v>590</v>
      </c>
      <c r="F56" s="76"/>
      <c r="G56" s="9"/>
    </row>
    <row r="57" spans="1:8" hidden="1" x14ac:dyDescent="0.3">
      <c r="A57" s="174" t="s">
        <v>134</v>
      </c>
      <c r="B57" s="178">
        <v>18</v>
      </c>
      <c r="C57" s="9" t="s">
        <v>13</v>
      </c>
      <c r="D57" t="s">
        <v>28</v>
      </c>
      <c r="E57" s="82" t="s">
        <v>618</v>
      </c>
      <c r="F57" s="127"/>
      <c r="G57" s="9"/>
    </row>
    <row r="58" spans="1:8" hidden="1" x14ac:dyDescent="0.3">
      <c r="A58" s="68" t="s">
        <v>26</v>
      </c>
      <c r="B58" s="178">
        <v>7</v>
      </c>
      <c r="C58" s="9" t="s">
        <v>23</v>
      </c>
      <c r="D58" s="213" t="s">
        <v>14</v>
      </c>
      <c r="E58" s="68" t="s">
        <v>619</v>
      </c>
      <c r="F58" s="127"/>
      <c r="G58" s="68" t="s">
        <v>620</v>
      </c>
      <c r="H58" t="s">
        <v>577</v>
      </c>
    </row>
    <row r="59" spans="1:8" hidden="1" x14ac:dyDescent="0.3">
      <c r="A59" s="9" t="s">
        <v>105</v>
      </c>
      <c r="B59" s="157">
        <v>16</v>
      </c>
      <c r="C59" s="9" t="s">
        <v>13</v>
      </c>
      <c r="D59" s="146" t="s">
        <v>28</v>
      </c>
      <c r="E59" s="9" t="s">
        <v>621</v>
      </c>
      <c r="F59" s="9"/>
      <c r="G59" s="9"/>
    </row>
    <row r="60" spans="1:8" hidden="1" x14ac:dyDescent="0.3">
      <c r="A60" s="162" t="s">
        <v>49</v>
      </c>
      <c r="B60" s="157">
        <v>12</v>
      </c>
      <c r="C60" s="9" t="s">
        <v>13</v>
      </c>
      <c r="D60" s="146" t="s">
        <v>24</v>
      </c>
      <c r="E60" s="28" t="s">
        <v>622</v>
      </c>
      <c r="F60" s="9"/>
      <c r="G60" s="9"/>
    </row>
    <row r="61" spans="1:8" hidden="1" x14ac:dyDescent="0.3">
      <c r="A61" s="162" t="s">
        <v>112</v>
      </c>
      <c r="B61" s="157">
        <v>16</v>
      </c>
      <c r="C61" s="9" t="s">
        <v>20</v>
      </c>
      <c r="D61" s="146" t="s">
        <v>28</v>
      </c>
      <c r="E61" s="9" t="s">
        <v>623</v>
      </c>
      <c r="F61" s="9"/>
      <c r="G61" s="9"/>
    </row>
    <row r="62" spans="1:8" hidden="1" x14ac:dyDescent="0.3">
      <c r="A62" s="162" t="s">
        <v>32</v>
      </c>
      <c r="B62" s="157">
        <v>10</v>
      </c>
      <c r="C62" s="9" t="s">
        <v>20</v>
      </c>
      <c r="D62" s="146" t="s">
        <v>24</v>
      </c>
      <c r="E62" s="9"/>
      <c r="F62" s="9"/>
      <c r="G62" s="9"/>
    </row>
    <row r="63" spans="1:8" hidden="1" x14ac:dyDescent="0.3">
      <c r="A63" s="174" t="s">
        <v>198</v>
      </c>
      <c r="B63" s="178">
        <v>19</v>
      </c>
      <c r="C63" s="9" t="s">
        <v>20</v>
      </c>
      <c r="D63" s="179" t="s">
        <v>35</v>
      </c>
      <c r="E63" s="68"/>
      <c r="F63" s="68"/>
      <c r="G63" s="68"/>
    </row>
    <row r="64" spans="1:8" hidden="1" x14ac:dyDescent="0.3">
      <c r="A64" s="174" t="s">
        <v>126</v>
      </c>
      <c r="B64" s="178">
        <v>17</v>
      </c>
      <c r="C64" s="9" t="s">
        <v>20</v>
      </c>
      <c r="D64" s="213" t="s">
        <v>14</v>
      </c>
      <c r="E64" s="1"/>
      <c r="F64" s="68"/>
      <c r="G64" s="68"/>
      <c r="H64" t="s">
        <v>577</v>
      </c>
    </row>
    <row r="65" spans="1:8" hidden="1" x14ac:dyDescent="0.3">
      <c r="A65" s="174" t="s">
        <v>27</v>
      </c>
      <c r="B65" s="178">
        <v>10</v>
      </c>
      <c r="C65" s="9" t="s">
        <v>23</v>
      </c>
      <c r="D65" s="179" t="s">
        <v>28</v>
      </c>
      <c r="E65" s="68" t="s">
        <v>624</v>
      </c>
      <c r="F65" s="68"/>
      <c r="G65" s="68"/>
    </row>
    <row r="66" spans="1:8" x14ac:dyDescent="0.3">
      <c r="A66" s="162" t="s">
        <v>360</v>
      </c>
      <c r="B66" s="157">
        <v>16</v>
      </c>
      <c r="C66" s="9" t="s">
        <v>13</v>
      </c>
      <c r="D66" s="212" t="s">
        <v>16</v>
      </c>
      <c r="E66" s="15"/>
      <c r="F66" s="15"/>
      <c r="G66" s="91" t="s">
        <v>577</v>
      </c>
      <c r="H66" t="s">
        <v>577</v>
      </c>
    </row>
    <row r="67" spans="1:8" x14ac:dyDescent="0.3">
      <c r="A67" s="68" t="s">
        <v>625</v>
      </c>
      <c r="B67" s="178">
        <v>17</v>
      </c>
      <c r="C67" s="9" t="s">
        <v>13</v>
      </c>
      <c r="D67" s="213" t="s">
        <v>16</v>
      </c>
      <c r="E67" s="68" t="s">
        <v>626</v>
      </c>
      <c r="F67" s="68"/>
      <c r="G67" t="s">
        <v>577</v>
      </c>
      <c r="H67" t="s">
        <v>577</v>
      </c>
    </row>
    <row r="68" spans="1:8" x14ac:dyDescent="0.3">
      <c r="A68" s="162" t="s">
        <v>376</v>
      </c>
      <c r="B68" s="17">
        <v>17</v>
      </c>
      <c r="C68" s="9" t="s">
        <v>20</v>
      </c>
      <c r="D68" s="212" t="s">
        <v>16</v>
      </c>
      <c r="E68" s="1" t="s">
        <v>591</v>
      </c>
      <c r="F68" s="9"/>
      <c r="G68" s="76" t="s">
        <v>577</v>
      </c>
      <c r="H68" t="s">
        <v>577</v>
      </c>
    </row>
    <row r="69" spans="1:8" hidden="1" x14ac:dyDescent="0.3">
      <c r="A69" s="192" t="s">
        <v>161</v>
      </c>
      <c r="B69" s="157">
        <v>20</v>
      </c>
      <c r="C69" s="9" t="s">
        <v>20</v>
      </c>
      <c r="D69" s="146" t="s">
        <v>14</v>
      </c>
      <c r="E69" s="1"/>
      <c r="F69" s="9"/>
      <c r="G69" s="76"/>
    </row>
    <row r="70" spans="1:8" hidden="1" x14ac:dyDescent="0.3">
      <c r="A70" s="162" t="s">
        <v>154</v>
      </c>
      <c r="B70" s="157">
        <v>19</v>
      </c>
      <c r="C70" s="9" t="s">
        <v>20</v>
      </c>
      <c r="D70" s="146" t="s">
        <v>28</v>
      </c>
      <c r="E70" s="9" t="s">
        <v>627</v>
      </c>
      <c r="F70" s="9"/>
      <c r="G70" s="9"/>
      <c r="H70" t="s">
        <v>577</v>
      </c>
    </row>
    <row r="71" spans="1:8" hidden="1" x14ac:dyDescent="0.3">
      <c r="A71" s="162" t="s">
        <v>98</v>
      </c>
      <c r="B71" s="157">
        <v>15</v>
      </c>
      <c r="C71" s="9" t="s">
        <v>13</v>
      </c>
      <c r="D71" s="146" t="s">
        <v>28</v>
      </c>
      <c r="E71" s="9" t="s">
        <v>628</v>
      </c>
      <c r="F71" s="9"/>
      <c r="G71" s="140"/>
      <c r="H71" t="s">
        <v>577</v>
      </c>
    </row>
    <row r="72" spans="1:8" x14ac:dyDescent="0.3">
      <c r="A72" s="162" t="s">
        <v>629</v>
      </c>
      <c r="B72" s="157">
        <v>17</v>
      </c>
      <c r="C72" s="9" t="s">
        <v>13</v>
      </c>
      <c r="D72" s="212" t="s">
        <v>16</v>
      </c>
      <c r="E72" s="9" t="s">
        <v>630</v>
      </c>
      <c r="F72" s="9"/>
      <c r="G72" s="140" t="s">
        <v>577</v>
      </c>
      <c r="H72" t="s">
        <v>577</v>
      </c>
    </row>
    <row r="73" spans="1:8" hidden="1" x14ac:dyDescent="0.3">
      <c r="A73" s="162" t="s">
        <v>51</v>
      </c>
      <c r="B73" s="157">
        <v>12</v>
      </c>
      <c r="C73" s="9" t="s">
        <v>13</v>
      </c>
      <c r="D73" s="179" t="s">
        <v>14</v>
      </c>
      <c r="E73" s="9"/>
      <c r="F73" s="9"/>
      <c r="G73" s="140"/>
      <c r="H73" t="s">
        <v>577</v>
      </c>
    </row>
    <row r="74" spans="1:8" hidden="1" x14ac:dyDescent="0.3">
      <c r="A74" s="162" t="s">
        <v>202</v>
      </c>
      <c r="B74" s="157" t="s">
        <v>203</v>
      </c>
      <c r="C74" s="9" t="s">
        <v>23</v>
      </c>
      <c r="D74" s="142" t="s">
        <v>28</v>
      </c>
      <c r="E74" s="9"/>
      <c r="F74" s="9"/>
      <c r="G74" s="33"/>
      <c r="H74" t="s">
        <v>577</v>
      </c>
    </row>
    <row r="75" spans="1:8" x14ac:dyDescent="0.3">
      <c r="A75" s="68" t="s">
        <v>379</v>
      </c>
      <c r="B75" s="178">
        <v>18</v>
      </c>
      <c r="C75" s="9" t="s">
        <v>23</v>
      </c>
      <c r="D75" s="213" t="s">
        <v>16</v>
      </c>
      <c r="E75" s="68" t="s">
        <v>591</v>
      </c>
      <c r="F75" s="68"/>
      <c r="G75" s="68" t="s">
        <v>577</v>
      </c>
      <c r="H75" t="s">
        <v>577</v>
      </c>
    </row>
    <row r="76" spans="1:8" hidden="1" x14ac:dyDescent="0.3">
      <c r="A76" s="174" t="s">
        <v>82</v>
      </c>
      <c r="B76" s="178">
        <v>8</v>
      </c>
      <c r="C76" s="9" t="s">
        <v>20</v>
      </c>
      <c r="D76" s="179" t="s">
        <v>28</v>
      </c>
      <c r="E76" s="68" t="s">
        <v>631</v>
      </c>
      <c r="F76" s="68"/>
      <c r="G76" s="9"/>
    </row>
    <row r="77" spans="1:8" hidden="1" x14ac:dyDescent="0.3">
      <c r="A77" s="175" t="s">
        <v>149</v>
      </c>
      <c r="B77" s="178">
        <v>19</v>
      </c>
      <c r="C77" s="9" t="s">
        <v>13</v>
      </c>
      <c r="D77" s="221" t="s">
        <v>14</v>
      </c>
      <c r="E77" s="9" t="s">
        <v>632</v>
      </c>
      <c r="F77" s="9"/>
      <c r="G77" s="146" t="s">
        <v>577</v>
      </c>
      <c r="H77" t="s">
        <v>577</v>
      </c>
    </row>
    <row r="78" spans="1:8" hidden="1" x14ac:dyDescent="0.3">
      <c r="A78" s="175" t="s">
        <v>34</v>
      </c>
      <c r="B78" s="178">
        <v>11</v>
      </c>
      <c r="C78" s="9" t="s">
        <v>23</v>
      </c>
      <c r="D78" s="179" t="s">
        <v>14</v>
      </c>
      <c r="E78" s="96"/>
      <c r="F78" s="96"/>
      <c r="G78" s="9"/>
    </row>
    <row r="79" spans="1:8" hidden="1" x14ac:dyDescent="0.3">
      <c r="A79" s="176" t="s">
        <v>65</v>
      </c>
      <c r="B79" s="178">
        <v>13</v>
      </c>
      <c r="C79" s="9" t="s">
        <v>20</v>
      </c>
      <c r="D79" s="179" t="s">
        <v>24</v>
      </c>
      <c r="E79" s="68" t="s">
        <v>633</v>
      </c>
      <c r="F79" s="68"/>
      <c r="G79" s="9"/>
    </row>
    <row r="80" spans="1:8" hidden="1" x14ac:dyDescent="0.3">
      <c r="A80" s="162" t="s">
        <v>57</v>
      </c>
      <c r="B80" s="178">
        <v>13</v>
      </c>
      <c r="C80" s="9" t="s">
        <v>23</v>
      </c>
      <c r="D80" s="179" t="s">
        <v>14</v>
      </c>
      <c r="E80" s="68"/>
      <c r="F80" s="68"/>
      <c r="G80" s="9"/>
    </row>
    <row r="81" spans="1:8" hidden="1" x14ac:dyDescent="0.3">
      <c r="A81" s="192" t="s">
        <v>90</v>
      </c>
      <c r="B81" s="178">
        <v>15</v>
      </c>
      <c r="C81" s="9" t="s">
        <v>13</v>
      </c>
      <c r="D81" s="179" t="s">
        <v>24</v>
      </c>
      <c r="E81" s="68"/>
      <c r="F81" s="68"/>
      <c r="G81" s="68"/>
    </row>
    <row r="82" spans="1:8" hidden="1" x14ac:dyDescent="0.3">
      <c r="A82" s="162" t="s">
        <v>139</v>
      </c>
      <c r="B82" s="180">
        <v>18</v>
      </c>
      <c r="C82" s="9" t="s">
        <v>20</v>
      </c>
      <c r="D82" s="179" t="s">
        <v>28</v>
      </c>
      <c r="E82" s="68" t="s">
        <v>634</v>
      </c>
      <c r="F82" s="68"/>
      <c r="G82" s="68"/>
    </row>
    <row r="83" spans="1:8" x14ac:dyDescent="0.3">
      <c r="A83" s="172" t="s">
        <v>393</v>
      </c>
      <c r="B83" s="178">
        <v>20</v>
      </c>
      <c r="C83" s="9" t="s">
        <v>23</v>
      </c>
      <c r="D83" s="213" t="s">
        <v>16</v>
      </c>
      <c r="E83" s="68" t="s">
        <v>635</v>
      </c>
      <c r="F83" s="68"/>
      <c r="G83" s="68" t="s">
        <v>577</v>
      </c>
      <c r="H83" t="s">
        <v>577</v>
      </c>
    </row>
    <row r="84" spans="1:8" hidden="1" x14ac:dyDescent="0.3">
      <c r="A84" s="162" t="s">
        <v>166</v>
      </c>
      <c r="B84" s="178">
        <v>20</v>
      </c>
      <c r="C84" s="9" t="s">
        <v>20</v>
      </c>
      <c r="D84" s="179" t="s">
        <v>24</v>
      </c>
      <c r="E84" s="68"/>
      <c r="F84" s="68"/>
      <c r="G84" s="68"/>
    </row>
    <row r="85" spans="1:8" hidden="1" x14ac:dyDescent="0.3">
      <c r="A85" s="174" t="s">
        <v>158</v>
      </c>
      <c r="B85" s="178">
        <v>20</v>
      </c>
      <c r="C85" s="9" t="s">
        <v>23</v>
      </c>
      <c r="D85" s="179" t="s">
        <v>47</v>
      </c>
      <c r="E85" s="68" t="s">
        <v>628</v>
      </c>
      <c r="F85" s="68"/>
      <c r="G85" s="68"/>
    </row>
    <row r="86" spans="1:8" hidden="1" x14ac:dyDescent="0.3">
      <c r="A86" s="174" t="s">
        <v>152</v>
      </c>
      <c r="B86" s="178">
        <v>19</v>
      </c>
      <c r="C86" s="9" t="s">
        <v>20</v>
      </c>
      <c r="D86" s="179" t="s">
        <v>24</v>
      </c>
      <c r="E86" s="68" t="s">
        <v>636</v>
      </c>
      <c r="F86" s="68"/>
      <c r="G86" s="68"/>
      <c r="H86" t="s">
        <v>577</v>
      </c>
    </row>
    <row r="87" spans="1:8" hidden="1" x14ac:dyDescent="0.3">
      <c r="A87" s="162" t="s">
        <v>102</v>
      </c>
      <c r="B87" s="157">
        <v>18</v>
      </c>
      <c r="C87" s="9" t="s">
        <v>13</v>
      </c>
      <c r="D87" s="146" t="s">
        <v>24</v>
      </c>
      <c r="E87" s="15" t="s">
        <v>637</v>
      </c>
      <c r="F87" s="9"/>
      <c r="G87" s="9"/>
    </row>
    <row r="88" spans="1:8" hidden="1" x14ac:dyDescent="0.3">
      <c r="A88" s="162" t="s">
        <v>169</v>
      </c>
      <c r="B88" s="157">
        <v>20</v>
      </c>
      <c r="C88" s="9" t="s">
        <v>20</v>
      </c>
      <c r="D88" s="212" t="s">
        <v>588</v>
      </c>
      <c r="E88" s="9" t="s">
        <v>638</v>
      </c>
      <c r="F88" s="9"/>
      <c r="G88" s="9" t="s">
        <v>577</v>
      </c>
    </row>
    <row r="89" spans="1:8" hidden="1" x14ac:dyDescent="0.3">
      <c r="A89" s="162" t="s">
        <v>210</v>
      </c>
      <c r="B89" s="157" t="s">
        <v>203</v>
      </c>
      <c r="C89" s="9" t="s">
        <v>20</v>
      </c>
      <c r="D89" s="146" t="s">
        <v>588</v>
      </c>
      <c r="E89" s="9" t="s">
        <v>639</v>
      </c>
      <c r="F89" s="9"/>
      <c r="G89" s="9"/>
    </row>
    <row r="90" spans="1:8" hidden="1" x14ac:dyDescent="0.3">
      <c r="A90" s="162" t="s">
        <v>151</v>
      </c>
      <c r="B90" s="157">
        <v>19</v>
      </c>
      <c r="C90" s="9" t="s">
        <v>13</v>
      </c>
      <c r="D90" s="146" t="s">
        <v>28</v>
      </c>
      <c r="E90" s="9" t="s">
        <v>640</v>
      </c>
      <c r="F90" s="9"/>
      <c r="G90" s="9"/>
    </row>
    <row r="91" spans="1:8" hidden="1" x14ac:dyDescent="0.3">
      <c r="A91" s="162" t="s">
        <v>85</v>
      </c>
      <c r="B91" s="157">
        <v>14</v>
      </c>
      <c r="C91" s="9" t="s">
        <v>13</v>
      </c>
      <c r="D91" s="146" t="s">
        <v>24</v>
      </c>
      <c r="E91" s="9" t="s">
        <v>641</v>
      </c>
      <c r="F91" s="9"/>
      <c r="G91" s="9"/>
    </row>
    <row r="92" spans="1:8" hidden="1" x14ac:dyDescent="0.3">
      <c r="A92" s="162" t="s">
        <v>382</v>
      </c>
      <c r="B92" s="157">
        <v>18</v>
      </c>
      <c r="C92" s="9" t="s">
        <v>13</v>
      </c>
      <c r="D92" s="146" t="s">
        <v>28</v>
      </c>
      <c r="E92" s="9"/>
      <c r="F92" s="9"/>
      <c r="G92" s="9"/>
    </row>
    <row r="93" spans="1:8" hidden="1" x14ac:dyDescent="0.3">
      <c r="A93" s="162" t="s">
        <v>52</v>
      </c>
      <c r="B93" s="157">
        <v>12</v>
      </c>
      <c r="C93" s="9" t="s">
        <v>13</v>
      </c>
      <c r="D93" s="146" t="s">
        <v>35</v>
      </c>
      <c r="E93" s="9" t="s">
        <v>642</v>
      </c>
      <c r="F93" s="9"/>
      <c r="G93" s="9"/>
    </row>
    <row r="94" spans="1:8" x14ac:dyDescent="0.3">
      <c r="A94" s="162" t="s">
        <v>394</v>
      </c>
      <c r="B94" s="157">
        <v>20</v>
      </c>
      <c r="C94" s="9" t="s">
        <v>13</v>
      </c>
      <c r="D94" s="212" t="s">
        <v>16</v>
      </c>
      <c r="E94" s="9" t="s">
        <v>643</v>
      </c>
      <c r="F94" s="9"/>
      <c r="G94" s="9" t="s">
        <v>577</v>
      </c>
      <c r="H94" t="s">
        <v>577</v>
      </c>
    </row>
    <row r="95" spans="1:8" hidden="1" x14ac:dyDescent="0.3">
      <c r="A95" s="9" t="s">
        <v>67</v>
      </c>
      <c r="B95" s="157">
        <v>13</v>
      </c>
      <c r="C95" s="9" t="s">
        <v>20</v>
      </c>
      <c r="D95" s="212" t="s">
        <v>14</v>
      </c>
      <c r="E95" s="1" t="s">
        <v>644</v>
      </c>
      <c r="F95" s="9"/>
      <c r="G95" s="9"/>
      <c r="H95" t="s">
        <v>577</v>
      </c>
    </row>
    <row r="96" spans="1:8" hidden="1" x14ac:dyDescent="0.3">
      <c r="A96" s="162" t="s">
        <v>328</v>
      </c>
      <c r="B96" s="157">
        <v>14</v>
      </c>
      <c r="C96" s="9" t="s">
        <v>23</v>
      </c>
      <c r="D96" s="146" t="s">
        <v>28</v>
      </c>
      <c r="E96" s="1"/>
      <c r="F96" s="9"/>
      <c r="G96" s="9"/>
    </row>
    <row r="97" spans="1:8" hidden="1" x14ac:dyDescent="0.3">
      <c r="A97" s="162" t="s">
        <v>58</v>
      </c>
      <c r="B97" s="157">
        <v>13</v>
      </c>
      <c r="C97" s="9" t="s">
        <v>23</v>
      </c>
      <c r="D97" s="146" t="s">
        <v>47</v>
      </c>
      <c r="E97" s="1"/>
      <c r="F97" s="9"/>
      <c r="G97" s="9"/>
    </row>
    <row r="98" spans="1:8" hidden="1" x14ac:dyDescent="0.3">
      <c r="A98" s="162" t="s">
        <v>62</v>
      </c>
      <c r="B98" s="157">
        <v>13</v>
      </c>
      <c r="C98" s="9" t="s">
        <v>13</v>
      </c>
      <c r="D98" s="146" t="s">
        <v>28</v>
      </c>
      <c r="E98" s="1" t="s">
        <v>645</v>
      </c>
      <c r="F98" s="9"/>
      <c r="G98" s="9"/>
    </row>
    <row r="99" spans="1:8" x14ac:dyDescent="0.3">
      <c r="A99" s="162" t="s">
        <v>145</v>
      </c>
      <c r="B99" s="157">
        <v>20</v>
      </c>
      <c r="C99" s="9" t="s">
        <v>13</v>
      </c>
      <c r="D99" s="212" t="s">
        <v>16</v>
      </c>
      <c r="E99" s="9" t="s">
        <v>591</v>
      </c>
      <c r="F99" s="9"/>
      <c r="G99" s="9" t="s">
        <v>577</v>
      </c>
      <c r="H99" t="s">
        <v>577</v>
      </c>
    </row>
    <row r="100" spans="1:8" x14ac:dyDescent="0.3">
      <c r="A100" s="162" t="s">
        <v>395</v>
      </c>
      <c r="B100" s="157">
        <v>20</v>
      </c>
      <c r="C100" s="9" t="s">
        <v>23</v>
      </c>
      <c r="D100" s="212" t="s">
        <v>16</v>
      </c>
      <c r="E100" s="9" t="s">
        <v>646</v>
      </c>
      <c r="F100" s="9"/>
      <c r="G100" s="9" t="s">
        <v>577</v>
      </c>
      <c r="H100" t="s">
        <v>577</v>
      </c>
    </row>
    <row r="101" spans="1:8" hidden="1" x14ac:dyDescent="0.3">
      <c r="A101" s="162" t="s">
        <v>162</v>
      </c>
      <c r="B101" s="157">
        <v>20</v>
      </c>
      <c r="C101" s="9" t="s">
        <v>13</v>
      </c>
      <c r="D101" s="146" t="s">
        <v>28</v>
      </c>
      <c r="E101" s="1"/>
      <c r="F101" s="9"/>
      <c r="G101" s="9"/>
    </row>
    <row r="102" spans="1:8" x14ac:dyDescent="0.3">
      <c r="A102" s="162" t="s">
        <v>647</v>
      </c>
      <c r="B102" s="157">
        <v>20</v>
      </c>
      <c r="C102" s="9" t="s">
        <v>13</v>
      </c>
      <c r="D102" s="212" t="s">
        <v>16</v>
      </c>
      <c r="E102" s="9" t="s">
        <v>648</v>
      </c>
      <c r="F102" s="9"/>
      <c r="G102" s="9" t="s">
        <v>577</v>
      </c>
      <c r="H102" t="s">
        <v>577</v>
      </c>
    </row>
    <row r="103" spans="1:8" hidden="1" x14ac:dyDescent="0.3">
      <c r="A103" s="162" t="s">
        <v>115</v>
      </c>
      <c r="B103" s="17">
        <v>17</v>
      </c>
      <c r="C103" s="9" t="s">
        <v>23</v>
      </c>
      <c r="D103" s="146" t="s">
        <v>24</v>
      </c>
      <c r="E103" s="9"/>
      <c r="F103" s="9"/>
      <c r="G103" s="9"/>
    </row>
    <row r="104" spans="1:8" hidden="1" x14ac:dyDescent="0.3">
      <c r="A104" s="162" t="s">
        <v>135</v>
      </c>
      <c r="B104" s="157">
        <v>18</v>
      </c>
      <c r="C104" s="9" t="s">
        <v>13</v>
      </c>
      <c r="D104" s="146" t="s">
        <v>28</v>
      </c>
      <c r="E104" s="9" t="s">
        <v>649</v>
      </c>
      <c r="F104" s="9"/>
      <c r="G104" s="9"/>
    </row>
    <row r="105" spans="1:8" hidden="1" x14ac:dyDescent="0.3">
      <c r="A105" s="162" t="s">
        <v>84</v>
      </c>
      <c r="B105" s="157">
        <v>14</v>
      </c>
      <c r="C105" s="9" t="s">
        <v>20</v>
      </c>
      <c r="D105" s="146" t="s">
        <v>28</v>
      </c>
      <c r="E105" s="9" t="s">
        <v>650</v>
      </c>
      <c r="F105" s="9"/>
      <c r="G105" s="9"/>
    </row>
    <row r="106" spans="1:8" hidden="1" x14ac:dyDescent="0.3">
      <c r="A106" s="162" t="s">
        <v>121</v>
      </c>
      <c r="B106" s="17">
        <v>17</v>
      </c>
      <c r="C106" s="9" t="s">
        <v>13</v>
      </c>
      <c r="D106" s="146" t="s">
        <v>24</v>
      </c>
      <c r="E106" s="9"/>
      <c r="F106" s="9"/>
      <c r="G106" s="9"/>
    </row>
    <row r="107" spans="1:8" hidden="1" x14ac:dyDescent="0.3">
      <c r="A107" s="162" t="s">
        <v>138</v>
      </c>
      <c r="B107" s="157">
        <v>18</v>
      </c>
      <c r="C107" s="9" t="s">
        <v>20</v>
      </c>
      <c r="D107" s="146" t="s">
        <v>24</v>
      </c>
      <c r="E107" s="68"/>
      <c r="F107" s="9"/>
      <c r="G107" s="9"/>
    </row>
    <row r="108" spans="1:8" x14ac:dyDescent="0.3">
      <c r="A108" s="162" t="s">
        <v>398</v>
      </c>
      <c r="B108" s="157">
        <v>20</v>
      </c>
      <c r="C108" s="9" t="s">
        <v>23</v>
      </c>
      <c r="D108" s="212" t="s">
        <v>16</v>
      </c>
      <c r="E108" s="9" t="s">
        <v>651</v>
      </c>
      <c r="F108" s="9"/>
      <c r="G108" s="9" t="s">
        <v>577</v>
      </c>
      <c r="H108" t="s">
        <v>577</v>
      </c>
    </row>
    <row r="109" spans="1:8" hidden="1" x14ac:dyDescent="0.3">
      <c r="A109" s="162" t="s">
        <v>113</v>
      </c>
      <c r="B109" s="17">
        <v>17</v>
      </c>
      <c r="C109" s="9" t="s">
        <v>23</v>
      </c>
      <c r="D109" s="146"/>
      <c r="E109" s="9"/>
      <c r="F109" s="9"/>
      <c r="G109" s="9"/>
    </row>
    <row r="110" spans="1:8" hidden="1" x14ac:dyDescent="0.3">
      <c r="A110" s="162" t="s">
        <v>122</v>
      </c>
      <c r="B110" s="17">
        <v>17</v>
      </c>
      <c r="C110" s="9" t="s">
        <v>13</v>
      </c>
      <c r="D110" s="146" t="s">
        <v>24</v>
      </c>
      <c r="E110" s="9"/>
      <c r="F110" s="9"/>
      <c r="G110" s="9"/>
    </row>
    <row r="111" spans="1:8" hidden="1" x14ac:dyDescent="0.3">
      <c r="A111" s="162" t="s">
        <v>46</v>
      </c>
      <c r="B111" s="157">
        <v>12</v>
      </c>
      <c r="C111" s="9" t="s">
        <v>23</v>
      </c>
      <c r="D111" s="146" t="s">
        <v>28</v>
      </c>
      <c r="E111" s="9"/>
      <c r="F111" s="9"/>
      <c r="G111" s="9"/>
    </row>
    <row r="112" spans="1:8" hidden="1" x14ac:dyDescent="0.3">
      <c r="A112" s="162" t="s">
        <v>101</v>
      </c>
      <c r="B112" s="157">
        <v>16</v>
      </c>
      <c r="C112" s="9" t="s">
        <v>23</v>
      </c>
      <c r="D112" s="146" t="s">
        <v>24</v>
      </c>
      <c r="E112" s="9" t="s">
        <v>592</v>
      </c>
      <c r="F112" s="9"/>
      <c r="G112" s="9"/>
    </row>
    <row r="113" spans="1:8" hidden="1" x14ac:dyDescent="0.3">
      <c r="A113" s="162" t="s">
        <v>74</v>
      </c>
      <c r="B113" s="157">
        <v>14</v>
      </c>
      <c r="C113" s="9" t="s">
        <v>13</v>
      </c>
      <c r="D113" s="146" t="s">
        <v>24</v>
      </c>
      <c r="E113" s="9"/>
      <c r="F113" s="9"/>
      <c r="G113" s="9"/>
    </row>
    <row r="114" spans="1:8" hidden="1" x14ac:dyDescent="0.3">
      <c r="A114" s="162" t="s">
        <v>22</v>
      </c>
      <c r="B114" s="157">
        <v>8</v>
      </c>
      <c r="C114" s="9" t="s">
        <v>23</v>
      </c>
      <c r="D114" s="146" t="s">
        <v>28</v>
      </c>
      <c r="E114" s="9"/>
      <c r="F114" s="9"/>
      <c r="G114" s="9"/>
    </row>
    <row r="115" spans="1:8" x14ac:dyDescent="0.3">
      <c r="A115" s="162" t="s">
        <v>399</v>
      </c>
      <c r="B115" s="157">
        <v>20</v>
      </c>
      <c r="C115" s="9" t="s">
        <v>13</v>
      </c>
      <c r="D115" s="212" t="s">
        <v>16</v>
      </c>
      <c r="E115" s="9" t="s">
        <v>652</v>
      </c>
      <c r="F115" s="9"/>
      <c r="G115" s="9" t="s">
        <v>577</v>
      </c>
      <c r="H115" t="s">
        <v>577</v>
      </c>
    </row>
    <row r="116" spans="1:8" hidden="1" x14ac:dyDescent="0.3">
      <c r="A116" s="162" t="s">
        <v>144</v>
      </c>
      <c r="B116" s="157">
        <v>19</v>
      </c>
      <c r="C116" s="9" t="s">
        <v>23</v>
      </c>
      <c r="D116" s="146" t="s">
        <v>28</v>
      </c>
      <c r="E116" s="9"/>
      <c r="F116" s="9"/>
      <c r="G116" s="9"/>
    </row>
    <row r="117" spans="1:8" hidden="1" x14ac:dyDescent="0.3">
      <c r="A117" s="170" t="s">
        <v>157</v>
      </c>
      <c r="B117" s="157">
        <v>20</v>
      </c>
      <c r="C117" s="9" t="s">
        <v>23</v>
      </c>
      <c r="D117" s="212" t="s">
        <v>14</v>
      </c>
      <c r="E117" s="9"/>
      <c r="F117" s="9"/>
      <c r="G117" s="9" t="s">
        <v>577</v>
      </c>
      <c r="H117" t="s">
        <v>577</v>
      </c>
    </row>
    <row r="118" spans="1:8" hidden="1" x14ac:dyDescent="0.3">
      <c r="A118" s="162" t="s">
        <v>56</v>
      </c>
      <c r="B118" s="157">
        <v>13</v>
      </c>
      <c r="C118" s="9" t="s">
        <v>23</v>
      </c>
      <c r="D118" s="146" t="s">
        <v>24</v>
      </c>
      <c r="E118" s="9"/>
      <c r="F118" s="9"/>
      <c r="G118" s="9"/>
    </row>
    <row r="119" spans="1:8" hidden="1" x14ac:dyDescent="0.3">
      <c r="A119" s="162" t="s">
        <v>142</v>
      </c>
      <c r="B119" s="157">
        <v>19</v>
      </c>
      <c r="C119" s="9" t="s">
        <v>23</v>
      </c>
      <c r="D119" s="146" t="s">
        <v>24</v>
      </c>
      <c r="E119" s="9"/>
      <c r="F119" s="9"/>
      <c r="G119" s="9"/>
    </row>
    <row r="120" spans="1:8" x14ac:dyDescent="0.3">
      <c r="A120" s="9" t="s">
        <v>400</v>
      </c>
      <c r="B120" s="157">
        <v>20</v>
      </c>
      <c r="C120" s="9" t="s">
        <v>20</v>
      </c>
      <c r="D120" s="212" t="s">
        <v>16</v>
      </c>
      <c r="E120" s="9" t="s">
        <v>653</v>
      </c>
      <c r="F120" s="9"/>
      <c r="G120" s="9" t="s">
        <v>577</v>
      </c>
      <c r="H120" t="s">
        <v>577</v>
      </c>
    </row>
    <row r="121" spans="1:8" hidden="1" x14ac:dyDescent="0.3">
      <c r="A121" s="149" t="s">
        <v>167</v>
      </c>
      <c r="B121" s="157">
        <v>20</v>
      </c>
      <c r="C121" s="9" t="s">
        <v>20</v>
      </c>
      <c r="D121" s="146" t="s">
        <v>24</v>
      </c>
      <c r="E121" s="9"/>
      <c r="F121" s="9"/>
      <c r="G121" s="9"/>
    </row>
    <row r="122" spans="1:8" hidden="1" x14ac:dyDescent="0.3">
      <c r="A122" s="149" t="s">
        <v>30</v>
      </c>
      <c r="B122" s="157">
        <v>10</v>
      </c>
      <c r="C122" s="9" t="s">
        <v>13</v>
      </c>
      <c r="D122" s="146" t="s">
        <v>28</v>
      </c>
      <c r="E122" s="9" t="s">
        <v>654</v>
      </c>
      <c r="F122" s="9"/>
      <c r="G122" s="9"/>
    </row>
    <row r="123" spans="1:8" hidden="1" x14ac:dyDescent="0.3">
      <c r="A123" s="162" t="s">
        <v>97</v>
      </c>
      <c r="B123" s="157">
        <v>15</v>
      </c>
      <c r="C123" s="9" t="s">
        <v>20</v>
      </c>
      <c r="D123" s="146" t="s">
        <v>24</v>
      </c>
      <c r="E123" s="9" t="s">
        <v>655</v>
      </c>
      <c r="F123" s="9"/>
      <c r="G123" s="9"/>
    </row>
    <row r="132" spans="1:4" ht="21" x14ac:dyDescent="0.4">
      <c r="A132" s="128" t="s">
        <v>211</v>
      </c>
      <c r="B132" s="129"/>
      <c r="C132" s="130"/>
      <c r="D132" s="131">
        <f>+COUNTIF(D3:D131,"OK")</f>
        <v>25</v>
      </c>
    </row>
  </sheetData>
  <autoFilter ref="A2:H123" xr:uid="{80F8C0D2-914A-459C-8135-E4A9AA743823}">
    <filterColumn colId="3">
      <filters>
        <filter val="OK"/>
      </filters>
    </filterColumn>
    <sortState xmlns:xlrd2="http://schemas.microsoft.com/office/spreadsheetml/2017/richdata2" ref="A3:H120">
      <sortCondition ref="B2:B123"/>
    </sortState>
  </autoFilter>
  <mergeCells count="1">
    <mergeCell ref="B1:E1"/>
  </mergeCells>
  <conditionalFormatting sqref="A29 B35:B40 B42:B48">
    <cfRule type="expression" dxfId="1071" priority="11">
      <formula>COUNTIF($B29:Y29, "C")</formula>
    </cfRule>
    <cfRule type="expression" dxfId="1070" priority="12">
      <formula>COUNTIF($B29:Y29, "Q")</formula>
    </cfRule>
    <cfRule type="expression" dxfId="1069" priority="13">
      <formula>COUNTIF($B29:Y29, "M")</formula>
    </cfRule>
    <cfRule type="expression" dxfId="1068" priority="14">
      <formula>COUNTIF($B29:Y29, "A")</formula>
    </cfRule>
  </conditionalFormatting>
  <conditionalFormatting sqref="A29:A48 B31:B40 B42:B48">
    <cfRule type="expression" dxfId="1067" priority="15">
      <formula>COUNTIF($A29:Y29, "NI")</formula>
    </cfRule>
  </conditionalFormatting>
  <conditionalFormatting sqref="A121:A122">
    <cfRule type="expression" dxfId="1066" priority="1">
      <formula>COUNTIF($B121:Y121, "C")</formula>
    </cfRule>
    <cfRule type="expression" dxfId="1065" priority="2">
      <formula>COUNTIF($B121:Y121, "Q")</formula>
    </cfRule>
    <cfRule type="expression" dxfId="1064" priority="3">
      <formula>COUNTIF($B121:Y121, "M")</formula>
    </cfRule>
    <cfRule type="expression" dxfId="1063" priority="4">
      <formula>COUNTIF($B121:Y121, "A")</formula>
    </cfRule>
    <cfRule type="expression" dxfId="1062" priority="5">
      <formula>COUNTIF($A121:Y121, "NI")</formula>
    </cfRule>
  </conditionalFormatting>
  <conditionalFormatting sqref="A20:B20">
    <cfRule type="expression" dxfId="1061" priority="51">
      <formula>COUNTIF($A20:G20, "NI")</formula>
    </cfRule>
  </conditionalFormatting>
  <conditionalFormatting sqref="A28:B28 A72:A73">
    <cfRule type="expression" dxfId="1060" priority="50">
      <formula>COUNTIF($A28:Y28, "NI")</formula>
    </cfRule>
  </conditionalFormatting>
  <conditionalFormatting sqref="B20">
    <cfRule type="expression" dxfId="1059" priority="52">
      <formula>COUNTIF($B20:G20, "C")</formula>
    </cfRule>
    <cfRule type="expression" dxfId="1058" priority="53">
      <formula>COUNTIF($B20:G20, "Q")</formula>
    </cfRule>
    <cfRule type="expression" dxfId="1057" priority="54">
      <formula>COUNTIF($B20:G20, "M")</formula>
    </cfRule>
    <cfRule type="expression" dxfId="1056" priority="55">
      <formula>COUNTIF($B20:G20, "A")</formula>
    </cfRule>
  </conditionalFormatting>
  <conditionalFormatting sqref="B28">
    <cfRule type="expression" dxfId="1055" priority="46">
      <formula>COUNTIF($B28:Z28, "C")</formula>
    </cfRule>
    <cfRule type="expression" dxfId="1054" priority="47">
      <formula>COUNTIF($B28:Z28, "Q")</formula>
    </cfRule>
    <cfRule type="expression" dxfId="1053" priority="48">
      <formula>COUNTIF($B28:Z28, "M")</formula>
    </cfRule>
    <cfRule type="expression" dxfId="1052" priority="49">
      <formula>COUNTIF($B28:Z28, "A")</formula>
    </cfRule>
  </conditionalFormatting>
  <conditionalFormatting sqref="B31:B34 A41">
    <cfRule type="expression" dxfId="1051" priority="40">
      <formula>COUNTIF($B31:Y31, "C")</formula>
    </cfRule>
    <cfRule type="expression" dxfId="1050" priority="41">
      <formula>COUNTIF($B31:Y31, "Q")</formula>
    </cfRule>
    <cfRule type="expression" dxfId="1049" priority="42">
      <formula>COUNTIF($B31:Y31, "M")</formula>
    </cfRule>
    <cfRule type="expression" dxfId="1048" priority="43">
      <formula>COUNTIF($B31:Y31, "A")</formula>
    </cfRule>
  </conditionalFormatting>
  <conditionalFormatting sqref="G70:G72 A77">
    <cfRule type="expression" dxfId="1047" priority="33">
      <formula>COUNTIF($A70:Z70, "NI")</formula>
    </cfRule>
  </conditionalFormatting>
  <conditionalFormatting sqref="G73:G74 A78:A79">
    <cfRule type="expression" dxfId="1046" priority="28">
      <formula>COUNTIF($B73:Y73, "C")</formula>
    </cfRule>
    <cfRule type="expression" dxfId="1045" priority="29">
      <formula>COUNTIF($B73:Y73, "Q")</formula>
    </cfRule>
    <cfRule type="expression" dxfId="1044" priority="30">
      <formula>COUNTIF($B73:Y73, "M")</formula>
    </cfRule>
    <cfRule type="expression" dxfId="1043" priority="31">
      <formula>COUNTIF($B73:Y73, "A")</formula>
    </cfRule>
    <cfRule type="expression" dxfId="1042" priority="32">
      <formula>COUNTIF($A73:Y73, "NI")</formula>
    </cfRule>
  </conditionalFormatting>
  <pageMargins left="0.7" right="0.7" top="0.75" bottom="0.75" header="0.3" footer="0.3"/>
  <pageSetup orientation="portrait" horizontalDpi="360" verticalDpi="36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FDBF5-981D-4B7D-9F94-87E315B9CE9F}">
  <sheetPr filterMode="1">
    <tabColor rgb="FFFFFF00"/>
  </sheetPr>
  <dimension ref="A1:H116"/>
  <sheetViews>
    <sheetView zoomScale="142" workbookViewId="0">
      <selection activeCell="A86" sqref="A86"/>
    </sheetView>
  </sheetViews>
  <sheetFormatPr baseColWidth="10" defaultColWidth="137.33203125" defaultRowHeight="14.4" x14ac:dyDescent="0.3"/>
  <cols>
    <col min="1" max="1" width="42.33203125" bestFit="1" customWidth="1"/>
    <col min="2" max="2" width="12.33203125" style="26" customWidth="1"/>
    <col min="3" max="3" width="16.5546875" customWidth="1"/>
    <col min="4" max="4" width="16.44140625" bestFit="1" customWidth="1"/>
    <col min="5" max="5" width="87.6640625" customWidth="1"/>
    <col min="6" max="6" width="9.33203125" bestFit="1" customWidth="1"/>
    <col min="7" max="7" width="32.6640625" bestFit="1" customWidth="1"/>
  </cols>
  <sheetData>
    <row r="1" spans="1:8" ht="15.6" x14ac:dyDescent="0.3">
      <c r="A1" s="10" t="s">
        <v>0</v>
      </c>
      <c r="B1" s="357"/>
      <c r="C1" s="357"/>
      <c r="D1" s="357"/>
      <c r="E1" s="357"/>
      <c r="F1" s="85"/>
      <c r="G1" s="33"/>
    </row>
    <row r="2" spans="1:8" x14ac:dyDescent="0.3">
      <c r="A2" s="30" t="s">
        <v>2</v>
      </c>
      <c r="B2" s="2" t="s">
        <v>3</v>
      </c>
      <c r="C2" s="30" t="s">
        <v>4</v>
      </c>
      <c r="D2" s="2" t="s">
        <v>5</v>
      </c>
      <c r="E2" s="30" t="s">
        <v>6</v>
      </c>
      <c r="F2" s="30" t="s">
        <v>7</v>
      </c>
      <c r="G2" s="30" t="s">
        <v>8</v>
      </c>
      <c r="H2" t="s">
        <v>9</v>
      </c>
    </row>
    <row r="3" spans="1:8" hidden="1" x14ac:dyDescent="0.3">
      <c r="A3" s="1" t="s">
        <v>505</v>
      </c>
      <c r="B3" s="6">
        <v>4</v>
      </c>
      <c r="C3" s="1" t="s">
        <v>23</v>
      </c>
      <c r="D3" s="28" t="s">
        <v>24</v>
      </c>
      <c r="E3" s="1" t="s">
        <v>506</v>
      </c>
      <c r="F3" s="1"/>
      <c r="G3" s="1"/>
    </row>
    <row r="4" spans="1:8" hidden="1" x14ac:dyDescent="0.3">
      <c r="A4" s="1" t="s">
        <v>25</v>
      </c>
      <c r="B4" s="6">
        <v>8</v>
      </c>
      <c r="C4" s="1" t="s">
        <v>23</v>
      </c>
      <c r="D4" s="1" t="s">
        <v>24</v>
      </c>
      <c r="E4" s="1"/>
      <c r="F4" s="1"/>
      <c r="G4" s="1"/>
    </row>
    <row r="5" spans="1:8" hidden="1" x14ac:dyDescent="0.3">
      <c r="A5" s="165" t="s">
        <v>82</v>
      </c>
      <c r="B5" s="6">
        <v>8</v>
      </c>
      <c r="C5" s="1" t="s">
        <v>23</v>
      </c>
      <c r="D5" s="28"/>
      <c r="E5" s="1"/>
      <c r="F5" s="1"/>
      <c r="G5" s="1"/>
      <c r="H5" t="s">
        <v>577</v>
      </c>
    </row>
    <row r="6" spans="1:8" hidden="1" x14ac:dyDescent="0.3">
      <c r="A6" s="1" t="s">
        <v>22</v>
      </c>
      <c r="B6" s="6">
        <v>8</v>
      </c>
      <c r="C6" s="1" t="s">
        <v>20</v>
      </c>
      <c r="D6" s="1" t="s">
        <v>28</v>
      </c>
      <c r="E6" s="1" t="s">
        <v>33</v>
      </c>
      <c r="F6" s="1"/>
      <c r="G6" s="1"/>
    </row>
    <row r="7" spans="1:8" hidden="1" x14ac:dyDescent="0.3">
      <c r="A7" s="1" t="s">
        <v>31</v>
      </c>
      <c r="B7" s="6">
        <v>10</v>
      </c>
      <c r="C7" s="1" t="s">
        <v>13</v>
      </c>
      <c r="D7" s="28" t="s">
        <v>28</v>
      </c>
      <c r="E7" s="1" t="s">
        <v>233</v>
      </c>
      <c r="F7" s="1"/>
      <c r="G7" s="1"/>
    </row>
    <row r="8" spans="1:8" hidden="1" x14ac:dyDescent="0.3">
      <c r="A8" s="1" t="s">
        <v>27</v>
      </c>
      <c r="B8" s="6">
        <v>10</v>
      </c>
      <c r="C8" s="1" t="s">
        <v>23</v>
      </c>
      <c r="D8" s="28" t="s">
        <v>28</v>
      </c>
      <c r="E8" s="1" t="s">
        <v>656</v>
      </c>
      <c r="F8" s="1"/>
      <c r="G8" s="1"/>
    </row>
    <row r="9" spans="1:8" hidden="1" x14ac:dyDescent="0.3">
      <c r="A9" s="1" t="s">
        <v>30</v>
      </c>
      <c r="B9" s="6">
        <v>10</v>
      </c>
      <c r="C9" s="1" t="s">
        <v>13</v>
      </c>
      <c r="D9" s="28"/>
      <c r="E9" s="1" t="s">
        <v>33</v>
      </c>
      <c r="F9" s="1"/>
      <c r="G9" s="1"/>
    </row>
    <row r="10" spans="1:8" hidden="1" x14ac:dyDescent="0.3">
      <c r="A10" s="165" t="s">
        <v>32</v>
      </c>
      <c r="B10" s="6">
        <v>10</v>
      </c>
      <c r="C10" s="1" t="s">
        <v>23</v>
      </c>
      <c r="D10" s="1"/>
      <c r="E10" s="1" t="s">
        <v>657</v>
      </c>
      <c r="F10" s="1"/>
      <c r="G10" s="1"/>
      <c r="H10" t="s">
        <v>577</v>
      </c>
    </row>
    <row r="11" spans="1:8" hidden="1" x14ac:dyDescent="0.3">
      <c r="A11" s="135" t="s">
        <v>34</v>
      </c>
      <c r="B11" s="6">
        <v>11</v>
      </c>
      <c r="C11" s="1" t="s">
        <v>23</v>
      </c>
      <c r="D11" s="28"/>
      <c r="E11" s="1"/>
      <c r="F11" s="1"/>
      <c r="G11" s="1"/>
    </row>
    <row r="12" spans="1:8" hidden="1" x14ac:dyDescent="0.3">
      <c r="A12" s="1" t="s">
        <v>39</v>
      </c>
      <c r="B12" s="6">
        <v>11</v>
      </c>
      <c r="C12" s="1" t="s">
        <v>13</v>
      </c>
      <c r="D12" s="28"/>
      <c r="E12" s="28" t="s">
        <v>658</v>
      </c>
      <c r="F12" s="28"/>
      <c r="G12" s="28"/>
    </row>
    <row r="13" spans="1:8" hidden="1" x14ac:dyDescent="0.3">
      <c r="A13" s="1" t="s">
        <v>42</v>
      </c>
      <c r="B13" s="6">
        <v>11</v>
      </c>
      <c r="C13" s="1" t="s">
        <v>20</v>
      </c>
      <c r="D13" s="28" t="s">
        <v>28</v>
      </c>
      <c r="E13" s="29" t="s">
        <v>659</v>
      </c>
      <c r="F13" s="1"/>
      <c r="G13" s="1"/>
    </row>
    <row r="14" spans="1:8" hidden="1" x14ac:dyDescent="0.3">
      <c r="A14" s="1" t="s">
        <v>297</v>
      </c>
      <c r="B14" s="6">
        <v>12</v>
      </c>
      <c r="C14" s="1" t="s">
        <v>20</v>
      </c>
      <c r="D14" s="28" t="s">
        <v>28</v>
      </c>
      <c r="E14" s="1"/>
      <c r="F14" s="1"/>
      <c r="G14" s="1"/>
    </row>
    <row r="15" spans="1:8" hidden="1" x14ac:dyDescent="0.3">
      <c r="A15" s="1" t="s">
        <v>52</v>
      </c>
      <c r="B15" s="6">
        <v>12</v>
      </c>
      <c r="C15" s="1" t="s">
        <v>660</v>
      </c>
      <c r="D15" s="28" t="s">
        <v>28</v>
      </c>
      <c r="E15" s="1" t="s">
        <v>661</v>
      </c>
      <c r="F15" s="1"/>
      <c r="G15" s="1"/>
    </row>
    <row r="16" spans="1:8" hidden="1" x14ac:dyDescent="0.3">
      <c r="A16" s="1" t="s">
        <v>291</v>
      </c>
      <c r="B16" s="6">
        <v>12</v>
      </c>
      <c r="C16" s="1" t="s">
        <v>13</v>
      </c>
      <c r="D16" s="28" t="s">
        <v>28</v>
      </c>
      <c r="E16" s="1"/>
      <c r="F16" s="1"/>
      <c r="G16" s="1"/>
    </row>
    <row r="17" spans="1:8" hidden="1" x14ac:dyDescent="0.3">
      <c r="A17" s="1" t="s">
        <v>46</v>
      </c>
      <c r="B17" s="6">
        <v>12</v>
      </c>
      <c r="C17" s="1" t="s">
        <v>20</v>
      </c>
      <c r="D17" s="28" t="s">
        <v>28</v>
      </c>
      <c r="E17" s="1" t="s">
        <v>662</v>
      </c>
      <c r="F17" s="1"/>
      <c r="G17" s="1"/>
    </row>
    <row r="18" spans="1:8" hidden="1" x14ac:dyDescent="0.3">
      <c r="A18" s="1" t="s">
        <v>49</v>
      </c>
      <c r="B18" s="6">
        <v>12</v>
      </c>
      <c r="C18" s="1" t="s">
        <v>13</v>
      </c>
      <c r="D18" s="28"/>
      <c r="E18" s="1" t="s">
        <v>35</v>
      </c>
      <c r="F18" s="1"/>
      <c r="G18" s="1"/>
    </row>
    <row r="19" spans="1:8" hidden="1" x14ac:dyDescent="0.3">
      <c r="A19" s="1" t="s">
        <v>302</v>
      </c>
      <c r="B19" s="6">
        <v>12</v>
      </c>
      <c r="C19" s="1" t="s">
        <v>23</v>
      </c>
      <c r="D19" s="28" t="s">
        <v>24</v>
      </c>
      <c r="E19" s="1" t="s">
        <v>516</v>
      </c>
      <c r="F19" s="1"/>
      <c r="G19" s="1"/>
    </row>
    <row r="20" spans="1:8" hidden="1" x14ac:dyDescent="0.3">
      <c r="A20" s="1" t="s">
        <v>45</v>
      </c>
      <c r="B20" s="6">
        <v>12</v>
      </c>
      <c r="C20" s="1" t="s">
        <v>20</v>
      </c>
      <c r="D20" s="1" t="s">
        <v>28</v>
      </c>
      <c r="E20" s="1" t="s">
        <v>663</v>
      </c>
      <c r="F20" s="1"/>
      <c r="G20" s="1"/>
    </row>
    <row r="21" spans="1:8" hidden="1" x14ac:dyDescent="0.3">
      <c r="A21" s="165" t="s">
        <v>51</v>
      </c>
      <c r="B21" s="6">
        <v>12</v>
      </c>
      <c r="C21" s="1" t="s">
        <v>23</v>
      </c>
      <c r="D21" s="1"/>
      <c r="E21" s="1" t="s">
        <v>657</v>
      </c>
      <c r="F21" s="1"/>
      <c r="G21" s="1"/>
      <c r="H21" t="s">
        <v>577</v>
      </c>
    </row>
    <row r="22" spans="1:8" hidden="1" x14ac:dyDescent="0.3">
      <c r="A22" s="1" t="s">
        <v>56</v>
      </c>
      <c r="B22" s="6">
        <v>13</v>
      </c>
      <c r="C22" s="1" t="s">
        <v>20</v>
      </c>
      <c r="D22" s="28" t="s">
        <v>24</v>
      </c>
      <c r="E22" s="1"/>
      <c r="F22" s="1"/>
      <c r="G22" s="1"/>
    </row>
    <row r="23" spans="1:8" hidden="1" x14ac:dyDescent="0.3">
      <c r="A23" s="165" t="s">
        <v>664</v>
      </c>
      <c r="B23" s="6">
        <v>13</v>
      </c>
      <c r="C23" s="1" t="s">
        <v>23</v>
      </c>
      <c r="D23" s="28"/>
      <c r="E23" s="1"/>
      <c r="F23" s="1"/>
      <c r="G23" s="1"/>
    </row>
    <row r="24" spans="1:8" hidden="1" x14ac:dyDescent="0.3">
      <c r="A24" s="1" t="s">
        <v>65</v>
      </c>
      <c r="B24" s="6">
        <v>13</v>
      </c>
      <c r="C24" s="1" t="s">
        <v>20</v>
      </c>
      <c r="D24" s="1" t="s">
        <v>28</v>
      </c>
      <c r="E24" t="s">
        <v>665</v>
      </c>
      <c r="F24" s="1"/>
      <c r="G24" s="1"/>
    </row>
    <row r="25" spans="1:8" hidden="1" x14ac:dyDescent="0.3">
      <c r="A25" s="1" t="s">
        <v>58</v>
      </c>
      <c r="B25" s="6">
        <v>13</v>
      </c>
      <c r="C25" s="1" t="s">
        <v>20</v>
      </c>
      <c r="D25" s="1" t="s">
        <v>28</v>
      </c>
      <c r="E25" s="1" t="s">
        <v>666</v>
      </c>
      <c r="F25" s="1"/>
      <c r="G25" s="1"/>
    </row>
    <row r="26" spans="1:8" x14ac:dyDescent="0.3">
      <c r="A26" s="165" t="s">
        <v>62</v>
      </c>
      <c r="B26" s="6">
        <v>13</v>
      </c>
      <c r="C26" s="1" t="s">
        <v>13</v>
      </c>
      <c r="D26" s="1" t="s">
        <v>16</v>
      </c>
      <c r="E26" s="1" t="s">
        <v>232</v>
      </c>
      <c r="F26" s="1"/>
      <c r="G26" s="1"/>
      <c r="H26" t="s">
        <v>577</v>
      </c>
    </row>
    <row r="27" spans="1:8" hidden="1" x14ac:dyDescent="0.3">
      <c r="A27" s="1" t="s">
        <v>316</v>
      </c>
      <c r="B27" s="6">
        <v>13</v>
      </c>
      <c r="C27" s="1" t="s">
        <v>20</v>
      </c>
      <c r="D27" s="28" t="s">
        <v>28</v>
      </c>
      <c r="E27" s="28" t="s">
        <v>667</v>
      </c>
      <c r="F27" s="1"/>
      <c r="G27" s="1"/>
    </row>
    <row r="28" spans="1:8" hidden="1" x14ac:dyDescent="0.3">
      <c r="A28" s="1" t="s">
        <v>57</v>
      </c>
      <c r="B28" s="6">
        <v>13</v>
      </c>
      <c r="C28" s="1" t="s">
        <v>23</v>
      </c>
      <c r="D28" s="1" t="s">
        <v>24</v>
      </c>
      <c r="E28" s="1" t="s">
        <v>668</v>
      </c>
      <c r="F28" s="1"/>
      <c r="G28" s="1"/>
    </row>
    <row r="29" spans="1:8" hidden="1" x14ac:dyDescent="0.3">
      <c r="A29" s="1"/>
      <c r="B29" s="6">
        <v>13</v>
      </c>
      <c r="C29" s="1" t="s">
        <v>13</v>
      </c>
      <c r="D29" s="28"/>
      <c r="E29" s="1" t="s">
        <v>669</v>
      </c>
      <c r="F29" s="1"/>
      <c r="G29" s="1"/>
    </row>
    <row r="30" spans="1:8" hidden="1" x14ac:dyDescent="0.3">
      <c r="A30" s="1" t="s">
        <v>670</v>
      </c>
      <c r="B30" s="6">
        <v>13</v>
      </c>
      <c r="C30" s="1" t="s">
        <v>23</v>
      </c>
      <c r="D30" s="1" t="s">
        <v>28</v>
      </c>
      <c r="E30" s="1"/>
      <c r="F30" s="1"/>
      <c r="G30" s="1"/>
    </row>
    <row r="31" spans="1:8" hidden="1" x14ac:dyDescent="0.3">
      <c r="A31" s="165" t="s">
        <v>76</v>
      </c>
      <c r="B31" s="6">
        <v>13</v>
      </c>
      <c r="C31" s="1" t="s">
        <v>23</v>
      </c>
      <c r="D31" s="1"/>
      <c r="E31" s="1"/>
      <c r="F31" s="1"/>
      <c r="G31" s="1"/>
      <c r="H31" t="s">
        <v>577</v>
      </c>
    </row>
    <row r="32" spans="1:8" hidden="1" x14ac:dyDescent="0.3">
      <c r="A32" s="135" t="s">
        <v>55</v>
      </c>
      <c r="B32" s="6">
        <v>13</v>
      </c>
      <c r="C32" s="1" t="s">
        <v>20</v>
      </c>
      <c r="D32" s="1"/>
      <c r="E32" s="1"/>
      <c r="F32" s="1"/>
      <c r="G32" s="1"/>
    </row>
    <row r="33" spans="1:8" hidden="1" x14ac:dyDescent="0.3">
      <c r="A33" s="165" t="s">
        <v>331</v>
      </c>
      <c r="B33" s="6">
        <v>14</v>
      </c>
      <c r="C33" s="1" t="s">
        <v>660</v>
      </c>
      <c r="D33" s="1"/>
      <c r="E33" s="1"/>
      <c r="F33" s="1"/>
      <c r="G33" s="1"/>
      <c r="H33" t="s">
        <v>577</v>
      </c>
    </row>
    <row r="34" spans="1:8" hidden="1" x14ac:dyDescent="0.3">
      <c r="A34" s="1" t="s">
        <v>71</v>
      </c>
      <c r="B34" s="6">
        <v>14</v>
      </c>
      <c r="C34" s="1" t="s">
        <v>23</v>
      </c>
      <c r="D34" s="28" t="s">
        <v>24</v>
      </c>
      <c r="E34" s="1"/>
      <c r="F34" s="1"/>
      <c r="G34" s="1"/>
    </row>
    <row r="35" spans="1:8" hidden="1" x14ac:dyDescent="0.3">
      <c r="A35" s="1" t="s">
        <v>19</v>
      </c>
      <c r="B35" s="6">
        <v>14</v>
      </c>
      <c r="C35" s="1" t="s">
        <v>23</v>
      </c>
      <c r="D35" s="28" t="s">
        <v>28</v>
      </c>
      <c r="E35" s="1" t="s">
        <v>532</v>
      </c>
      <c r="F35" s="1"/>
      <c r="G35" s="1"/>
    </row>
    <row r="36" spans="1:8" hidden="1" x14ac:dyDescent="0.3">
      <c r="A36" s="1" t="s">
        <v>70</v>
      </c>
      <c r="B36" s="6">
        <v>14</v>
      </c>
      <c r="C36" s="1" t="s">
        <v>20</v>
      </c>
      <c r="D36" s="28" t="s">
        <v>28</v>
      </c>
      <c r="E36" s="1" t="s">
        <v>66</v>
      </c>
      <c r="F36" s="1"/>
      <c r="G36" s="1"/>
    </row>
    <row r="37" spans="1:8" hidden="1" x14ac:dyDescent="0.3">
      <c r="A37" s="1" t="s">
        <v>85</v>
      </c>
      <c r="B37" s="6">
        <v>14</v>
      </c>
      <c r="C37" s="1" t="s">
        <v>20</v>
      </c>
      <c r="D37" s="28" t="s">
        <v>28</v>
      </c>
      <c r="E37" s="1" t="s">
        <v>66</v>
      </c>
      <c r="F37" s="1"/>
      <c r="G37" s="1"/>
    </row>
    <row r="38" spans="1:8" hidden="1" x14ac:dyDescent="0.3">
      <c r="A38" s="1" t="s">
        <v>84</v>
      </c>
      <c r="B38" s="6">
        <v>14</v>
      </c>
      <c r="C38" s="1" t="s">
        <v>13</v>
      </c>
      <c r="D38" s="28" t="s">
        <v>28</v>
      </c>
      <c r="E38" s="1" t="s">
        <v>650</v>
      </c>
      <c r="F38" s="1"/>
      <c r="G38" s="1"/>
    </row>
    <row r="39" spans="1:8" hidden="1" x14ac:dyDescent="0.3">
      <c r="A39" s="1" t="s">
        <v>329</v>
      </c>
      <c r="B39" s="6">
        <v>14</v>
      </c>
      <c r="C39" s="1" t="s">
        <v>23</v>
      </c>
      <c r="D39" s="28" t="s">
        <v>28</v>
      </c>
      <c r="E39" s="1" t="s">
        <v>671</v>
      </c>
      <c r="F39" s="1"/>
      <c r="G39" s="1"/>
    </row>
    <row r="40" spans="1:8" hidden="1" x14ac:dyDescent="0.3">
      <c r="A40" s="1" t="s">
        <v>74</v>
      </c>
      <c r="B40" s="6">
        <v>14</v>
      </c>
      <c r="C40" s="1" t="s">
        <v>23</v>
      </c>
      <c r="D40" s="28" t="s">
        <v>24</v>
      </c>
      <c r="E40" s="1"/>
      <c r="F40" s="1"/>
      <c r="G40" s="1"/>
    </row>
    <row r="41" spans="1:8" hidden="1" x14ac:dyDescent="0.3">
      <c r="A41" s="165" t="s">
        <v>155</v>
      </c>
      <c r="B41" s="6">
        <v>14</v>
      </c>
      <c r="C41" s="1" t="s">
        <v>20</v>
      </c>
      <c r="D41" s="1"/>
      <c r="E41" s="1"/>
      <c r="F41" s="1"/>
      <c r="G41" s="1"/>
      <c r="H41" t="s">
        <v>577</v>
      </c>
    </row>
    <row r="42" spans="1:8" hidden="1" x14ac:dyDescent="0.3">
      <c r="A42" s="1" t="s">
        <v>90</v>
      </c>
      <c r="B42" s="6">
        <v>15</v>
      </c>
      <c r="C42" s="1" t="s">
        <v>20</v>
      </c>
      <c r="D42" s="28" t="s">
        <v>28</v>
      </c>
      <c r="E42" s="1"/>
      <c r="F42" s="1"/>
      <c r="G42" s="1"/>
    </row>
    <row r="43" spans="1:8" hidden="1" x14ac:dyDescent="0.3">
      <c r="A43" s="1" t="s">
        <v>96</v>
      </c>
      <c r="B43" s="6">
        <v>15</v>
      </c>
      <c r="C43" s="1" t="s">
        <v>23</v>
      </c>
      <c r="D43" s="1" t="s">
        <v>24</v>
      </c>
      <c r="E43" s="1"/>
      <c r="F43" s="1"/>
      <c r="G43" s="1"/>
    </row>
    <row r="44" spans="1:8" hidden="1" x14ac:dyDescent="0.3">
      <c r="A44" s="1"/>
      <c r="B44" s="6">
        <v>15</v>
      </c>
      <c r="C44" s="1" t="s">
        <v>13</v>
      </c>
      <c r="D44" s="28"/>
      <c r="E44" s="1"/>
      <c r="F44" s="1"/>
      <c r="G44" s="1"/>
    </row>
    <row r="45" spans="1:8" hidden="1" x14ac:dyDescent="0.3">
      <c r="A45" s="163" t="s">
        <v>379</v>
      </c>
      <c r="B45" s="6">
        <v>15</v>
      </c>
      <c r="C45" s="1" t="s">
        <v>23</v>
      </c>
      <c r="D45" s="28" t="s">
        <v>47</v>
      </c>
      <c r="E45" s="1" t="s">
        <v>233</v>
      </c>
      <c r="F45" s="1"/>
    </row>
    <row r="46" spans="1:8" hidden="1" x14ac:dyDescent="0.3">
      <c r="A46" s="1" t="s">
        <v>672</v>
      </c>
      <c r="B46" s="6">
        <v>15</v>
      </c>
      <c r="C46" s="1" t="s">
        <v>13</v>
      </c>
      <c r="D46" s="28" t="s">
        <v>28</v>
      </c>
      <c r="E46" s="1" t="s">
        <v>673</v>
      </c>
      <c r="F46" s="1"/>
      <c r="G46" s="1"/>
    </row>
    <row r="47" spans="1:8" hidden="1" x14ac:dyDescent="0.3">
      <c r="A47" s="1"/>
      <c r="B47" s="6">
        <v>15</v>
      </c>
      <c r="C47" s="1" t="s">
        <v>20</v>
      </c>
      <c r="D47" s="28" t="s">
        <v>28</v>
      </c>
      <c r="E47" s="1" t="s">
        <v>33</v>
      </c>
      <c r="F47" s="1"/>
      <c r="G47" s="1"/>
    </row>
    <row r="48" spans="1:8" hidden="1" x14ac:dyDescent="0.3">
      <c r="A48" s="1" t="s">
        <v>674</v>
      </c>
      <c r="B48" s="6">
        <v>15</v>
      </c>
      <c r="C48" s="1" t="s">
        <v>23</v>
      </c>
      <c r="D48" s="28" t="s">
        <v>47</v>
      </c>
      <c r="E48" s="1" t="s">
        <v>675</v>
      </c>
      <c r="F48" s="1"/>
      <c r="G48" s="1"/>
    </row>
    <row r="49" spans="1:8" hidden="1" x14ac:dyDescent="0.3">
      <c r="A49" s="1" t="s">
        <v>98</v>
      </c>
      <c r="B49" s="6">
        <v>15</v>
      </c>
      <c r="C49" s="1" t="s">
        <v>23</v>
      </c>
      <c r="D49" s="1" t="s">
        <v>35</v>
      </c>
      <c r="E49" s="1"/>
      <c r="F49" s="1"/>
      <c r="G49" s="1"/>
    </row>
    <row r="50" spans="1:8" x14ac:dyDescent="0.3">
      <c r="A50" s="165" t="s">
        <v>355</v>
      </c>
      <c r="B50" s="6">
        <v>16</v>
      </c>
      <c r="C50" s="1" t="s">
        <v>13</v>
      </c>
      <c r="D50" s="28" t="s">
        <v>16</v>
      </c>
      <c r="E50" s="1" t="s">
        <v>676</v>
      </c>
      <c r="F50" s="1"/>
      <c r="G50" s="1"/>
      <c r="H50" t="s">
        <v>577</v>
      </c>
    </row>
    <row r="51" spans="1:8" hidden="1" x14ac:dyDescent="0.3">
      <c r="A51" s="1"/>
      <c r="B51" s="6">
        <v>16</v>
      </c>
      <c r="C51" s="1" t="s">
        <v>13</v>
      </c>
      <c r="D51" s="1" t="s">
        <v>28</v>
      </c>
      <c r="E51" s="1" t="s">
        <v>677</v>
      </c>
      <c r="F51" s="1"/>
      <c r="G51" s="1"/>
    </row>
    <row r="52" spans="1:8" hidden="1" x14ac:dyDescent="0.3">
      <c r="A52" s="1" t="s">
        <v>678</v>
      </c>
      <c r="B52" s="6">
        <v>16</v>
      </c>
      <c r="C52" s="1" t="s">
        <v>20</v>
      </c>
      <c r="D52" s="28" t="s">
        <v>28</v>
      </c>
      <c r="E52" s="28"/>
      <c r="F52" s="28"/>
      <c r="G52" s="28"/>
    </row>
    <row r="53" spans="1:8" hidden="1" x14ac:dyDescent="0.3">
      <c r="A53" s="1" t="s">
        <v>679</v>
      </c>
      <c r="B53" s="6">
        <v>16</v>
      </c>
      <c r="C53" s="1" t="s">
        <v>13</v>
      </c>
      <c r="D53" s="28" t="s">
        <v>28</v>
      </c>
      <c r="E53" s="1"/>
      <c r="F53" s="1"/>
      <c r="G53" s="1"/>
    </row>
    <row r="54" spans="1:8" hidden="1" x14ac:dyDescent="0.3">
      <c r="A54" s="1"/>
      <c r="B54" s="6">
        <v>16</v>
      </c>
      <c r="C54" s="1" t="s">
        <v>20</v>
      </c>
      <c r="D54" s="28"/>
      <c r="E54" s="1"/>
      <c r="F54" s="1"/>
      <c r="G54" s="1"/>
    </row>
    <row r="55" spans="1:8" hidden="1" x14ac:dyDescent="0.3">
      <c r="A55" s="1"/>
      <c r="B55" s="6">
        <v>16</v>
      </c>
      <c r="C55" s="1" t="s">
        <v>13</v>
      </c>
      <c r="D55" s="28"/>
      <c r="E55" s="1" t="s">
        <v>680</v>
      </c>
      <c r="F55" s="1"/>
      <c r="G55" s="1"/>
    </row>
    <row r="56" spans="1:8" hidden="1" x14ac:dyDescent="0.3">
      <c r="A56" s="1" t="s">
        <v>681</v>
      </c>
      <c r="B56" s="6">
        <v>16</v>
      </c>
      <c r="C56" s="1" t="s">
        <v>20</v>
      </c>
      <c r="D56" s="28" t="s">
        <v>24</v>
      </c>
      <c r="E56" s="1"/>
      <c r="F56" s="1"/>
      <c r="G56" s="1"/>
    </row>
    <row r="57" spans="1:8" hidden="1" x14ac:dyDescent="0.3">
      <c r="A57" s="1" t="s">
        <v>101</v>
      </c>
      <c r="B57" s="6">
        <v>16</v>
      </c>
      <c r="C57" s="1" t="s">
        <v>13</v>
      </c>
      <c r="D57" s="28"/>
      <c r="E57" s="1"/>
      <c r="F57" s="1"/>
      <c r="G57" s="1"/>
    </row>
    <row r="58" spans="1:8" hidden="1" x14ac:dyDescent="0.3">
      <c r="A58" s="135" t="s">
        <v>360</v>
      </c>
      <c r="B58" s="6">
        <v>16</v>
      </c>
      <c r="C58" s="1" t="s">
        <v>23</v>
      </c>
      <c r="D58" s="28"/>
      <c r="E58" s="28"/>
      <c r="F58" s="28"/>
      <c r="G58" s="28"/>
    </row>
    <row r="59" spans="1:8" hidden="1" x14ac:dyDescent="0.3">
      <c r="A59" s="1" t="s">
        <v>112</v>
      </c>
      <c r="B59" s="6">
        <v>16</v>
      </c>
      <c r="C59" s="1" t="s">
        <v>23</v>
      </c>
      <c r="D59" s="1" t="s">
        <v>28</v>
      </c>
      <c r="E59" s="1" t="s">
        <v>33</v>
      </c>
      <c r="F59" s="1"/>
      <c r="G59" s="1"/>
    </row>
    <row r="60" spans="1:8" hidden="1" x14ac:dyDescent="0.3">
      <c r="A60" s="1" t="s">
        <v>104</v>
      </c>
      <c r="B60" s="6">
        <v>16</v>
      </c>
      <c r="C60" s="1" t="s">
        <v>660</v>
      </c>
      <c r="D60" s="1" t="s">
        <v>28</v>
      </c>
      <c r="E60" s="1" t="s">
        <v>682</v>
      </c>
      <c r="F60" s="1"/>
      <c r="G60" s="1"/>
    </row>
    <row r="61" spans="1:8" hidden="1" x14ac:dyDescent="0.3">
      <c r="A61" s="165" t="s">
        <v>629</v>
      </c>
      <c r="B61" s="6">
        <v>16</v>
      </c>
      <c r="C61" s="1" t="s">
        <v>20</v>
      </c>
      <c r="D61" s="1"/>
      <c r="E61" s="1"/>
      <c r="F61" s="1"/>
      <c r="G61" s="1"/>
      <c r="H61" t="s">
        <v>577</v>
      </c>
    </row>
    <row r="62" spans="1:8" x14ac:dyDescent="0.3">
      <c r="A62" s="165" t="s">
        <v>109</v>
      </c>
      <c r="B62" s="6">
        <v>16</v>
      </c>
      <c r="C62" s="1" t="s">
        <v>20</v>
      </c>
      <c r="D62" s="1" t="s">
        <v>16</v>
      </c>
      <c r="E62" s="1"/>
      <c r="F62" s="1"/>
      <c r="G62" s="1"/>
      <c r="H62" t="s">
        <v>577</v>
      </c>
    </row>
    <row r="63" spans="1:8" hidden="1" x14ac:dyDescent="0.3">
      <c r="A63" s="1" t="s">
        <v>113</v>
      </c>
      <c r="B63" s="3">
        <v>17</v>
      </c>
      <c r="C63" s="1" t="s">
        <v>23</v>
      </c>
      <c r="D63" s="28" t="s">
        <v>24</v>
      </c>
      <c r="E63" s="1" t="s">
        <v>683</v>
      </c>
      <c r="F63" s="1"/>
      <c r="G63" s="1"/>
    </row>
    <row r="64" spans="1:8" hidden="1" x14ac:dyDescent="0.3">
      <c r="A64" s="1" t="s">
        <v>373</v>
      </c>
      <c r="B64" s="3">
        <v>17</v>
      </c>
      <c r="C64" s="1" t="s">
        <v>13</v>
      </c>
      <c r="D64" s="28" t="s">
        <v>28</v>
      </c>
      <c r="E64" s="1"/>
      <c r="F64" s="1"/>
      <c r="G64" s="1"/>
    </row>
    <row r="65" spans="1:8" hidden="1" x14ac:dyDescent="0.3">
      <c r="A65" s="135" t="s">
        <v>301</v>
      </c>
      <c r="B65" s="3">
        <v>17</v>
      </c>
      <c r="C65" s="1" t="s">
        <v>23</v>
      </c>
      <c r="D65" s="28"/>
      <c r="E65" s="1"/>
      <c r="F65" s="1"/>
      <c r="G65" s="1"/>
    </row>
    <row r="66" spans="1:8" hidden="1" x14ac:dyDescent="0.3">
      <c r="A66" s="9" t="s">
        <v>115</v>
      </c>
      <c r="B66" s="160">
        <v>17</v>
      </c>
      <c r="C66" s="9" t="s">
        <v>20</v>
      </c>
      <c r="D66" s="15" t="s">
        <v>28</v>
      </c>
      <c r="E66" s="9" t="s">
        <v>684</v>
      </c>
      <c r="F66" s="9"/>
      <c r="G66" s="9"/>
    </row>
    <row r="67" spans="1:8" hidden="1" x14ac:dyDescent="0.3">
      <c r="A67" s="96" t="s">
        <v>100</v>
      </c>
      <c r="B67" s="14">
        <v>17</v>
      </c>
      <c r="C67" s="1" t="s">
        <v>20</v>
      </c>
      <c r="D67" s="15" t="s">
        <v>28</v>
      </c>
      <c r="E67" s="9" t="s">
        <v>685</v>
      </c>
      <c r="F67" s="9"/>
      <c r="G67" s="9"/>
    </row>
    <row r="68" spans="1:8" hidden="1" x14ac:dyDescent="0.3">
      <c r="A68" s="9" t="s">
        <v>369</v>
      </c>
      <c r="B68" s="160">
        <v>17</v>
      </c>
      <c r="C68" s="1" t="s">
        <v>13</v>
      </c>
      <c r="D68" s="15" t="s">
        <v>28</v>
      </c>
      <c r="E68" s="9" t="s">
        <v>686</v>
      </c>
      <c r="F68" s="9"/>
      <c r="G68" s="9"/>
    </row>
    <row r="69" spans="1:8" hidden="1" x14ac:dyDescent="0.3">
      <c r="A69" s="168" t="s">
        <v>114</v>
      </c>
      <c r="B69" s="14">
        <v>17</v>
      </c>
      <c r="C69" s="1" t="s">
        <v>20</v>
      </c>
      <c r="D69" s="15"/>
      <c r="E69" s="9" t="s">
        <v>687</v>
      </c>
      <c r="F69" s="9"/>
      <c r="G69" s="9"/>
      <c r="H69" t="s">
        <v>577</v>
      </c>
    </row>
    <row r="70" spans="1:8" hidden="1" x14ac:dyDescent="0.3">
      <c r="A70" s="68" t="s">
        <v>122</v>
      </c>
      <c r="B70" s="14">
        <v>17</v>
      </c>
      <c r="C70" s="1" t="s">
        <v>20</v>
      </c>
      <c r="D70" s="15" t="s">
        <v>28</v>
      </c>
      <c r="E70" s="9" t="s">
        <v>688</v>
      </c>
      <c r="F70" s="9"/>
      <c r="G70" s="9"/>
    </row>
    <row r="71" spans="1:8" hidden="1" x14ac:dyDescent="0.3">
      <c r="A71" s="68" t="s">
        <v>376</v>
      </c>
      <c r="B71" s="161">
        <v>17</v>
      </c>
      <c r="C71" s="1" t="s">
        <v>13</v>
      </c>
      <c r="D71" s="82" t="s">
        <v>28</v>
      </c>
      <c r="E71" s="68"/>
      <c r="F71" s="68"/>
      <c r="G71" s="68"/>
    </row>
    <row r="72" spans="1:8" hidden="1" x14ac:dyDescent="0.3">
      <c r="A72" s="68" t="s">
        <v>117</v>
      </c>
      <c r="B72" s="78">
        <v>17</v>
      </c>
      <c r="C72" s="1" t="s">
        <v>23</v>
      </c>
      <c r="D72" s="82" t="s">
        <v>28</v>
      </c>
      <c r="E72" s="68" t="s">
        <v>689</v>
      </c>
      <c r="F72" s="68"/>
      <c r="G72" s="68"/>
    </row>
    <row r="73" spans="1:8" hidden="1" x14ac:dyDescent="0.3">
      <c r="A73" s="9" t="s">
        <v>121</v>
      </c>
      <c r="B73" s="14">
        <v>17</v>
      </c>
      <c r="C73" s="9" t="s">
        <v>23</v>
      </c>
      <c r="D73" s="15" t="s">
        <v>24</v>
      </c>
      <c r="E73" s="9" t="s">
        <v>33</v>
      </c>
      <c r="F73" s="76"/>
      <c r="G73" s="9"/>
    </row>
    <row r="74" spans="1:8" hidden="1" x14ac:dyDescent="0.3">
      <c r="A74" s="68" t="s">
        <v>125</v>
      </c>
      <c r="B74" s="78">
        <v>17</v>
      </c>
      <c r="C74" t="s">
        <v>20</v>
      </c>
      <c r="D74" s="82" t="s">
        <v>28</v>
      </c>
      <c r="E74" s="68"/>
      <c r="F74" s="127"/>
      <c r="G74" s="9"/>
    </row>
    <row r="75" spans="1:8" hidden="1" x14ac:dyDescent="0.3">
      <c r="A75" s="9" t="s">
        <v>364</v>
      </c>
      <c r="B75" s="14">
        <v>17</v>
      </c>
      <c r="C75" s="9" t="s">
        <v>13</v>
      </c>
      <c r="D75" s="15"/>
      <c r="E75" s="9" t="s">
        <v>690</v>
      </c>
      <c r="F75" s="76"/>
      <c r="G75" s="9"/>
    </row>
    <row r="76" spans="1:8" hidden="1" x14ac:dyDescent="0.3">
      <c r="A76" s="68" t="s">
        <v>625</v>
      </c>
      <c r="B76" s="95">
        <v>17</v>
      </c>
      <c r="C76" s="68" t="s">
        <v>20</v>
      </c>
      <c r="D76" s="68" t="s">
        <v>47</v>
      </c>
      <c r="E76" s="68" t="s">
        <v>626</v>
      </c>
      <c r="F76" s="127"/>
      <c r="G76" s="68"/>
    </row>
    <row r="77" spans="1:8" hidden="1" x14ac:dyDescent="0.3">
      <c r="A77" s="153" t="s">
        <v>41</v>
      </c>
      <c r="B77" s="19">
        <v>17</v>
      </c>
      <c r="C77" s="9" t="s">
        <v>20</v>
      </c>
      <c r="D77" s="9"/>
      <c r="E77" s="9"/>
      <c r="F77" s="9"/>
      <c r="G77" s="9"/>
    </row>
    <row r="78" spans="1:8" hidden="1" x14ac:dyDescent="0.3">
      <c r="A78" s="9" t="s">
        <v>102</v>
      </c>
      <c r="B78" s="19">
        <v>18</v>
      </c>
      <c r="C78" s="9" t="s">
        <v>13</v>
      </c>
      <c r="D78" s="9" t="s">
        <v>28</v>
      </c>
      <c r="E78" s="9" t="s">
        <v>33</v>
      </c>
      <c r="F78" s="9"/>
      <c r="G78" s="9"/>
    </row>
    <row r="79" spans="1:8" hidden="1" x14ac:dyDescent="0.3">
      <c r="A79" s="9" t="s">
        <v>137</v>
      </c>
      <c r="B79" s="19">
        <v>18</v>
      </c>
      <c r="C79" s="9" t="s">
        <v>13</v>
      </c>
      <c r="D79" s="9" t="s">
        <v>28</v>
      </c>
      <c r="E79" s="9" t="s">
        <v>658</v>
      </c>
      <c r="F79" s="9"/>
      <c r="G79" s="9"/>
    </row>
    <row r="80" spans="1:8" hidden="1" x14ac:dyDescent="0.3">
      <c r="A80" s="9" t="s">
        <v>128</v>
      </c>
      <c r="B80" s="19">
        <v>18</v>
      </c>
      <c r="C80" s="9" t="s">
        <v>13</v>
      </c>
      <c r="D80" s="9" t="s">
        <v>14</v>
      </c>
      <c r="E80" s="9"/>
      <c r="F80" s="9"/>
      <c r="G80" s="9"/>
    </row>
    <row r="81" spans="1:8" hidden="1" x14ac:dyDescent="0.3">
      <c r="A81" s="68" t="s">
        <v>135</v>
      </c>
      <c r="B81" s="95">
        <v>18</v>
      </c>
      <c r="C81" s="68" t="s">
        <v>23</v>
      </c>
      <c r="D81" s="68" t="s">
        <v>47</v>
      </c>
      <c r="E81" s="68" t="s">
        <v>691</v>
      </c>
      <c r="F81" s="68"/>
      <c r="G81" s="68"/>
    </row>
    <row r="82" spans="1:8" hidden="1" x14ac:dyDescent="0.3">
      <c r="A82" s="68" t="s">
        <v>139</v>
      </c>
      <c r="B82" s="95">
        <v>18</v>
      </c>
      <c r="C82" s="68" t="s">
        <v>13</v>
      </c>
      <c r="D82" s="68" t="s">
        <v>28</v>
      </c>
      <c r="E82" s="68" t="s">
        <v>692</v>
      </c>
      <c r="F82" s="68"/>
      <c r="G82" s="68"/>
    </row>
    <row r="83" spans="1:8" hidden="1" x14ac:dyDescent="0.3">
      <c r="A83" s="68" t="s">
        <v>127</v>
      </c>
      <c r="B83" s="95">
        <v>18</v>
      </c>
      <c r="C83" s="68" t="s">
        <v>13</v>
      </c>
      <c r="D83" s="68" t="s">
        <v>28</v>
      </c>
      <c r="E83" s="68"/>
      <c r="F83" s="68"/>
      <c r="G83" s="68" t="s">
        <v>386</v>
      </c>
    </row>
    <row r="84" spans="1:8" x14ac:dyDescent="0.3">
      <c r="A84" s="167" t="s">
        <v>382</v>
      </c>
      <c r="B84" s="19">
        <v>18</v>
      </c>
      <c r="C84" s="9" t="s">
        <v>23</v>
      </c>
      <c r="D84" s="9" t="s">
        <v>16</v>
      </c>
      <c r="E84" s="9" t="s">
        <v>33</v>
      </c>
      <c r="F84" s="9"/>
      <c r="G84" s="127"/>
      <c r="H84" t="s">
        <v>577</v>
      </c>
    </row>
    <row r="85" spans="1:8" hidden="1" x14ac:dyDescent="0.3">
      <c r="A85" s="9" t="s">
        <v>138</v>
      </c>
      <c r="B85" s="19">
        <v>18</v>
      </c>
      <c r="C85" s="9" t="s">
        <v>20</v>
      </c>
      <c r="D85" s="9" t="s">
        <v>28</v>
      </c>
      <c r="E85" s="9" t="s">
        <v>543</v>
      </c>
      <c r="F85" s="9"/>
      <c r="G85" s="76" t="s">
        <v>140</v>
      </c>
    </row>
    <row r="86" spans="1:8" x14ac:dyDescent="0.3">
      <c r="A86" s="167" t="s">
        <v>130</v>
      </c>
      <c r="B86" s="19">
        <v>18</v>
      </c>
      <c r="C86" s="9" t="s">
        <v>660</v>
      </c>
      <c r="D86" s="9" t="s">
        <v>16</v>
      </c>
      <c r="E86" s="9" t="s">
        <v>232</v>
      </c>
      <c r="F86" s="9"/>
      <c r="G86" s="76"/>
      <c r="H86" t="s">
        <v>577</v>
      </c>
    </row>
    <row r="87" spans="1:8" x14ac:dyDescent="0.3">
      <c r="A87" s="166" t="s">
        <v>134</v>
      </c>
      <c r="B87" s="95">
        <v>18</v>
      </c>
      <c r="C87" s="68" t="s">
        <v>20</v>
      </c>
      <c r="D87" s="68" t="s">
        <v>16</v>
      </c>
      <c r="E87" s="68"/>
      <c r="F87" s="68"/>
      <c r="G87" t="s">
        <v>149</v>
      </c>
      <c r="H87" t="s">
        <v>577</v>
      </c>
    </row>
    <row r="88" spans="1:8" x14ac:dyDescent="0.3">
      <c r="A88" s="167" t="s">
        <v>693</v>
      </c>
      <c r="B88" s="19">
        <v>18</v>
      </c>
      <c r="C88" s="9" t="s">
        <v>20</v>
      </c>
      <c r="D88" s="9" t="s">
        <v>16</v>
      </c>
      <c r="E88" s="9"/>
      <c r="F88" s="9"/>
      <c r="G88" s="76"/>
      <c r="H88" t="s">
        <v>577</v>
      </c>
    </row>
    <row r="89" spans="1:8" hidden="1" x14ac:dyDescent="0.3">
      <c r="A89" s="169" t="s">
        <v>175</v>
      </c>
      <c r="B89" s="19">
        <v>19</v>
      </c>
      <c r="C89" s="9" t="s">
        <v>20</v>
      </c>
      <c r="D89" s="9"/>
      <c r="E89" s="9"/>
      <c r="F89" s="9"/>
      <c r="G89" s="76"/>
    </row>
    <row r="90" spans="1:8" x14ac:dyDescent="0.3">
      <c r="A90" s="167" t="s">
        <v>389</v>
      </c>
      <c r="B90" s="19">
        <v>19</v>
      </c>
      <c r="C90" s="9" t="s">
        <v>20</v>
      </c>
      <c r="D90" s="9" t="s">
        <v>16</v>
      </c>
      <c r="E90" s="9"/>
      <c r="F90" s="9"/>
      <c r="G90" s="98"/>
      <c r="H90" t="s">
        <v>577</v>
      </c>
    </row>
    <row r="91" spans="1:8" hidden="1" x14ac:dyDescent="0.3">
      <c r="A91" s="167" t="s">
        <v>123</v>
      </c>
      <c r="B91" s="19">
        <v>19</v>
      </c>
      <c r="C91" s="9" t="s">
        <v>20</v>
      </c>
      <c r="D91" s="9"/>
      <c r="E91" s="9"/>
      <c r="F91" s="9"/>
      <c r="G91" s="9"/>
      <c r="H91" t="s">
        <v>577</v>
      </c>
    </row>
    <row r="92" spans="1:8" hidden="1" x14ac:dyDescent="0.3">
      <c r="A92" s="166" t="s">
        <v>141</v>
      </c>
      <c r="B92" s="95">
        <v>19</v>
      </c>
      <c r="C92" s="68" t="s">
        <v>20</v>
      </c>
      <c r="D92" s="68"/>
      <c r="E92" s="68"/>
      <c r="F92" s="68"/>
      <c r="G92" s="64"/>
      <c r="H92" t="s">
        <v>577</v>
      </c>
    </row>
    <row r="93" spans="1:8" hidden="1" x14ac:dyDescent="0.3">
      <c r="A93" s="167" t="s">
        <v>151</v>
      </c>
      <c r="B93" s="19">
        <v>19</v>
      </c>
      <c r="C93" s="9" t="s">
        <v>20</v>
      </c>
      <c r="D93" s="9"/>
      <c r="E93" s="9" t="s">
        <v>657</v>
      </c>
      <c r="F93" s="9"/>
      <c r="G93" s="140"/>
      <c r="H93" t="s">
        <v>577</v>
      </c>
    </row>
    <row r="94" spans="1:8" x14ac:dyDescent="0.3">
      <c r="A94" s="167" t="s">
        <v>387</v>
      </c>
      <c r="B94" s="19">
        <v>19</v>
      </c>
      <c r="C94" s="9" t="s">
        <v>23</v>
      </c>
      <c r="D94" s="9" t="s">
        <v>16</v>
      </c>
      <c r="E94" s="9"/>
      <c r="F94" s="9"/>
      <c r="G94" s="140"/>
      <c r="H94" t="s">
        <v>577</v>
      </c>
    </row>
    <row r="95" spans="1:8" x14ac:dyDescent="0.3">
      <c r="A95" s="167" t="s">
        <v>392</v>
      </c>
      <c r="B95" s="19">
        <v>19</v>
      </c>
      <c r="C95" s="9" t="s">
        <v>20</v>
      </c>
      <c r="D95" s="9" t="s">
        <v>16</v>
      </c>
      <c r="E95" s="9"/>
      <c r="F95" s="9"/>
      <c r="G95" s="140"/>
      <c r="H95" t="s">
        <v>577</v>
      </c>
    </row>
    <row r="96" spans="1:8" hidden="1" x14ac:dyDescent="0.3">
      <c r="A96" s="167" t="s">
        <v>143</v>
      </c>
      <c r="B96" s="19">
        <v>19</v>
      </c>
      <c r="C96" s="9" t="s">
        <v>20</v>
      </c>
      <c r="D96" s="9"/>
      <c r="E96" s="9"/>
      <c r="F96" s="9"/>
      <c r="G96" s="33"/>
      <c r="H96" t="s">
        <v>577</v>
      </c>
    </row>
    <row r="97" spans="1:8" x14ac:dyDescent="0.3">
      <c r="A97" s="166" t="s">
        <v>198</v>
      </c>
      <c r="B97" s="95">
        <v>19</v>
      </c>
      <c r="C97" s="68" t="s">
        <v>660</v>
      </c>
      <c r="D97" s="68" t="s">
        <v>16</v>
      </c>
      <c r="E97" s="68"/>
      <c r="F97" s="68"/>
      <c r="G97" s="68"/>
      <c r="H97" t="s">
        <v>577</v>
      </c>
    </row>
    <row r="98" spans="1:8" hidden="1" x14ac:dyDescent="0.3">
      <c r="A98" s="68" t="s">
        <v>132</v>
      </c>
      <c r="B98" s="95">
        <v>19</v>
      </c>
      <c r="C98" s="68" t="s">
        <v>20</v>
      </c>
      <c r="D98" s="68" t="s">
        <v>47</v>
      </c>
      <c r="E98" s="68" t="s">
        <v>233</v>
      </c>
      <c r="F98" s="68"/>
      <c r="G98" s="9"/>
    </row>
    <row r="99" spans="1:8" hidden="1" x14ac:dyDescent="0.3">
      <c r="A99" s="140" t="s">
        <v>150</v>
      </c>
      <c r="B99" s="95">
        <v>19</v>
      </c>
      <c r="C99" s="68" t="s">
        <v>20</v>
      </c>
      <c r="D99" s="68" t="s">
        <v>28</v>
      </c>
      <c r="E99" s="68" t="s">
        <v>516</v>
      </c>
      <c r="F99" s="68"/>
      <c r="G99" s="9"/>
    </row>
    <row r="100" spans="1:8" hidden="1" x14ac:dyDescent="0.3">
      <c r="A100" s="140" t="s">
        <v>154</v>
      </c>
      <c r="B100" s="95">
        <v>19</v>
      </c>
      <c r="C100" s="68" t="s">
        <v>20</v>
      </c>
      <c r="D100" s="68" t="s">
        <v>28</v>
      </c>
      <c r="E100" s="68" t="s">
        <v>627</v>
      </c>
      <c r="F100" s="68"/>
      <c r="G100" s="9"/>
    </row>
    <row r="101" spans="1:8" hidden="1" x14ac:dyDescent="0.3">
      <c r="A101" s="33" t="s">
        <v>142</v>
      </c>
      <c r="B101" s="95">
        <v>19</v>
      </c>
      <c r="C101" s="68" t="s">
        <v>23</v>
      </c>
      <c r="D101" s="68" t="s">
        <v>47</v>
      </c>
      <c r="E101" s="68" t="s">
        <v>636</v>
      </c>
      <c r="F101" s="68"/>
      <c r="G101" s="9"/>
    </row>
    <row r="102" spans="1:8" hidden="1" x14ac:dyDescent="0.3">
      <c r="A102" s="9" t="s">
        <v>146</v>
      </c>
      <c r="B102" s="95">
        <v>19</v>
      </c>
      <c r="C102" s="68" t="s">
        <v>20</v>
      </c>
      <c r="D102" s="68" t="s">
        <v>28</v>
      </c>
      <c r="E102" s="68" t="s">
        <v>694</v>
      </c>
      <c r="F102" s="68"/>
      <c r="G102" s="9"/>
    </row>
    <row r="103" spans="1:8" hidden="1" x14ac:dyDescent="0.3">
      <c r="A103" s="76" t="s">
        <v>390</v>
      </c>
      <c r="B103" s="95">
        <v>19</v>
      </c>
      <c r="C103" s="68" t="s">
        <v>23</v>
      </c>
      <c r="D103" s="68" t="s">
        <v>28</v>
      </c>
      <c r="E103" s="68"/>
      <c r="F103" s="68"/>
      <c r="G103" s="9"/>
    </row>
    <row r="104" spans="1:8" hidden="1" x14ac:dyDescent="0.3">
      <c r="A104" s="76" t="s">
        <v>140</v>
      </c>
      <c r="B104" s="95">
        <v>19</v>
      </c>
      <c r="C104" s="68" t="s">
        <v>13</v>
      </c>
      <c r="D104" s="68" t="s">
        <v>28</v>
      </c>
      <c r="E104" s="68" t="s">
        <v>233</v>
      </c>
      <c r="F104" s="68"/>
      <c r="G104" s="68"/>
    </row>
    <row r="105" spans="1:8" hidden="1" x14ac:dyDescent="0.3">
      <c r="A105" t="s">
        <v>149</v>
      </c>
      <c r="B105" s="95">
        <v>19</v>
      </c>
      <c r="C105" s="68" t="s">
        <v>13</v>
      </c>
      <c r="D105" s="68" t="s">
        <v>28</v>
      </c>
      <c r="E105" s="68" t="s">
        <v>233</v>
      </c>
      <c r="F105" s="68"/>
      <c r="G105" s="68"/>
    </row>
    <row r="106" spans="1:8" hidden="1" x14ac:dyDescent="0.3">
      <c r="A106" s="9" t="s">
        <v>152</v>
      </c>
      <c r="B106" s="95">
        <v>19</v>
      </c>
      <c r="C106" s="68" t="s">
        <v>13</v>
      </c>
      <c r="D106" s="68" t="s">
        <v>28</v>
      </c>
      <c r="E106" s="68" t="s">
        <v>636</v>
      </c>
      <c r="F106" s="68"/>
      <c r="G106" s="68"/>
    </row>
    <row r="107" spans="1:8" hidden="1" x14ac:dyDescent="0.3">
      <c r="A107" s="9" t="s">
        <v>144</v>
      </c>
      <c r="B107" s="95">
        <v>19</v>
      </c>
      <c r="C107" s="68" t="s">
        <v>23</v>
      </c>
      <c r="D107" s="68" t="s">
        <v>47</v>
      </c>
      <c r="E107" s="68" t="s">
        <v>636</v>
      </c>
      <c r="F107" s="68"/>
      <c r="G107" s="68"/>
    </row>
    <row r="108" spans="1:8" hidden="1" x14ac:dyDescent="0.3">
      <c r="A108" s="68" t="s">
        <v>97</v>
      </c>
      <c r="B108" s="95">
        <v>15</v>
      </c>
      <c r="C108" s="68" t="s">
        <v>20</v>
      </c>
      <c r="D108" s="68" t="s">
        <v>47</v>
      </c>
      <c r="E108" s="68" t="s">
        <v>655</v>
      </c>
      <c r="F108" s="68"/>
      <c r="G108" s="68"/>
    </row>
    <row r="109" spans="1:8" hidden="1" x14ac:dyDescent="0.3">
      <c r="A109" s="68" t="s">
        <v>210</v>
      </c>
      <c r="B109" s="95" t="s">
        <v>203</v>
      </c>
      <c r="C109" s="68" t="s">
        <v>20</v>
      </c>
      <c r="D109" s="68" t="s">
        <v>28</v>
      </c>
      <c r="E109" s="68" t="s">
        <v>695</v>
      </c>
      <c r="F109" s="68"/>
      <c r="G109" s="68"/>
    </row>
    <row r="110" spans="1:8" x14ac:dyDescent="0.3">
      <c r="A110" s="166" t="s">
        <v>202</v>
      </c>
      <c r="B110" s="95" t="s">
        <v>203</v>
      </c>
      <c r="C110" s="68" t="s">
        <v>165</v>
      </c>
      <c r="D110" s="82" t="s">
        <v>16</v>
      </c>
      <c r="E110" s="68" t="s">
        <v>696</v>
      </c>
      <c r="F110" s="68"/>
      <c r="G110" s="68"/>
      <c r="H110" t="s">
        <v>577</v>
      </c>
    </row>
    <row r="111" spans="1:8" hidden="1" x14ac:dyDescent="0.3">
      <c r="A111" s="9" t="s">
        <v>697</v>
      </c>
      <c r="B111" s="19"/>
      <c r="C111" s="9" t="s">
        <v>20</v>
      </c>
      <c r="D111" s="9" t="s">
        <v>28</v>
      </c>
      <c r="E111" s="9" t="s">
        <v>675</v>
      </c>
      <c r="F111" s="9"/>
      <c r="G111" s="9"/>
    </row>
    <row r="116" spans="1:4" ht="21" x14ac:dyDescent="0.4">
      <c r="A116" s="128" t="s">
        <v>211</v>
      </c>
      <c r="B116" s="129"/>
      <c r="C116" s="130"/>
      <c r="D116" s="131">
        <f>+COUNTIF(D3:D115,"OK")</f>
        <v>12</v>
      </c>
    </row>
  </sheetData>
  <autoFilter ref="A2:G111" xr:uid="{BD847532-BB21-486B-BE90-E6CEAB294FCC}">
    <filterColumn colId="3">
      <filters>
        <filter val="OK"/>
      </filters>
    </filterColumn>
    <sortState xmlns:xlrd2="http://schemas.microsoft.com/office/spreadsheetml/2017/richdata2" ref="A3:G103">
      <sortCondition ref="B2:B97"/>
    </sortState>
  </autoFilter>
  <mergeCells count="1">
    <mergeCell ref="B1:E1"/>
  </mergeCells>
  <conditionalFormatting sqref="A50">
    <cfRule type="expression" dxfId="1041" priority="3">
      <formula>COUNTIF($B50:Y50, "C")</formula>
    </cfRule>
    <cfRule type="expression" dxfId="1040" priority="4">
      <formula>COUNTIF($B50:Y50, "Q")</formula>
    </cfRule>
    <cfRule type="expression" dxfId="1039" priority="5">
      <formula>COUNTIF($B50:Y50, "M")</formula>
    </cfRule>
    <cfRule type="expression" dxfId="1038" priority="6">
      <formula>COUNTIF($B50:Y50, "A")</formula>
    </cfRule>
    <cfRule type="expression" dxfId="1037" priority="7">
      <formula>COUNTIF($A50:Y50, "NI")</formula>
    </cfRule>
  </conditionalFormatting>
  <conditionalFormatting sqref="A94:A95">
    <cfRule type="expression" dxfId="1036" priority="1">
      <formula>COUNTIF($A94:Y94, "NI")</formula>
    </cfRule>
  </conditionalFormatting>
  <conditionalFormatting sqref="A99">
    <cfRule type="expression" dxfId="1035" priority="18">
      <formula>COUNTIF($A99:Z99, "NI")</formula>
    </cfRule>
  </conditionalFormatting>
  <conditionalFormatting sqref="A100:A101">
    <cfRule type="expression" dxfId="1034" priority="8">
      <formula>COUNTIF($B100:Y100, "C")</formula>
    </cfRule>
    <cfRule type="expression" dxfId="1033" priority="9">
      <formula>COUNTIF($B100:Y100, "Q")</formula>
    </cfRule>
    <cfRule type="expression" dxfId="1032" priority="10">
      <formula>COUNTIF($B100:Y100, "M")</formula>
    </cfRule>
    <cfRule type="expression" dxfId="1031" priority="11">
      <formula>COUNTIF($B100:Y100, "A")</formula>
    </cfRule>
    <cfRule type="expression" dxfId="1030" priority="12">
      <formula>COUNTIF($A100:Y100, "NI")</formula>
    </cfRule>
  </conditionalFormatting>
  <conditionalFormatting sqref="A21:B21">
    <cfRule type="expression" dxfId="1029" priority="36">
      <formula>COUNTIF($A21:G21, "NI")</formula>
    </cfRule>
  </conditionalFormatting>
  <conditionalFormatting sqref="A31:B31">
    <cfRule type="expression" dxfId="1028" priority="35">
      <formula>COUNTIF($A31:Y31, "NI")</formula>
    </cfRule>
  </conditionalFormatting>
  <conditionalFormatting sqref="A34:B37">
    <cfRule type="expression" dxfId="1027" priority="29">
      <formula>COUNTIF($A34:Y34, "NI")</formula>
    </cfRule>
  </conditionalFormatting>
  <conditionalFormatting sqref="A51:B65 A32:A33 A39:B44 B45 A46:B49">
    <cfRule type="expression" dxfId="1026" priority="30">
      <formula>COUNTIF($A32:Y32, "NI")</formula>
    </cfRule>
  </conditionalFormatting>
  <conditionalFormatting sqref="B21">
    <cfRule type="expression" dxfId="1025" priority="37">
      <formula>COUNTIF($B21:G21, "C")</formula>
    </cfRule>
    <cfRule type="expression" dxfId="1024" priority="38">
      <formula>COUNTIF($B21:G21, "Q")</formula>
    </cfRule>
    <cfRule type="expression" dxfId="1023" priority="39">
      <formula>COUNTIF($B21:G21, "M")</formula>
    </cfRule>
    <cfRule type="expression" dxfId="1022" priority="40">
      <formula>COUNTIF($B21:G21, "A")</formula>
    </cfRule>
  </conditionalFormatting>
  <conditionalFormatting sqref="B31 B39:B49">
    <cfRule type="expression" dxfId="1021" priority="32">
      <formula>COUNTIF($B31:Z31, "Q")</formula>
    </cfRule>
    <cfRule type="expression" dxfId="1020" priority="33">
      <formula>COUNTIF($B31:Z31, "M")</formula>
    </cfRule>
    <cfRule type="expression" dxfId="1019" priority="34">
      <formula>COUNTIF($B31:Z31, "A")</formula>
    </cfRule>
  </conditionalFormatting>
  <conditionalFormatting sqref="B34:B37 B51:B65">
    <cfRule type="expression" dxfId="1018" priority="25">
      <formula>COUNTIF($B34:Z34, "C")</formula>
    </cfRule>
    <cfRule type="expression" dxfId="1017" priority="26">
      <formula>COUNTIF($B34:Z34, "Q")</formula>
    </cfRule>
    <cfRule type="expression" dxfId="1016" priority="27">
      <formula>COUNTIF($B34:Z34, "M")</formula>
    </cfRule>
    <cfRule type="expression" dxfId="1015" priority="28">
      <formula>COUNTIF($B34:Z34, "A")</formula>
    </cfRule>
  </conditionalFormatting>
  <conditionalFormatting sqref="B39:B49 B31">
    <cfRule type="expression" dxfId="1014" priority="31">
      <formula>COUNTIF($B31:Z31, "C")</formula>
    </cfRule>
  </conditionalFormatting>
  <conditionalFormatting sqref="G91 G93:G94">
    <cfRule type="expression" dxfId="1013" priority="19">
      <formula>COUNTIF($A91:AF91, "NI")</formula>
    </cfRule>
  </conditionalFormatting>
  <conditionalFormatting sqref="G92 G95:G96">
    <cfRule type="expression" dxfId="1012" priority="20">
      <formula>COUNTIF($B92:AE92, "C")</formula>
    </cfRule>
    <cfRule type="expression" dxfId="1011" priority="21">
      <formula>COUNTIF($B92:AE92, "Q")</formula>
    </cfRule>
    <cfRule type="expression" dxfId="1010" priority="22">
      <formula>COUNTIF($B92:AE92, "M")</formula>
    </cfRule>
    <cfRule type="expression" dxfId="1009" priority="23">
      <formula>COUNTIF($B92:AE92, "A")</formula>
    </cfRule>
    <cfRule type="expression" dxfId="1008" priority="24">
      <formula>COUNTIF($A92:AE92, "NI")</formula>
    </cfRule>
  </conditionalFormatting>
  <pageMargins left="0.7" right="0.7" top="0.75" bottom="0.75" header="0.3" footer="0.3"/>
  <pageSetup orientation="portrait" horizontalDpi="360" verticalDpi="36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1905F-ECF1-45AC-94F8-C4A2424F751C}">
  <sheetPr filterMode="1">
    <tabColor rgb="FFFFFF00"/>
  </sheetPr>
  <dimension ref="A1:G104"/>
  <sheetViews>
    <sheetView workbookViewId="0">
      <selection activeCell="A3" sqref="A3"/>
    </sheetView>
  </sheetViews>
  <sheetFormatPr baseColWidth="10" defaultColWidth="137.33203125" defaultRowHeight="14.4" x14ac:dyDescent="0.3"/>
  <cols>
    <col min="1" max="1" width="42.33203125" bestFit="1" customWidth="1"/>
    <col min="2" max="2" width="12.33203125" style="26" customWidth="1"/>
    <col min="3" max="3" width="16.5546875" customWidth="1"/>
    <col min="4" max="4" width="16.44140625" bestFit="1" customWidth="1"/>
    <col min="5" max="5" width="87.6640625" customWidth="1"/>
    <col min="6" max="6" width="9.33203125" bestFit="1" customWidth="1"/>
    <col min="7" max="7" width="32.6640625" bestFit="1" customWidth="1"/>
  </cols>
  <sheetData>
    <row r="1" spans="1:7" ht="15.6" x14ac:dyDescent="0.3">
      <c r="A1" s="10" t="s">
        <v>0</v>
      </c>
      <c r="B1" s="357" t="s">
        <v>698</v>
      </c>
      <c r="C1" s="357"/>
      <c r="D1" s="357"/>
      <c r="E1" s="357"/>
      <c r="F1" s="85"/>
      <c r="G1" s="33"/>
    </row>
    <row r="2" spans="1:7" x14ac:dyDescent="0.3">
      <c r="A2" s="86" t="s">
        <v>2</v>
      </c>
      <c r="B2" s="87" t="s">
        <v>3</v>
      </c>
      <c r="C2" s="86" t="s">
        <v>4</v>
      </c>
      <c r="D2" s="87" t="s">
        <v>5</v>
      </c>
      <c r="E2" s="86" t="s">
        <v>6</v>
      </c>
      <c r="F2" s="86" t="s">
        <v>7</v>
      </c>
      <c r="G2" s="86" t="s">
        <v>504</v>
      </c>
    </row>
    <row r="3" spans="1:7" x14ac:dyDescent="0.3">
      <c r="A3" s="9" t="s">
        <v>38</v>
      </c>
      <c r="B3" s="19">
        <v>11</v>
      </c>
      <c r="C3" s="9" t="s">
        <v>79</v>
      </c>
      <c r="D3" s="9" t="s">
        <v>16</v>
      </c>
      <c r="E3" s="9"/>
      <c r="F3" s="9"/>
      <c r="G3" s="9"/>
    </row>
    <row r="4" spans="1:7" hidden="1" x14ac:dyDescent="0.3">
      <c r="A4" s="9" t="s">
        <v>263</v>
      </c>
      <c r="B4" s="19">
        <v>8</v>
      </c>
      <c r="C4" s="9" t="s">
        <v>79</v>
      </c>
      <c r="D4" s="15"/>
      <c r="E4" s="9"/>
      <c r="F4" s="9"/>
      <c r="G4" s="9"/>
    </row>
    <row r="5" spans="1:7" x14ac:dyDescent="0.3">
      <c r="A5" s="88" t="s">
        <v>17</v>
      </c>
      <c r="B5" s="90">
        <v>16</v>
      </c>
      <c r="C5" s="89" t="s">
        <v>699</v>
      </c>
      <c r="D5" s="89" t="s">
        <v>16</v>
      </c>
      <c r="E5" s="89"/>
      <c r="F5" s="89"/>
      <c r="G5" s="89"/>
    </row>
    <row r="6" spans="1:7" x14ac:dyDescent="0.3">
      <c r="A6" s="1" t="s">
        <v>306</v>
      </c>
      <c r="B6" s="92">
        <v>13</v>
      </c>
      <c r="C6" s="1" t="s">
        <v>79</v>
      </c>
      <c r="D6" s="28" t="s">
        <v>16</v>
      </c>
      <c r="E6" s="58"/>
      <c r="F6" s="1"/>
      <c r="G6" s="1"/>
    </row>
    <row r="7" spans="1:7" x14ac:dyDescent="0.3">
      <c r="A7" s="88" t="s">
        <v>107</v>
      </c>
      <c r="B7" s="90">
        <v>16</v>
      </c>
      <c r="C7" s="89" t="s">
        <v>699</v>
      </c>
      <c r="D7" s="89" t="s">
        <v>16</v>
      </c>
      <c r="E7" s="89"/>
      <c r="F7" s="89"/>
      <c r="G7" s="89"/>
    </row>
    <row r="8" spans="1:7" hidden="1" x14ac:dyDescent="0.3">
      <c r="A8" s="9" t="s">
        <v>537</v>
      </c>
      <c r="B8" s="19">
        <v>14</v>
      </c>
      <c r="C8" s="9" t="s">
        <v>511</v>
      </c>
      <c r="D8" s="15" t="s">
        <v>47</v>
      </c>
      <c r="E8" s="9" t="s">
        <v>700</v>
      </c>
      <c r="F8" s="9"/>
      <c r="G8" s="9"/>
    </row>
    <row r="9" spans="1:7" hidden="1" x14ac:dyDescent="0.3">
      <c r="A9" s="88" t="s">
        <v>350</v>
      </c>
      <c r="B9" s="90">
        <v>16</v>
      </c>
      <c r="C9" s="89" t="s">
        <v>699</v>
      </c>
      <c r="D9" s="89" t="s">
        <v>47</v>
      </c>
      <c r="E9" s="89" t="s">
        <v>550</v>
      </c>
      <c r="F9" s="89"/>
      <c r="G9" s="89"/>
    </row>
    <row r="10" spans="1:7" hidden="1" x14ac:dyDescent="0.3">
      <c r="A10" s="9" t="s">
        <v>291</v>
      </c>
      <c r="B10" s="19">
        <v>12</v>
      </c>
      <c r="C10" s="9" t="s">
        <v>79</v>
      </c>
      <c r="D10" s="15"/>
      <c r="E10" s="9" t="s">
        <v>701</v>
      </c>
      <c r="F10" s="9"/>
      <c r="G10" s="9"/>
    </row>
    <row r="11" spans="1:7" hidden="1" x14ac:dyDescent="0.3">
      <c r="A11" s="9" t="s">
        <v>19</v>
      </c>
      <c r="B11" s="19">
        <v>14</v>
      </c>
      <c r="C11" s="9" t="s">
        <v>511</v>
      </c>
      <c r="D11" s="15" t="s">
        <v>24</v>
      </c>
      <c r="E11" s="9"/>
      <c r="F11" s="9"/>
      <c r="G11" s="9"/>
    </row>
    <row r="12" spans="1:7" hidden="1" x14ac:dyDescent="0.3">
      <c r="A12" s="9" t="s">
        <v>283</v>
      </c>
      <c r="B12" s="19">
        <v>11</v>
      </c>
      <c r="C12" s="9" t="s">
        <v>79</v>
      </c>
      <c r="D12" s="15" t="s">
        <v>14</v>
      </c>
      <c r="E12" s="9"/>
      <c r="F12" s="9"/>
      <c r="G12" s="9"/>
    </row>
    <row r="13" spans="1:7" hidden="1" x14ac:dyDescent="0.3">
      <c r="A13" s="9" t="s">
        <v>351</v>
      </c>
      <c r="B13" s="19">
        <v>16</v>
      </c>
      <c r="C13" s="9" t="s">
        <v>20</v>
      </c>
      <c r="D13" s="15" t="s">
        <v>24</v>
      </c>
      <c r="E13" s="9"/>
      <c r="F13" s="9"/>
      <c r="G13" s="9"/>
    </row>
    <row r="14" spans="1:7" x14ac:dyDescent="0.3">
      <c r="A14" s="88" t="s">
        <v>53</v>
      </c>
      <c r="B14" s="90">
        <v>11</v>
      </c>
      <c r="C14" s="89" t="s">
        <v>699</v>
      </c>
      <c r="D14" s="89" t="s">
        <v>16</v>
      </c>
      <c r="E14" s="89"/>
      <c r="F14" s="89"/>
      <c r="G14" s="89"/>
    </row>
    <row r="15" spans="1:7" x14ac:dyDescent="0.3">
      <c r="A15" s="88" t="s">
        <v>284</v>
      </c>
      <c r="B15" s="90">
        <v>11</v>
      </c>
      <c r="C15" s="89" t="s">
        <v>699</v>
      </c>
      <c r="D15" s="89" t="s">
        <v>16</v>
      </c>
      <c r="E15" s="89"/>
      <c r="F15" s="89"/>
      <c r="G15" s="89"/>
    </row>
    <row r="16" spans="1:7" hidden="1" x14ac:dyDescent="0.3">
      <c r="A16" s="9" t="s">
        <v>325</v>
      </c>
      <c r="B16" s="19">
        <v>14</v>
      </c>
      <c r="C16" s="9" t="s">
        <v>20</v>
      </c>
      <c r="D16" s="15" t="s">
        <v>28</v>
      </c>
      <c r="E16" s="9" t="s">
        <v>702</v>
      </c>
      <c r="F16" s="9"/>
      <c r="G16" s="9"/>
    </row>
    <row r="17" spans="1:7" x14ac:dyDescent="0.3">
      <c r="A17" s="88" t="s">
        <v>109</v>
      </c>
      <c r="B17" s="90">
        <v>16</v>
      </c>
      <c r="C17" s="89" t="s">
        <v>699</v>
      </c>
      <c r="D17" s="89" t="s">
        <v>16</v>
      </c>
      <c r="E17" s="89"/>
      <c r="F17" s="89"/>
      <c r="G17" s="89"/>
    </row>
    <row r="18" spans="1:7" x14ac:dyDescent="0.3">
      <c r="A18" s="15" t="s">
        <v>703</v>
      </c>
      <c r="B18" s="19" t="s">
        <v>704</v>
      </c>
      <c r="C18" s="15" t="s">
        <v>515</v>
      </c>
      <c r="D18" s="15" t="s">
        <v>16</v>
      </c>
      <c r="E18" s="15"/>
      <c r="F18" s="15"/>
      <c r="G18" s="15"/>
    </row>
    <row r="19" spans="1:7" x14ac:dyDescent="0.3">
      <c r="A19" s="88" t="s">
        <v>354</v>
      </c>
      <c r="B19" s="90">
        <v>16</v>
      </c>
      <c r="C19" s="89" t="s">
        <v>699</v>
      </c>
      <c r="D19" s="89" t="s">
        <v>16</v>
      </c>
      <c r="E19" s="89"/>
      <c r="F19" s="89"/>
      <c r="G19" s="89"/>
    </row>
    <row r="20" spans="1:7" hidden="1" x14ac:dyDescent="0.3">
      <c r="A20" s="9" t="s">
        <v>70</v>
      </c>
      <c r="B20" s="19">
        <v>14</v>
      </c>
      <c r="C20" s="9" t="s">
        <v>20</v>
      </c>
      <c r="D20" s="15" t="s">
        <v>28</v>
      </c>
      <c r="E20" s="9" t="s">
        <v>66</v>
      </c>
      <c r="F20" s="9"/>
      <c r="G20" s="9"/>
    </row>
    <row r="21" spans="1:7" hidden="1" x14ac:dyDescent="0.3">
      <c r="A21" s="9" t="s">
        <v>105</v>
      </c>
      <c r="B21" s="19">
        <v>16</v>
      </c>
      <c r="C21" s="9" t="s">
        <v>20</v>
      </c>
      <c r="D21" s="15"/>
      <c r="E21" s="9" t="s">
        <v>476</v>
      </c>
      <c r="F21" s="9"/>
      <c r="G21" s="9"/>
    </row>
    <row r="22" spans="1:7" hidden="1" x14ac:dyDescent="0.3">
      <c r="A22" s="9" t="s">
        <v>336</v>
      </c>
      <c r="B22" s="19">
        <v>15</v>
      </c>
      <c r="C22" s="9" t="s">
        <v>511</v>
      </c>
      <c r="D22" s="15"/>
      <c r="E22" s="9"/>
      <c r="F22" s="9"/>
      <c r="G22" s="9"/>
    </row>
    <row r="23" spans="1:7" hidden="1" x14ac:dyDescent="0.3">
      <c r="A23" s="9" t="s">
        <v>326</v>
      </c>
      <c r="B23" s="19">
        <v>14</v>
      </c>
      <c r="C23" s="9" t="s">
        <v>511</v>
      </c>
      <c r="D23" s="15" t="s">
        <v>24</v>
      </c>
      <c r="E23" s="9"/>
      <c r="F23" s="9"/>
      <c r="G23" s="9"/>
    </row>
    <row r="24" spans="1:7" hidden="1" x14ac:dyDescent="0.3">
      <c r="A24" s="88" t="s">
        <v>95</v>
      </c>
      <c r="B24" s="90">
        <v>15</v>
      </c>
      <c r="C24" s="89" t="s">
        <v>699</v>
      </c>
      <c r="D24" s="89"/>
      <c r="E24" s="89"/>
      <c r="F24" s="89"/>
      <c r="G24" s="89"/>
    </row>
    <row r="25" spans="1:7" x14ac:dyDescent="0.3">
      <c r="A25" s="9" t="s">
        <v>112</v>
      </c>
      <c r="B25" s="19">
        <v>16</v>
      </c>
      <c r="C25" s="9" t="s">
        <v>165</v>
      </c>
      <c r="D25" s="15" t="s">
        <v>16</v>
      </c>
      <c r="E25" s="9"/>
      <c r="F25" s="9"/>
      <c r="G25" s="9"/>
    </row>
    <row r="26" spans="1:7" hidden="1" x14ac:dyDescent="0.3">
      <c r="A26" s="9" t="s">
        <v>353</v>
      </c>
      <c r="B26" s="19">
        <v>16</v>
      </c>
      <c r="C26" s="9" t="s">
        <v>20</v>
      </c>
      <c r="D26" s="15" t="s">
        <v>47</v>
      </c>
      <c r="E26" s="9" t="s">
        <v>705</v>
      </c>
      <c r="F26" s="9"/>
      <c r="G26" s="9"/>
    </row>
    <row r="27" spans="1:7" hidden="1" x14ac:dyDescent="0.3">
      <c r="A27" s="9" t="s">
        <v>106</v>
      </c>
      <c r="B27" s="19">
        <v>16</v>
      </c>
      <c r="C27" s="9" t="s">
        <v>20</v>
      </c>
      <c r="D27" s="15"/>
      <c r="E27" s="9" t="s">
        <v>706</v>
      </c>
      <c r="F27" s="9"/>
      <c r="G27" s="9"/>
    </row>
    <row r="28" spans="1:7" hidden="1" x14ac:dyDescent="0.3">
      <c r="A28" s="9" t="s">
        <v>534</v>
      </c>
      <c r="B28" s="19">
        <v>14</v>
      </c>
      <c r="C28" s="9" t="s">
        <v>511</v>
      </c>
      <c r="D28" s="15" t="s">
        <v>24</v>
      </c>
      <c r="E28" s="9"/>
      <c r="F28" s="9"/>
      <c r="G28" s="9"/>
    </row>
    <row r="29" spans="1:7" hidden="1" x14ac:dyDescent="0.3">
      <c r="A29" s="9" t="s">
        <v>338</v>
      </c>
      <c r="B29" s="19">
        <v>15</v>
      </c>
      <c r="C29" s="9" t="s">
        <v>20</v>
      </c>
      <c r="D29" s="15"/>
      <c r="E29" s="9" t="s">
        <v>707</v>
      </c>
      <c r="F29" s="9"/>
      <c r="G29" s="9"/>
    </row>
    <row r="30" spans="1:7" hidden="1" x14ac:dyDescent="0.3">
      <c r="A30" s="9" t="s">
        <v>42</v>
      </c>
      <c r="B30" s="19">
        <v>11</v>
      </c>
      <c r="C30" s="9" t="s">
        <v>511</v>
      </c>
      <c r="D30" s="15" t="s">
        <v>35</v>
      </c>
      <c r="E30" s="83"/>
      <c r="F30" s="9"/>
      <c r="G30" s="9"/>
    </row>
    <row r="31" spans="1:7" x14ac:dyDescent="0.3">
      <c r="A31" s="88" t="s">
        <v>358</v>
      </c>
      <c r="B31" s="90">
        <v>16</v>
      </c>
      <c r="C31" s="88" t="s">
        <v>165</v>
      </c>
      <c r="D31" s="89" t="s">
        <v>16</v>
      </c>
      <c r="E31" s="88" t="s">
        <v>708</v>
      </c>
      <c r="F31" s="88"/>
      <c r="G31" s="88"/>
    </row>
    <row r="32" spans="1:7" hidden="1" x14ac:dyDescent="0.3">
      <c r="A32" s="9" t="s">
        <v>31</v>
      </c>
      <c r="B32" s="19">
        <v>10</v>
      </c>
      <c r="C32" s="9" t="s">
        <v>79</v>
      </c>
      <c r="D32" s="15"/>
      <c r="E32" s="9"/>
      <c r="F32" s="9"/>
      <c r="G32" s="9"/>
    </row>
    <row r="33" spans="1:7" x14ac:dyDescent="0.3">
      <c r="A33" s="9" t="s">
        <v>359</v>
      </c>
      <c r="B33" s="19">
        <v>16</v>
      </c>
      <c r="C33" s="9" t="s">
        <v>20</v>
      </c>
      <c r="D33" s="15" t="s">
        <v>16</v>
      </c>
      <c r="E33" s="9" t="s">
        <v>709</v>
      </c>
      <c r="F33" s="9"/>
      <c r="G33" s="9"/>
    </row>
    <row r="34" spans="1:7" hidden="1" x14ac:dyDescent="0.3">
      <c r="A34" s="9" t="s">
        <v>71</v>
      </c>
      <c r="B34" s="19">
        <v>14</v>
      </c>
      <c r="C34" s="9" t="s">
        <v>511</v>
      </c>
      <c r="D34" s="15" t="s">
        <v>24</v>
      </c>
      <c r="E34" s="9"/>
      <c r="F34" s="9"/>
      <c r="G34" s="9"/>
    </row>
    <row r="35" spans="1:7" hidden="1" x14ac:dyDescent="0.3">
      <c r="A35" s="9" t="s">
        <v>355</v>
      </c>
      <c r="B35" s="19">
        <v>16</v>
      </c>
      <c r="C35" s="9" t="s">
        <v>165</v>
      </c>
      <c r="D35" s="15" t="s">
        <v>47</v>
      </c>
      <c r="E35" s="9" t="s">
        <v>551</v>
      </c>
      <c r="F35" s="9"/>
      <c r="G35" s="9"/>
    </row>
    <row r="36" spans="1:7" hidden="1" x14ac:dyDescent="0.3">
      <c r="A36" s="9" t="s">
        <v>327</v>
      </c>
      <c r="B36" s="19">
        <v>14</v>
      </c>
      <c r="C36" s="9" t="s">
        <v>511</v>
      </c>
      <c r="D36" s="15" t="s">
        <v>28</v>
      </c>
      <c r="E36" s="9"/>
      <c r="F36" s="9"/>
      <c r="G36" s="9"/>
    </row>
    <row r="37" spans="1:7" x14ac:dyDescent="0.3">
      <c r="A37" s="88" t="s">
        <v>287</v>
      </c>
      <c r="B37" s="90">
        <v>11</v>
      </c>
      <c r="C37" s="89" t="s">
        <v>699</v>
      </c>
      <c r="D37" s="89" t="s">
        <v>16</v>
      </c>
      <c r="E37" s="89"/>
      <c r="F37" s="89"/>
      <c r="G37" s="89"/>
    </row>
    <row r="38" spans="1:7" x14ac:dyDescent="0.3">
      <c r="A38" s="88" t="s">
        <v>82</v>
      </c>
      <c r="B38" s="90">
        <v>15</v>
      </c>
      <c r="C38" s="89" t="s">
        <v>699</v>
      </c>
      <c r="D38" s="89" t="s">
        <v>16</v>
      </c>
      <c r="E38" s="89"/>
      <c r="F38" s="89"/>
      <c r="G38" s="89"/>
    </row>
    <row r="39" spans="1:7" hidden="1" x14ac:dyDescent="0.3">
      <c r="A39" s="9" t="s">
        <v>356</v>
      </c>
      <c r="B39" s="19">
        <v>16</v>
      </c>
      <c r="C39" s="9" t="s">
        <v>515</v>
      </c>
      <c r="D39" s="15"/>
      <c r="E39" s="9"/>
      <c r="F39" s="9"/>
      <c r="G39" s="9"/>
    </row>
    <row r="40" spans="1:7" hidden="1" x14ac:dyDescent="0.3">
      <c r="A40" s="9" t="s">
        <v>49</v>
      </c>
      <c r="B40" s="19">
        <v>12</v>
      </c>
      <c r="C40" s="9" t="s">
        <v>511</v>
      </c>
      <c r="D40" s="15" t="s">
        <v>24</v>
      </c>
      <c r="E40" s="9"/>
      <c r="F40" s="9"/>
      <c r="G40" s="9"/>
    </row>
    <row r="41" spans="1:7" x14ac:dyDescent="0.3">
      <c r="A41" s="9" t="s">
        <v>342</v>
      </c>
      <c r="B41" s="24">
        <v>15</v>
      </c>
      <c r="C41" s="9" t="s">
        <v>79</v>
      </c>
      <c r="D41" s="15" t="s">
        <v>16</v>
      </c>
      <c r="E41" s="9" t="s">
        <v>700</v>
      </c>
      <c r="F41" s="9" t="s">
        <v>710</v>
      </c>
      <c r="G41" s="9"/>
    </row>
    <row r="42" spans="1:7" x14ac:dyDescent="0.3">
      <c r="A42" s="88" t="s">
        <v>362</v>
      </c>
      <c r="B42" s="90">
        <v>16</v>
      </c>
      <c r="C42" s="89" t="s">
        <v>699</v>
      </c>
      <c r="D42" s="89" t="s">
        <v>16</v>
      </c>
      <c r="E42" s="89"/>
      <c r="F42" s="89"/>
      <c r="G42" s="89"/>
    </row>
    <row r="43" spans="1:7" x14ac:dyDescent="0.3">
      <c r="A43" s="89" t="s">
        <v>711</v>
      </c>
      <c r="B43" s="90" t="s">
        <v>704</v>
      </c>
      <c r="C43" s="89" t="s">
        <v>699</v>
      </c>
      <c r="D43" s="89" t="s">
        <v>16</v>
      </c>
      <c r="E43" s="89"/>
      <c r="F43" s="89"/>
      <c r="G43" s="89"/>
    </row>
    <row r="44" spans="1:7" hidden="1" x14ac:dyDescent="0.3">
      <c r="A44" s="9" t="s">
        <v>297</v>
      </c>
      <c r="B44" s="19">
        <v>12</v>
      </c>
      <c r="C44" s="9" t="s">
        <v>79</v>
      </c>
      <c r="D44" s="15" t="s">
        <v>14</v>
      </c>
      <c r="E44" s="9" t="s">
        <v>712</v>
      </c>
      <c r="F44" s="9"/>
      <c r="G44" s="9"/>
    </row>
    <row r="45" spans="1:7" hidden="1" x14ac:dyDescent="0.3">
      <c r="A45" s="9" t="s">
        <v>313</v>
      </c>
      <c r="B45" s="19">
        <v>13</v>
      </c>
      <c r="C45" s="9" t="s">
        <v>79</v>
      </c>
      <c r="D45" s="15" t="s">
        <v>24</v>
      </c>
      <c r="E45" s="9"/>
      <c r="F45" s="9"/>
      <c r="G45" s="9"/>
    </row>
    <row r="46" spans="1:7" x14ac:dyDescent="0.3">
      <c r="A46" s="88" t="s">
        <v>328</v>
      </c>
      <c r="B46" s="90">
        <v>14</v>
      </c>
      <c r="C46" s="89" t="s">
        <v>699</v>
      </c>
      <c r="D46" s="89" t="s">
        <v>16</v>
      </c>
      <c r="E46" s="89"/>
      <c r="F46" s="89"/>
      <c r="G46" s="89"/>
    </row>
    <row r="47" spans="1:7" x14ac:dyDescent="0.3">
      <c r="A47" s="88" t="s">
        <v>330</v>
      </c>
      <c r="B47" s="90">
        <v>14</v>
      </c>
      <c r="C47" s="89" t="s">
        <v>699</v>
      </c>
      <c r="D47" s="89" t="s">
        <v>16</v>
      </c>
      <c r="E47" s="89"/>
      <c r="F47" s="89"/>
      <c r="G47" s="89"/>
    </row>
    <row r="48" spans="1:7" hidden="1" x14ac:dyDescent="0.3">
      <c r="A48" s="88" t="s">
        <v>292</v>
      </c>
      <c r="B48" s="90">
        <v>12</v>
      </c>
      <c r="C48" s="89" t="s">
        <v>699</v>
      </c>
      <c r="D48" s="89"/>
      <c r="E48" s="89"/>
      <c r="F48" s="89"/>
      <c r="G48" s="89"/>
    </row>
    <row r="49" spans="1:7" hidden="1" x14ac:dyDescent="0.3">
      <c r="A49" s="9" t="s">
        <v>339</v>
      </c>
      <c r="B49" s="19">
        <v>15</v>
      </c>
      <c r="C49" s="9" t="s">
        <v>20</v>
      </c>
      <c r="D49" s="15" t="s">
        <v>47</v>
      </c>
      <c r="E49" s="9"/>
      <c r="F49" s="9"/>
      <c r="G49" s="9"/>
    </row>
    <row r="50" spans="1:7" hidden="1" x14ac:dyDescent="0.3">
      <c r="A50" s="9" t="s">
        <v>360</v>
      </c>
      <c r="B50" s="19">
        <v>16</v>
      </c>
      <c r="C50" s="9" t="s">
        <v>515</v>
      </c>
      <c r="D50" s="15"/>
      <c r="E50" s="9"/>
      <c r="F50" s="9"/>
      <c r="G50" s="9"/>
    </row>
    <row r="51" spans="1:7" hidden="1" x14ac:dyDescent="0.3">
      <c r="A51" s="9" t="s">
        <v>523</v>
      </c>
      <c r="B51" s="19">
        <v>13</v>
      </c>
      <c r="C51" s="9" t="s">
        <v>20</v>
      </c>
      <c r="D51" s="15" t="s">
        <v>35</v>
      </c>
      <c r="E51" s="9"/>
      <c r="F51" s="9"/>
      <c r="G51" s="9"/>
    </row>
    <row r="52" spans="1:7" hidden="1" x14ac:dyDescent="0.3">
      <c r="A52" s="9" t="s">
        <v>316</v>
      </c>
      <c r="B52" s="19">
        <v>13</v>
      </c>
      <c r="C52" s="9" t="s">
        <v>79</v>
      </c>
      <c r="D52" s="15" t="s">
        <v>24</v>
      </c>
      <c r="E52" s="9"/>
      <c r="F52" s="9"/>
      <c r="G52" s="9"/>
    </row>
    <row r="53" spans="1:7" hidden="1" x14ac:dyDescent="0.3">
      <c r="A53" s="9" t="s">
        <v>531</v>
      </c>
      <c r="B53" s="19">
        <v>14</v>
      </c>
      <c r="C53" s="9" t="s">
        <v>20</v>
      </c>
      <c r="D53" s="15" t="s">
        <v>47</v>
      </c>
      <c r="E53" s="9" t="s">
        <v>230</v>
      </c>
      <c r="F53" s="9"/>
      <c r="G53" s="9"/>
    </row>
    <row r="54" spans="1:7" hidden="1" x14ac:dyDescent="0.3">
      <c r="A54" s="88" t="s">
        <v>293</v>
      </c>
      <c r="B54" s="90">
        <v>12</v>
      </c>
      <c r="C54" s="89" t="s">
        <v>699</v>
      </c>
      <c r="D54" s="89"/>
      <c r="E54" s="89"/>
      <c r="F54" s="89"/>
      <c r="G54" s="89"/>
    </row>
    <row r="55" spans="1:7" hidden="1" x14ac:dyDescent="0.3">
      <c r="A55" s="9" t="s">
        <v>341</v>
      </c>
      <c r="B55" s="19">
        <v>15</v>
      </c>
      <c r="C55" s="9" t="s">
        <v>511</v>
      </c>
      <c r="D55" s="15"/>
      <c r="E55" s="9"/>
      <c r="F55" s="9"/>
      <c r="G55" s="9"/>
    </row>
    <row r="56" spans="1:7" hidden="1" x14ac:dyDescent="0.3">
      <c r="A56" s="88" t="s">
        <v>352</v>
      </c>
      <c r="B56" s="90">
        <v>16</v>
      </c>
      <c r="C56" s="89" t="s">
        <v>699</v>
      </c>
      <c r="D56" s="89"/>
      <c r="E56" s="89"/>
      <c r="F56" s="89"/>
      <c r="G56" s="89"/>
    </row>
    <row r="57" spans="1:7" hidden="1" x14ac:dyDescent="0.3">
      <c r="A57" s="88" t="s">
        <v>45</v>
      </c>
      <c r="B57" s="90">
        <v>12</v>
      </c>
      <c r="C57" s="88" t="s">
        <v>699</v>
      </c>
      <c r="D57" s="88"/>
      <c r="E57" s="88"/>
      <c r="F57" s="88"/>
      <c r="G57" s="88"/>
    </row>
    <row r="58" spans="1:7" hidden="1" x14ac:dyDescent="0.3">
      <c r="A58" s="88" t="s">
        <v>96</v>
      </c>
      <c r="B58" s="90">
        <v>15</v>
      </c>
      <c r="C58" s="88" t="s">
        <v>699</v>
      </c>
      <c r="D58" s="88"/>
      <c r="E58" s="88"/>
      <c r="F58" s="88"/>
      <c r="G58" s="88"/>
    </row>
    <row r="59" spans="1:7" hidden="1" x14ac:dyDescent="0.3">
      <c r="A59" s="9" t="s">
        <v>337</v>
      </c>
      <c r="B59" s="19">
        <v>15</v>
      </c>
      <c r="C59" s="9" t="s">
        <v>20</v>
      </c>
      <c r="D59" s="15"/>
      <c r="E59" s="9" t="s">
        <v>713</v>
      </c>
      <c r="F59" s="9"/>
      <c r="G59" s="9"/>
    </row>
    <row r="60" spans="1:7" hidden="1" x14ac:dyDescent="0.3">
      <c r="A60" s="9" t="s">
        <v>90</v>
      </c>
      <c r="B60" s="19">
        <v>15</v>
      </c>
      <c r="C60" s="9" t="s">
        <v>511</v>
      </c>
      <c r="D60" s="15"/>
      <c r="E60" s="9"/>
      <c r="F60" s="9"/>
      <c r="G60" s="9"/>
    </row>
    <row r="61" spans="1:7" hidden="1" x14ac:dyDescent="0.3">
      <c r="A61" s="9" t="s">
        <v>267</v>
      </c>
      <c r="B61" s="19">
        <v>8</v>
      </c>
      <c r="C61" s="9" t="s">
        <v>20</v>
      </c>
      <c r="D61" s="15" t="s">
        <v>24</v>
      </c>
      <c r="E61" s="9"/>
      <c r="F61" s="9"/>
      <c r="G61" s="9"/>
    </row>
    <row r="62" spans="1:7" hidden="1" x14ac:dyDescent="0.3">
      <c r="A62" s="9" t="s">
        <v>278</v>
      </c>
      <c r="B62" s="19">
        <v>10</v>
      </c>
      <c r="C62" s="9" t="s">
        <v>20</v>
      </c>
      <c r="D62" s="15" t="s">
        <v>47</v>
      </c>
      <c r="E62" s="9"/>
      <c r="F62" s="9"/>
      <c r="G62" s="9"/>
    </row>
    <row r="63" spans="1:7" hidden="1" x14ac:dyDescent="0.3">
      <c r="A63" s="88" t="s">
        <v>39</v>
      </c>
      <c r="B63" s="90">
        <v>11</v>
      </c>
      <c r="C63" s="89" t="s">
        <v>699</v>
      </c>
      <c r="D63" s="89"/>
      <c r="E63" s="89"/>
      <c r="F63" s="89"/>
      <c r="G63" s="89"/>
    </row>
    <row r="64" spans="1:7" hidden="1" x14ac:dyDescent="0.3">
      <c r="A64" s="9" t="s">
        <v>344</v>
      </c>
      <c r="B64" s="19">
        <v>15</v>
      </c>
      <c r="C64" s="9" t="s">
        <v>20</v>
      </c>
      <c r="D64" s="15" t="s">
        <v>47</v>
      </c>
      <c r="E64" s="9"/>
      <c r="F64" s="9"/>
      <c r="G64" s="9"/>
    </row>
    <row r="65" spans="1:7" hidden="1" x14ac:dyDescent="0.3">
      <c r="A65" s="9" t="s">
        <v>85</v>
      </c>
      <c r="B65" s="19">
        <v>14</v>
      </c>
      <c r="C65" s="9" t="s">
        <v>20</v>
      </c>
      <c r="D65" s="15" t="s">
        <v>28</v>
      </c>
      <c r="E65" s="9" t="s">
        <v>66</v>
      </c>
      <c r="F65" s="9"/>
      <c r="G65" s="9"/>
    </row>
    <row r="66" spans="1:7" hidden="1" x14ac:dyDescent="0.3">
      <c r="A66" s="9" t="s">
        <v>345</v>
      </c>
      <c r="B66" s="19">
        <v>15</v>
      </c>
      <c r="C66" s="9" t="s">
        <v>20</v>
      </c>
      <c r="D66" s="15" t="s">
        <v>24</v>
      </c>
      <c r="E66" s="9"/>
      <c r="F66" s="9"/>
      <c r="G66" s="9"/>
    </row>
    <row r="67" spans="1:7" hidden="1" x14ac:dyDescent="0.3">
      <c r="A67" s="9" t="s">
        <v>270</v>
      </c>
      <c r="B67" s="19">
        <v>9</v>
      </c>
      <c r="C67" s="9" t="s">
        <v>79</v>
      </c>
      <c r="D67" s="15"/>
      <c r="E67" s="9"/>
      <c r="F67" s="9"/>
      <c r="G67" s="9"/>
    </row>
    <row r="68" spans="1:7" hidden="1" x14ac:dyDescent="0.3">
      <c r="A68" s="88" t="s">
        <v>357</v>
      </c>
      <c r="B68" s="90">
        <v>16</v>
      </c>
      <c r="C68" s="88" t="s">
        <v>699</v>
      </c>
      <c r="D68" s="88"/>
      <c r="E68" s="88"/>
      <c r="F68" s="88"/>
      <c r="G68" s="88"/>
    </row>
    <row r="69" spans="1:7" hidden="1" x14ac:dyDescent="0.3">
      <c r="A69" s="9" t="s">
        <v>524</v>
      </c>
      <c r="B69" s="19">
        <v>13</v>
      </c>
      <c r="C69" s="9" t="s">
        <v>511</v>
      </c>
      <c r="D69" s="15" t="s">
        <v>28</v>
      </c>
      <c r="E69" s="9" t="s">
        <v>700</v>
      </c>
      <c r="F69" s="9"/>
      <c r="G69" s="9"/>
    </row>
    <row r="70" spans="1:7" hidden="1" x14ac:dyDescent="0.3">
      <c r="A70" s="88" t="s">
        <v>261</v>
      </c>
      <c r="B70" s="90">
        <v>7</v>
      </c>
      <c r="C70" s="89" t="s">
        <v>699</v>
      </c>
      <c r="D70" s="89"/>
      <c r="E70" s="89"/>
      <c r="F70" s="89"/>
      <c r="G70" s="89"/>
    </row>
    <row r="71" spans="1:7" hidden="1" x14ac:dyDescent="0.3">
      <c r="A71" s="9" t="s">
        <v>361</v>
      </c>
      <c r="B71" s="19">
        <v>16</v>
      </c>
      <c r="C71" s="9" t="s">
        <v>165</v>
      </c>
      <c r="D71" s="15"/>
      <c r="E71" s="9" t="s">
        <v>714</v>
      </c>
      <c r="F71" s="9"/>
      <c r="G71" s="9"/>
    </row>
    <row r="72" spans="1:7" hidden="1" x14ac:dyDescent="0.3">
      <c r="A72" s="9" t="s">
        <v>329</v>
      </c>
      <c r="B72" s="19">
        <v>14</v>
      </c>
      <c r="C72" s="9" t="s">
        <v>511</v>
      </c>
      <c r="D72" s="15" t="s">
        <v>24</v>
      </c>
      <c r="E72" s="9"/>
      <c r="F72" s="9"/>
      <c r="G72" s="9"/>
    </row>
    <row r="73" spans="1:7" hidden="1" x14ac:dyDescent="0.3">
      <c r="A73" s="9" t="s">
        <v>530</v>
      </c>
      <c r="B73" s="19">
        <v>14</v>
      </c>
      <c r="C73" s="9" t="s">
        <v>20</v>
      </c>
      <c r="D73" s="15" t="s">
        <v>24</v>
      </c>
      <c r="E73" s="9"/>
      <c r="F73" s="9"/>
      <c r="G73" s="9"/>
    </row>
    <row r="74" spans="1:7" hidden="1" x14ac:dyDescent="0.3">
      <c r="A74" s="88" t="s">
        <v>57</v>
      </c>
      <c r="B74" s="90">
        <v>13</v>
      </c>
      <c r="C74" s="88" t="s">
        <v>699</v>
      </c>
      <c r="D74" s="88"/>
      <c r="E74" s="88"/>
      <c r="F74" s="88"/>
      <c r="G74" s="88"/>
    </row>
    <row r="75" spans="1:7" hidden="1" x14ac:dyDescent="0.3">
      <c r="A75" s="9" t="s">
        <v>346</v>
      </c>
      <c r="B75" s="19">
        <v>15</v>
      </c>
      <c r="C75" s="9" t="s">
        <v>20</v>
      </c>
      <c r="D75" s="15" t="s">
        <v>47</v>
      </c>
      <c r="E75" s="9"/>
      <c r="F75" s="9"/>
      <c r="G75" s="9"/>
    </row>
    <row r="76" spans="1:7" hidden="1" x14ac:dyDescent="0.3">
      <c r="A76" s="9" t="s">
        <v>84</v>
      </c>
      <c r="B76" s="19">
        <v>14</v>
      </c>
      <c r="C76" s="9" t="s">
        <v>511</v>
      </c>
      <c r="D76" s="15" t="s">
        <v>24</v>
      </c>
      <c r="E76" s="9"/>
      <c r="F76" s="9"/>
      <c r="G76" s="9"/>
    </row>
    <row r="77" spans="1:7" hidden="1" x14ac:dyDescent="0.3">
      <c r="A77" s="9" t="s">
        <v>155</v>
      </c>
      <c r="B77" s="19">
        <v>14</v>
      </c>
      <c r="C77" s="9" t="s">
        <v>20</v>
      </c>
      <c r="D77" s="15" t="s">
        <v>24</v>
      </c>
      <c r="E77" s="9"/>
      <c r="F77" s="9"/>
      <c r="G77" s="9"/>
    </row>
    <row r="78" spans="1:7" hidden="1" x14ac:dyDescent="0.3">
      <c r="A78" s="88" t="s">
        <v>363</v>
      </c>
      <c r="B78" s="90">
        <v>16</v>
      </c>
      <c r="C78" s="88" t="s">
        <v>699</v>
      </c>
      <c r="D78" s="88"/>
      <c r="E78" s="88"/>
      <c r="F78" s="88"/>
      <c r="G78" s="88"/>
    </row>
    <row r="79" spans="1:7" hidden="1" x14ac:dyDescent="0.3">
      <c r="A79" s="9" t="s">
        <v>321</v>
      </c>
      <c r="B79" s="19">
        <v>13</v>
      </c>
      <c r="C79" s="9" t="s">
        <v>511</v>
      </c>
      <c r="D79" s="15" t="s">
        <v>24</v>
      </c>
      <c r="E79" s="9"/>
      <c r="F79" s="9"/>
      <c r="G79" s="9"/>
    </row>
    <row r="80" spans="1:7" hidden="1" x14ac:dyDescent="0.3">
      <c r="A80" s="9" t="s">
        <v>347</v>
      </c>
      <c r="B80" s="19">
        <v>15</v>
      </c>
      <c r="C80" s="9" t="s">
        <v>511</v>
      </c>
      <c r="D80" s="15" t="s">
        <v>47</v>
      </c>
      <c r="E80" s="9" t="s">
        <v>700</v>
      </c>
      <c r="F80" s="9"/>
      <c r="G80" s="9"/>
    </row>
    <row r="81" spans="1:7" hidden="1" x14ac:dyDescent="0.3">
      <c r="A81" s="9" t="s">
        <v>348</v>
      </c>
      <c r="B81" s="19">
        <v>15</v>
      </c>
      <c r="C81" s="9" t="s">
        <v>20</v>
      </c>
      <c r="D81" s="15" t="s">
        <v>47</v>
      </c>
      <c r="E81" s="9"/>
      <c r="F81" s="9"/>
      <c r="G81" s="9"/>
    </row>
    <row r="82" spans="1:7" hidden="1" x14ac:dyDescent="0.3">
      <c r="A82" s="9" t="s">
        <v>46</v>
      </c>
      <c r="B82" s="19">
        <v>12</v>
      </c>
      <c r="C82" s="9" t="s">
        <v>79</v>
      </c>
      <c r="D82" s="15"/>
      <c r="E82" s="9"/>
      <c r="F82" s="9"/>
      <c r="G82" s="9"/>
    </row>
    <row r="83" spans="1:7" hidden="1" x14ac:dyDescent="0.3">
      <c r="A83" s="9" t="s">
        <v>101</v>
      </c>
      <c r="B83" s="19">
        <v>16</v>
      </c>
      <c r="C83" s="9" t="s">
        <v>20</v>
      </c>
      <c r="D83" s="15" t="s">
        <v>24</v>
      </c>
      <c r="E83" s="9"/>
      <c r="F83" s="9"/>
      <c r="G83" s="9"/>
    </row>
    <row r="84" spans="1:7" hidden="1" x14ac:dyDescent="0.3">
      <c r="A84" s="9" t="s">
        <v>74</v>
      </c>
      <c r="B84" s="19">
        <v>14</v>
      </c>
      <c r="C84" s="9" t="s">
        <v>20</v>
      </c>
      <c r="D84" s="15" t="s">
        <v>47</v>
      </c>
      <c r="E84" s="9" t="s">
        <v>33</v>
      </c>
      <c r="F84" s="9"/>
      <c r="G84" s="9"/>
    </row>
    <row r="85" spans="1:7" hidden="1" x14ac:dyDescent="0.3">
      <c r="A85" s="9" t="s">
        <v>186</v>
      </c>
      <c r="B85" s="19">
        <v>16</v>
      </c>
      <c r="C85" s="9" t="s">
        <v>165</v>
      </c>
      <c r="D85" s="15"/>
      <c r="E85" s="9"/>
      <c r="F85" s="9"/>
      <c r="G85" s="9"/>
    </row>
    <row r="86" spans="1:7" hidden="1" x14ac:dyDescent="0.3">
      <c r="A86" s="9" t="s">
        <v>290</v>
      </c>
      <c r="B86" s="19">
        <v>11</v>
      </c>
      <c r="C86" s="9" t="s">
        <v>511</v>
      </c>
      <c r="D86" s="15" t="s">
        <v>28</v>
      </c>
      <c r="E86" s="9" t="s">
        <v>715</v>
      </c>
      <c r="F86" s="9"/>
      <c r="G86" s="9"/>
    </row>
    <row r="87" spans="1:7" hidden="1" x14ac:dyDescent="0.3">
      <c r="A87" s="88" t="s">
        <v>716</v>
      </c>
      <c r="B87" s="90"/>
      <c r="C87" s="88" t="s">
        <v>699</v>
      </c>
      <c r="D87" s="88"/>
      <c r="E87" s="88"/>
      <c r="F87" s="88"/>
      <c r="G87" s="88"/>
    </row>
    <row r="88" spans="1:7" hidden="1" x14ac:dyDescent="0.3">
      <c r="A88" s="1" t="s">
        <v>302</v>
      </c>
      <c r="B88" s="6">
        <v>12</v>
      </c>
      <c r="C88" s="9" t="s">
        <v>20</v>
      </c>
      <c r="D88" s="15" t="s">
        <v>47</v>
      </c>
      <c r="E88" s="9"/>
      <c r="F88" s="9"/>
      <c r="G88" s="9"/>
    </row>
    <row r="89" spans="1:7" hidden="1" x14ac:dyDescent="0.3">
      <c r="A89" s="9" t="s">
        <v>56</v>
      </c>
      <c r="B89" s="19">
        <v>13</v>
      </c>
      <c r="C89" s="9" t="s">
        <v>79</v>
      </c>
      <c r="D89" s="15" t="s">
        <v>14</v>
      </c>
      <c r="E89" s="9"/>
      <c r="F89" s="9"/>
      <c r="G89" s="9"/>
    </row>
    <row r="90" spans="1:7" x14ac:dyDescent="0.3">
      <c r="A90" s="9" t="s">
        <v>717</v>
      </c>
      <c r="B90" s="19">
        <v>8</v>
      </c>
      <c r="C90" s="9" t="s">
        <v>165</v>
      </c>
      <c r="D90" s="9" t="s">
        <v>16</v>
      </c>
      <c r="E90" s="9"/>
      <c r="F90" s="9"/>
      <c r="G90" s="9"/>
    </row>
    <row r="91" spans="1:7" x14ac:dyDescent="0.3">
      <c r="A91" s="1" t="s">
        <v>718</v>
      </c>
      <c r="B91" s="6">
        <v>4</v>
      </c>
      <c r="C91" s="1" t="s">
        <v>20</v>
      </c>
      <c r="D91" s="1" t="s">
        <v>16</v>
      </c>
      <c r="E91" s="1"/>
      <c r="F91" s="1"/>
      <c r="G91" s="1"/>
    </row>
    <row r="98" spans="1:5" ht="21" x14ac:dyDescent="0.4">
      <c r="A98" s="361" t="s">
        <v>211</v>
      </c>
      <c r="B98" s="362"/>
      <c r="C98" s="363"/>
      <c r="D98" s="364">
        <f>+COUNTIF(D3:D94,"OK")</f>
        <v>21</v>
      </c>
      <c r="E98" s="364"/>
    </row>
    <row r="102" spans="1:5" ht="21" x14ac:dyDescent="0.4">
      <c r="D102" s="23"/>
      <c r="E102" s="23"/>
    </row>
    <row r="104" spans="1:5" x14ac:dyDescent="0.3">
      <c r="D104">
        <f>+D98+4+4</f>
        <v>29</v>
      </c>
    </row>
  </sheetData>
  <autoFilter ref="A2:G91" xr:uid="{5E54FD58-F896-4449-B5B3-97E51729B509}">
    <filterColumn colId="3">
      <filters>
        <filter val="OK"/>
      </filters>
    </filterColumn>
    <sortState xmlns:xlrd2="http://schemas.microsoft.com/office/spreadsheetml/2017/richdata2" ref="A3:G91">
      <sortCondition ref="A2:A89"/>
    </sortState>
  </autoFilter>
  <mergeCells count="3">
    <mergeCell ref="B1:E1"/>
    <mergeCell ref="A98:C98"/>
    <mergeCell ref="D98:E98"/>
  </mergeCells>
  <conditionalFormatting sqref="A65:A66">
    <cfRule type="expression" dxfId="1007" priority="87">
      <formula>COUNTIF($A65:Y65, "NI")</formula>
    </cfRule>
  </conditionalFormatting>
  <conditionalFormatting sqref="A51:B51">
    <cfRule type="expression" dxfId="1006" priority="94">
      <formula>COUNTIF($A51:G51, "NI")</formula>
    </cfRule>
  </conditionalFormatting>
  <conditionalFormatting sqref="A64:B64">
    <cfRule type="expression" dxfId="1005" priority="93">
      <formula>COUNTIF($A64:Y64, "NI")</formula>
    </cfRule>
  </conditionalFormatting>
  <conditionalFormatting sqref="A67:B70">
    <cfRule type="expression" dxfId="1004" priority="66">
      <formula>COUNTIF($A67:Y67, "NI")</formula>
    </cfRule>
  </conditionalFormatting>
  <conditionalFormatting sqref="A72:B85">
    <cfRule type="expression" dxfId="1003" priority="15">
      <formula>COUNTIF($A72:Y72, "NI")</formula>
    </cfRule>
  </conditionalFormatting>
  <conditionalFormatting sqref="A87:B90 A92:B93">
    <cfRule type="expression" dxfId="1002" priority="5">
      <formula>COUNTIF($A87:Y87, "NI")</formula>
    </cfRule>
  </conditionalFormatting>
  <conditionalFormatting sqref="B51">
    <cfRule type="expression" dxfId="1001" priority="95">
      <formula>COUNTIF($B51:G51, "C")</formula>
    </cfRule>
    <cfRule type="expression" dxfId="1000" priority="96">
      <formula>COUNTIF($B51:G51, "Q")</formula>
    </cfRule>
    <cfRule type="expression" dxfId="999" priority="97">
      <formula>COUNTIF($B51:G51, "M")</formula>
    </cfRule>
    <cfRule type="expression" dxfId="998" priority="98">
      <formula>COUNTIF($B51:G51, "A")</formula>
    </cfRule>
  </conditionalFormatting>
  <conditionalFormatting sqref="B64">
    <cfRule type="expression" dxfId="997" priority="89">
      <formula>COUNTIF($B64:Z64, "C")</formula>
    </cfRule>
    <cfRule type="expression" dxfId="996" priority="90">
      <formula>COUNTIF($B64:Z64, "Q")</formula>
    </cfRule>
    <cfRule type="expression" dxfId="995" priority="91">
      <formula>COUNTIF($B64:Z64, "M")</formula>
    </cfRule>
    <cfRule type="expression" dxfId="994" priority="92">
      <formula>COUNTIF($B64:Z64, "A")</formula>
    </cfRule>
  </conditionalFormatting>
  <conditionalFormatting sqref="B67:B70">
    <cfRule type="expression" dxfId="993" priority="62">
      <formula>COUNTIF($B67:Z67, "C")</formula>
    </cfRule>
    <cfRule type="expression" dxfId="992" priority="63">
      <formula>COUNTIF($B67:Z67, "Q")</formula>
    </cfRule>
    <cfRule type="expression" dxfId="991" priority="64">
      <formula>COUNTIF($B67:Z67, "M")</formula>
    </cfRule>
    <cfRule type="expression" dxfId="990" priority="65">
      <formula>COUNTIF($B67:Z67, "A")</formula>
    </cfRule>
  </conditionalFormatting>
  <conditionalFormatting sqref="B72:B85">
    <cfRule type="expression" dxfId="989" priority="11">
      <formula>COUNTIF($B72:Z72, "C")</formula>
    </cfRule>
    <cfRule type="expression" dxfId="988" priority="12">
      <formula>COUNTIF($B72:Z72, "Q")</formula>
    </cfRule>
    <cfRule type="expression" dxfId="987" priority="13">
      <formula>COUNTIF($B72:Z72, "M")</formula>
    </cfRule>
    <cfRule type="expression" dxfId="986" priority="14">
      <formula>COUNTIF($B72:Z72, "A")</formula>
    </cfRule>
  </conditionalFormatting>
  <conditionalFormatting sqref="B87:B90 B92:B93">
    <cfRule type="expression" dxfId="985" priority="1">
      <formula>COUNTIF($B87:Z87, "C")</formula>
    </cfRule>
    <cfRule type="expression" dxfId="984" priority="2">
      <formula>COUNTIF($B87:Z87, "Q")</formula>
    </cfRule>
    <cfRule type="expression" dxfId="983" priority="3">
      <formula>COUNTIF($B87:Z87, "M")</formula>
    </cfRule>
    <cfRule type="expression" dxfId="982" priority="4">
      <formula>COUNTIF($B87:Z87, "A")</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B9D67-500C-4465-868F-F7B8130CFF1F}">
  <sheetPr filterMode="1">
    <tabColor rgb="FFFFFF00"/>
  </sheetPr>
  <dimension ref="A1:G77"/>
  <sheetViews>
    <sheetView topLeftCell="A35" workbookViewId="0">
      <selection activeCell="D77" sqref="D77:E77"/>
    </sheetView>
  </sheetViews>
  <sheetFormatPr baseColWidth="10" defaultColWidth="137.33203125" defaultRowHeight="14.4" x14ac:dyDescent="0.3"/>
  <cols>
    <col min="1" max="1" width="35.5546875" customWidth="1"/>
    <col min="2" max="2" width="12.33203125" customWidth="1"/>
    <col min="3" max="3" width="16.5546875" customWidth="1"/>
    <col min="4" max="4" width="10.5546875" customWidth="1"/>
    <col min="5" max="5" width="87.6640625" customWidth="1"/>
    <col min="6" max="6" width="9.33203125" bestFit="1" customWidth="1"/>
    <col min="7" max="7" width="32.6640625" bestFit="1" customWidth="1"/>
  </cols>
  <sheetData>
    <row r="1" spans="1:7" ht="15.6" x14ac:dyDescent="0.3">
      <c r="A1" s="31" t="s">
        <v>0</v>
      </c>
      <c r="B1" s="359"/>
      <c r="C1" s="359"/>
      <c r="D1" s="359"/>
      <c r="E1" s="359"/>
      <c r="F1" s="32"/>
      <c r="G1" s="1"/>
    </row>
    <row r="2" spans="1:7" x14ac:dyDescent="0.3">
      <c r="A2" s="30" t="s">
        <v>2</v>
      </c>
      <c r="B2" s="70" t="s">
        <v>3</v>
      </c>
      <c r="C2" s="30" t="s">
        <v>4</v>
      </c>
      <c r="D2" s="2" t="s">
        <v>5</v>
      </c>
      <c r="E2" s="71" t="s">
        <v>6</v>
      </c>
      <c r="F2" s="30" t="s">
        <v>7</v>
      </c>
      <c r="G2" s="30" t="s">
        <v>504</v>
      </c>
    </row>
    <row r="3" spans="1:7" hidden="1" x14ac:dyDescent="0.3">
      <c r="A3" s="1" t="s">
        <v>19</v>
      </c>
      <c r="B3" s="27">
        <v>14</v>
      </c>
      <c r="C3" s="1" t="s">
        <v>511</v>
      </c>
      <c r="D3" s="28" t="s">
        <v>24</v>
      </c>
      <c r="E3" s="1"/>
      <c r="F3" s="1"/>
      <c r="G3" s="1"/>
    </row>
    <row r="4" spans="1:7" hidden="1" x14ac:dyDescent="0.3">
      <c r="A4" s="1" t="s">
        <v>326</v>
      </c>
      <c r="B4" s="27">
        <v>14</v>
      </c>
      <c r="C4" s="1" t="s">
        <v>511</v>
      </c>
      <c r="D4" s="28" t="s">
        <v>24</v>
      </c>
      <c r="E4" s="1"/>
      <c r="F4" s="1"/>
      <c r="G4" s="1"/>
    </row>
    <row r="5" spans="1:7" hidden="1" x14ac:dyDescent="0.3">
      <c r="A5" s="1" t="s">
        <v>534</v>
      </c>
      <c r="B5" s="27">
        <v>14</v>
      </c>
      <c r="C5" s="1" t="s">
        <v>511</v>
      </c>
      <c r="D5" s="28" t="s">
        <v>24</v>
      </c>
      <c r="E5" s="1"/>
      <c r="F5" s="1"/>
      <c r="G5" s="1"/>
    </row>
    <row r="6" spans="1:7" hidden="1" x14ac:dyDescent="0.3">
      <c r="A6" s="1" t="s">
        <v>71</v>
      </c>
      <c r="B6" s="27">
        <v>14</v>
      </c>
      <c r="C6" s="1" t="s">
        <v>511</v>
      </c>
      <c r="D6" s="28" t="s">
        <v>24</v>
      </c>
      <c r="E6" s="1"/>
      <c r="F6" s="1"/>
      <c r="G6" s="1"/>
    </row>
    <row r="7" spans="1:7" hidden="1" x14ac:dyDescent="0.3">
      <c r="A7" s="1" t="s">
        <v>49</v>
      </c>
      <c r="B7" s="27">
        <v>12</v>
      </c>
      <c r="C7" s="1" t="s">
        <v>511</v>
      </c>
      <c r="D7" s="28" t="s">
        <v>24</v>
      </c>
      <c r="E7" s="1"/>
      <c r="F7" s="1"/>
      <c r="G7" s="1"/>
    </row>
    <row r="8" spans="1:7" hidden="1" x14ac:dyDescent="0.3">
      <c r="A8" s="1" t="s">
        <v>313</v>
      </c>
      <c r="B8" s="27">
        <v>13</v>
      </c>
      <c r="C8" s="1" t="s">
        <v>79</v>
      </c>
      <c r="D8" s="28" t="s">
        <v>24</v>
      </c>
      <c r="E8" s="1"/>
      <c r="F8" s="1"/>
      <c r="G8" s="1"/>
    </row>
    <row r="9" spans="1:7" hidden="1" x14ac:dyDescent="0.3">
      <c r="A9" s="1" t="s">
        <v>316</v>
      </c>
      <c r="B9" s="27">
        <v>13</v>
      </c>
      <c r="C9" s="1" t="s">
        <v>79</v>
      </c>
      <c r="D9" s="28" t="s">
        <v>24</v>
      </c>
      <c r="E9" s="1"/>
      <c r="F9" s="1"/>
      <c r="G9" s="1"/>
    </row>
    <row r="10" spans="1:7" hidden="1" x14ac:dyDescent="0.3">
      <c r="A10" s="1" t="s">
        <v>531</v>
      </c>
      <c r="B10" s="27">
        <v>14</v>
      </c>
      <c r="C10" s="1" t="s">
        <v>20</v>
      </c>
      <c r="D10" s="28" t="s">
        <v>24</v>
      </c>
      <c r="E10" s="1"/>
      <c r="F10" s="1"/>
      <c r="G10" s="1"/>
    </row>
    <row r="11" spans="1:7" hidden="1" x14ac:dyDescent="0.3">
      <c r="A11" s="1" t="s">
        <v>329</v>
      </c>
      <c r="B11" s="27">
        <v>14</v>
      </c>
      <c r="C11" s="1" t="s">
        <v>511</v>
      </c>
      <c r="D11" s="28" t="s">
        <v>24</v>
      </c>
      <c r="E11" s="1"/>
      <c r="F11" s="1"/>
      <c r="G11" s="1"/>
    </row>
    <row r="12" spans="1:7" hidden="1" x14ac:dyDescent="0.3">
      <c r="A12" s="1" t="s">
        <v>84</v>
      </c>
      <c r="B12" s="27">
        <v>14</v>
      </c>
      <c r="C12" s="1" t="s">
        <v>511</v>
      </c>
      <c r="D12" s="28" t="s">
        <v>24</v>
      </c>
      <c r="E12" s="1"/>
      <c r="F12" s="1"/>
      <c r="G12" s="1"/>
    </row>
    <row r="13" spans="1:7" hidden="1" x14ac:dyDescent="0.3">
      <c r="A13" s="1" t="s">
        <v>321</v>
      </c>
      <c r="B13" s="27">
        <v>13</v>
      </c>
      <c r="C13" s="1" t="s">
        <v>511</v>
      </c>
      <c r="D13" s="28" t="s">
        <v>24</v>
      </c>
      <c r="E13" s="1"/>
      <c r="F13" s="1"/>
      <c r="G13" s="1"/>
    </row>
    <row r="14" spans="1:7" hidden="1" x14ac:dyDescent="0.3">
      <c r="A14" s="1" t="s">
        <v>283</v>
      </c>
      <c r="B14" s="27">
        <v>11</v>
      </c>
      <c r="C14" s="1" t="s">
        <v>79</v>
      </c>
      <c r="D14" s="28" t="s">
        <v>14</v>
      </c>
      <c r="E14" s="1"/>
      <c r="F14" s="1"/>
      <c r="G14" s="1"/>
    </row>
    <row r="15" spans="1:7" hidden="1" x14ac:dyDescent="0.3">
      <c r="A15" s="1" t="s">
        <v>45</v>
      </c>
      <c r="B15" s="27">
        <v>12</v>
      </c>
      <c r="C15" s="1" t="s">
        <v>79</v>
      </c>
      <c r="D15" s="28" t="s">
        <v>14</v>
      </c>
      <c r="E15" s="1" t="s">
        <v>719</v>
      </c>
      <c r="F15" s="1"/>
      <c r="G15" s="1"/>
    </row>
    <row r="16" spans="1:7" hidden="1" x14ac:dyDescent="0.3">
      <c r="A16" s="1" t="s">
        <v>297</v>
      </c>
      <c r="B16" s="27">
        <v>12</v>
      </c>
      <c r="C16" s="1" t="s">
        <v>79</v>
      </c>
      <c r="D16" s="28" t="s">
        <v>14</v>
      </c>
      <c r="E16" s="1" t="s">
        <v>712</v>
      </c>
      <c r="F16" s="1"/>
      <c r="G16" s="1"/>
    </row>
    <row r="17" spans="1:7" hidden="1" x14ac:dyDescent="0.3">
      <c r="A17" s="1" t="s">
        <v>338</v>
      </c>
      <c r="B17" s="27">
        <v>15</v>
      </c>
      <c r="C17" s="1" t="s">
        <v>20</v>
      </c>
      <c r="D17" s="28" t="s">
        <v>14</v>
      </c>
      <c r="E17" s="1"/>
      <c r="F17" s="1"/>
      <c r="G17" s="1"/>
    </row>
    <row r="18" spans="1:7" hidden="1" x14ac:dyDescent="0.3">
      <c r="A18" s="1" t="s">
        <v>523</v>
      </c>
      <c r="B18" s="27">
        <v>13</v>
      </c>
      <c r="C18" s="1" t="s">
        <v>20</v>
      </c>
      <c r="D18" s="28" t="s">
        <v>14</v>
      </c>
      <c r="E18" s="1"/>
      <c r="F18" s="1"/>
      <c r="G18" s="1"/>
    </row>
    <row r="19" spans="1:7" hidden="1" x14ac:dyDescent="0.3">
      <c r="A19" s="1" t="s">
        <v>56</v>
      </c>
      <c r="B19" s="27">
        <v>13</v>
      </c>
      <c r="C19" s="1" t="s">
        <v>79</v>
      </c>
      <c r="D19" s="28" t="s">
        <v>14</v>
      </c>
      <c r="E19" s="1"/>
      <c r="F19" s="1"/>
      <c r="G19" s="1"/>
    </row>
    <row r="20" spans="1:7" hidden="1" x14ac:dyDescent="0.3">
      <c r="A20" s="1" t="s">
        <v>327</v>
      </c>
      <c r="B20" s="27">
        <v>14</v>
      </c>
      <c r="C20" s="1" t="s">
        <v>511</v>
      </c>
      <c r="D20" s="28" t="s">
        <v>28</v>
      </c>
      <c r="E20" s="1"/>
      <c r="F20" s="1"/>
      <c r="G20" s="1"/>
    </row>
    <row r="21" spans="1:7" hidden="1" x14ac:dyDescent="0.3">
      <c r="A21" s="1" t="s">
        <v>524</v>
      </c>
      <c r="B21" s="27">
        <v>13</v>
      </c>
      <c r="C21" s="1" t="s">
        <v>511</v>
      </c>
      <c r="D21" s="28" t="s">
        <v>28</v>
      </c>
      <c r="E21" s="1" t="s">
        <v>700</v>
      </c>
      <c r="F21" s="1"/>
      <c r="G21" s="1"/>
    </row>
    <row r="22" spans="1:7" hidden="1" x14ac:dyDescent="0.3">
      <c r="A22" s="1" t="s">
        <v>330</v>
      </c>
      <c r="B22" s="27">
        <v>14</v>
      </c>
      <c r="C22" s="1" t="s">
        <v>511</v>
      </c>
      <c r="D22" s="28" t="s">
        <v>28</v>
      </c>
      <c r="E22" s="1" t="s">
        <v>720</v>
      </c>
      <c r="F22" s="1"/>
      <c r="G22" s="1"/>
    </row>
    <row r="23" spans="1:7" hidden="1" x14ac:dyDescent="0.3">
      <c r="A23" s="1" t="s">
        <v>290</v>
      </c>
      <c r="B23" s="27">
        <v>11</v>
      </c>
      <c r="C23" s="1" t="s">
        <v>511</v>
      </c>
      <c r="D23" s="28" t="s">
        <v>28</v>
      </c>
      <c r="E23" s="1" t="s">
        <v>715</v>
      </c>
      <c r="F23" s="1"/>
      <c r="G23" s="1"/>
    </row>
    <row r="24" spans="1:7" x14ac:dyDescent="0.3">
      <c r="A24" s="1" t="s">
        <v>332</v>
      </c>
      <c r="B24" s="27">
        <v>15</v>
      </c>
      <c r="C24" s="1" t="s">
        <v>20</v>
      </c>
      <c r="D24" s="28" t="s">
        <v>16</v>
      </c>
      <c r="E24" s="1" t="s">
        <v>160</v>
      </c>
      <c r="F24" t="s">
        <v>467</v>
      </c>
      <c r="G24" s="1"/>
    </row>
    <row r="25" spans="1:7" x14ac:dyDescent="0.3">
      <c r="A25" s="1" t="s">
        <v>333</v>
      </c>
      <c r="B25" s="69">
        <v>15</v>
      </c>
      <c r="C25" s="1" t="s">
        <v>511</v>
      </c>
      <c r="D25" s="28" t="s">
        <v>16</v>
      </c>
      <c r="E25" s="58" t="s">
        <v>700</v>
      </c>
      <c r="F25" s="1" t="s">
        <v>467</v>
      </c>
      <c r="G25" s="1"/>
    </row>
    <row r="26" spans="1:7" x14ac:dyDescent="0.3">
      <c r="A26" s="1" t="s">
        <v>335</v>
      </c>
      <c r="B26" s="73">
        <v>15</v>
      </c>
      <c r="C26" s="33" t="s">
        <v>511</v>
      </c>
      <c r="D26" s="35" t="s">
        <v>16</v>
      </c>
      <c r="E26" s="62"/>
      <c r="F26" s="1" t="s">
        <v>467</v>
      </c>
      <c r="G26" s="1"/>
    </row>
    <row r="27" spans="1:7" x14ac:dyDescent="0.3">
      <c r="A27" s="1" t="s">
        <v>721</v>
      </c>
      <c r="B27" s="74">
        <v>7</v>
      </c>
      <c r="C27" s="9" t="s">
        <v>722</v>
      </c>
      <c r="D27" s="15" t="s">
        <v>16</v>
      </c>
      <c r="E27" s="76"/>
      <c r="F27" s="1" t="s">
        <v>467</v>
      </c>
      <c r="G27" s="1"/>
    </row>
    <row r="28" spans="1:7" x14ac:dyDescent="0.3">
      <c r="A28" s="1" t="s">
        <v>723</v>
      </c>
      <c r="B28" s="74">
        <v>11</v>
      </c>
      <c r="C28" s="9" t="s">
        <v>20</v>
      </c>
      <c r="D28" s="15" t="s">
        <v>16</v>
      </c>
      <c r="E28" s="76" t="s">
        <v>700</v>
      </c>
      <c r="F28" s="1" t="s">
        <v>467</v>
      </c>
      <c r="G28" s="1"/>
    </row>
    <row r="29" spans="1:7" x14ac:dyDescent="0.3">
      <c r="A29" s="1" t="s">
        <v>317</v>
      </c>
      <c r="B29" s="75">
        <v>13</v>
      </c>
      <c r="C29" s="64" t="s">
        <v>79</v>
      </c>
      <c r="D29" s="66" t="s">
        <v>16</v>
      </c>
      <c r="E29" s="77" t="s">
        <v>700</v>
      </c>
      <c r="F29" s="1" t="s">
        <v>467</v>
      </c>
      <c r="G29" s="1"/>
    </row>
    <row r="30" spans="1:7" x14ac:dyDescent="0.3">
      <c r="A30" s="1" t="s">
        <v>724</v>
      </c>
      <c r="B30" s="69">
        <v>14</v>
      </c>
      <c r="C30" s="1" t="s">
        <v>20</v>
      </c>
      <c r="D30" s="28" t="s">
        <v>16</v>
      </c>
      <c r="E30" s="58"/>
      <c r="F30" s="1" t="s">
        <v>467</v>
      </c>
      <c r="G30" s="1"/>
    </row>
    <row r="31" spans="1:7" x14ac:dyDescent="0.3">
      <c r="A31" s="1" t="s">
        <v>725</v>
      </c>
      <c r="B31" s="69">
        <v>13</v>
      </c>
      <c r="C31" s="1" t="s">
        <v>20</v>
      </c>
      <c r="D31" s="28" t="s">
        <v>16</v>
      </c>
      <c r="E31" s="58" t="s">
        <v>700</v>
      </c>
      <c r="F31" s="1" t="s">
        <v>726</v>
      </c>
      <c r="G31" s="1"/>
    </row>
    <row r="32" spans="1:7" x14ac:dyDescent="0.3">
      <c r="A32" s="1" t="s">
        <v>727</v>
      </c>
      <c r="B32" s="69">
        <v>14</v>
      </c>
      <c r="C32" s="1" t="s">
        <v>20</v>
      </c>
      <c r="D32" s="28" t="s">
        <v>16</v>
      </c>
      <c r="E32" s="58" t="s">
        <v>700</v>
      </c>
      <c r="F32" s="1" t="s">
        <v>728</v>
      </c>
      <c r="G32" s="1"/>
    </row>
    <row r="33" spans="1:7" x14ac:dyDescent="0.3">
      <c r="A33" s="1" t="s">
        <v>729</v>
      </c>
      <c r="B33" s="69">
        <v>11</v>
      </c>
      <c r="C33" s="1" t="s">
        <v>20</v>
      </c>
      <c r="D33" s="28" t="s">
        <v>16</v>
      </c>
      <c r="E33" s="58"/>
      <c r="F33" s="1" t="s">
        <v>728</v>
      </c>
      <c r="G33" s="1"/>
    </row>
    <row r="34" spans="1:7" x14ac:dyDescent="0.3">
      <c r="A34" s="1" t="s">
        <v>88</v>
      </c>
      <c r="B34" s="69">
        <v>15</v>
      </c>
      <c r="C34" s="1" t="s">
        <v>20</v>
      </c>
      <c r="D34" s="28" t="s">
        <v>16</v>
      </c>
      <c r="E34" s="58" t="s">
        <v>700</v>
      </c>
      <c r="F34" s="1" t="s">
        <v>728</v>
      </c>
      <c r="G34" s="1"/>
    </row>
    <row r="35" spans="1:7" x14ac:dyDescent="0.3">
      <c r="A35" s="1" t="s">
        <v>98</v>
      </c>
      <c r="B35" s="69">
        <v>15</v>
      </c>
      <c r="C35" s="1" t="s">
        <v>511</v>
      </c>
      <c r="D35" s="28" t="s">
        <v>16</v>
      </c>
      <c r="E35" s="58" t="s">
        <v>700</v>
      </c>
      <c r="F35" s="1" t="s">
        <v>728</v>
      </c>
      <c r="G35" s="1"/>
    </row>
    <row r="36" spans="1:7" x14ac:dyDescent="0.3">
      <c r="A36" s="1" t="s">
        <v>730</v>
      </c>
      <c r="B36" s="69">
        <v>13</v>
      </c>
      <c r="C36" s="1" t="s">
        <v>20</v>
      </c>
      <c r="D36" s="28" t="s">
        <v>16</v>
      </c>
      <c r="E36" s="58" t="s">
        <v>700</v>
      </c>
      <c r="F36" s="1" t="s">
        <v>728</v>
      </c>
      <c r="G36" s="1"/>
    </row>
    <row r="37" spans="1:7" x14ac:dyDescent="0.3">
      <c r="A37" s="1" t="s">
        <v>343</v>
      </c>
      <c r="B37" s="69">
        <v>15</v>
      </c>
      <c r="C37" s="1" t="s">
        <v>20</v>
      </c>
      <c r="D37" s="28" t="s">
        <v>16</v>
      </c>
      <c r="E37" s="58"/>
      <c r="F37" s="1" t="s">
        <v>728</v>
      </c>
      <c r="G37" s="1"/>
    </row>
    <row r="38" spans="1:7" x14ac:dyDescent="0.3">
      <c r="A38" s="1" t="s">
        <v>349</v>
      </c>
      <c r="B38" s="69">
        <v>15</v>
      </c>
      <c r="C38" s="1" t="s">
        <v>20</v>
      </c>
      <c r="D38" s="28" t="s">
        <v>16</v>
      </c>
      <c r="E38" s="58" t="s">
        <v>700</v>
      </c>
      <c r="F38" s="1" t="s">
        <v>728</v>
      </c>
      <c r="G38" s="1"/>
    </row>
    <row r="39" spans="1:7" x14ac:dyDescent="0.3">
      <c r="A39" s="1" t="s">
        <v>306</v>
      </c>
      <c r="B39" s="69">
        <v>13</v>
      </c>
      <c r="C39" s="1" t="s">
        <v>511</v>
      </c>
      <c r="D39" s="28" t="s">
        <v>16</v>
      </c>
      <c r="E39" s="58" t="s">
        <v>700</v>
      </c>
      <c r="F39" s="1" t="s">
        <v>710</v>
      </c>
      <c r="G39" s="1"/>
    </row>
    <row r="40" spans="1:7" x14ac:dyDescent="0.3">
      <c r="A40" s="1" t="s">
        <v>334</v>
      </c>
      <c r="B40" s="69">
        <v>15</v>
      </c>
      <c r="C40" s="1" t="s">
        <v>511</v>
      </c>
      <c r="D40" s="28" t="s">
        <v>16</v>
      </c>
      <c r="E40" s="58" t="s">
        <v>731</v>
      </c>
      <c r="F40" s="1" t="s">
        <v>710</v>
      </c>
      <c r="G40" s="1"/>
    </row>
    <row r="41" spans="1:7" x14ac:dyDescent="0.3">
      <c r="A41" s="1" t="s">
        <v>96</v>
      </c>
      <c r="B41" s="27">
        <v>15</v>
      </c>
      <c r="C41" s="1" t="s">
        <v>20</v>
      </c>
      <c r="D41" s="28" t="s">
        <v>16</v>
      </c>
      <c r="E41" s="1" t="s">
        <v>732</v>
      </c>
      <c r="F41" s="1" t="s">
        <v>710</v>
      </c>
      <c r="G41" s="1"/>
    </row>
    <row r="42" spans="1:7" x14ac:dyDescent="0.3">
      <c r="A42" s="1" t="s">
        <v>340</v>
      </c>
      <c r="B42" s="27">
        <v>15</v>
      </c>
      <c r="C42" s="1" t="s">
        <v>511</v>
      </c>
      <c r="D42" s="28" t="s">
        <v>16</v>
      </c>
      <c r="E42" s="1"/>
      <c r="F42" s="1" t="s">
        <v>710</v>
      </c>
      <c r="G42" s="1"/>
    </row>
    <row r="43" spans="1:7" x14ac:dyDescent="0.3">
      <c r="A43" s="1" t="s">
        <v>82</v>
      </c>
      <c r="B43" s="27">
        <v>15</v>
      </c>
      <c r="C43" s="1" t="s">
        <v>511</v>
      </c>
      <c r="D43" s="28" t="s">
        <v>16</v>
      </c>
      <c r="E43" s="1"/>
      <c r="F43" s="1" t="s">
        <v>710</v>
      </c>
      <c r="G43" s="1"/>
    </row>
    <row r="44" spans="1:7" x14ac:dyDescent="0.3">
      <c r="A44" s="1" t="s">
        <v>342</v>
      </c>
      <c r="B44" s="27">
        <v>15</v>
      </c>
      <c r="C44" s="1" t="s">
        <v>511</v>
      </c>
      <c r="D44" s="28" t="s">
        <v>16</v>
      </c>
      <c r="E44" s="1" t="s">
        <v>700</v>
      </c>
      <c r="F44" s="1" t="s">
        <v>710</v>
      </c>
      <c r="G44" s="1"/>
    </row>
    <row r="45" spans="1:7" x14ac:dyDescent="0.3">
      <c r="A45" s="1" t="s">
        <v>301</v>
      </c>
      <c r="B45" s="27">
        <v>12</v>
      </c>
      <c r="C45" s="1" t="s">
        <v>511</v>
      </c>
      <c r="D45" s="28" t="s">
        <v>16</v>
      </c>
      <c r="E45" s="1" t="s">
        <v>700</v>
      </c>
      <c r="F45" s="1" t="s">
        <v>710</v>
      </c>
      <c r="G45" s="1"/>
    </row>
    <row r="46" spans="1:7" hidden="1" x14ac:dyDescent="0.3">
      <c r="A46" s="1" t="s">
        <v>537</v>
      </c>
      <c r="B46" s="27">
        <v>14</v>
      </c>
      <c r="C46" s="1" t="s">
        <v>511</v>
      </c>
      <c r="D46" s="28" t="s">
        <v>47</v>
      </c>
      <c r="E46" s="1" t="s">
        <v>700</v>
      </c>
      <c r="F46" s="1"/>
      <c r="G46" s="1"/>
    </row>
    <row r="47" spans="1:7" hidden="1" x14ac:dyDescent="0.3">
      <c r="A47" s="1" t="s">
        <v>325</v>
      </c>
      <c r="B47" s="27">
        <v>14</v>
      </c>
      <c r="C47" s="1" t="s">
        <v>20</v>
      </c>
      <c r="D47" s="28" t="s">
        <v>47</v>
      </c>
      <c r="E47" s="1" t="s">
        <v>450</v>
      </c>
      <c r="F47" s="1"/>
      <c r="G47" s="1"/>
    </row>
    <row r="48" spans="1:7" hidden="1" x14ac:dyDescent="0.3">
      <c r="A48" s="1" t="s">
        <v>70</v>
      </c>
      <c r="B48" s="27">
        <v>14</v>
      </c>
      <c r="C48" s="1" t="s">
        <v>20</v>
      </c>
      <c r="D48" s="28" t="s">
        <v>47</v>
      </c>
      <c r="E48" s="1"/>
      <c r="F48" s="1"/>
      <c r="G48" s="1"/>
    </row>
    <row r="49" spans="1:7" hidden="1" x14ac:dyDescent="0.3">
      <c r="A49" s="1" t="s">
        <v>337</v>
      </c>
      <c r="B49" s="27">
        <v>15</v>
      </c>
      <c r="C49" s="1" t="s">
        <v>20</v>
      </c>
      <c r="D49" s="28" t="s">
        <v>47</v>
      </c>
      <c r="E49" s="1"/>
      <c r="F49" s="1"/>
      <c r="G49" s="1"/>
    </row>
    <row r="50" spans="1:7" hidden="1" x14ac:dyDescent="0.3">
      <c r="A50" s="33" t="s">
        <v>339</v>
      </c>
      <c r="B50" s="34">
        <v>15</v>
      </c>
      <c r="C50" s="33" t="s">
        <v>20</v>
      </c>
      <c r="D50" s="35" t="s">
        <v>47</v>
      </c>
      <c r="E50" s="33"/>
      <c r="F50" s="33"/>
      <c r="G50" s="33"/>
    </row>
    <row r="51" spans="1:7" hidden="1" x14ac:dyDescent="0.3">
      <c r="A51" s="9" t="s">
        <v>267</v>
      </c>
      <c r="B51" s="24">
        <v>8</v>
      </c>
      <c r="C51" s="9" t="s">
        <v>20</v>
      </c>
      <c r="D51" s="15" t="s">
        <v>47</v>
      </c>
      <c r="E51" s="9" t="s">
        <v>733</v>
      </c>
      <c r="F51" s="9"/>
      <c r="G51" s="9"/>
    </row>
    <row r="52" spans="1:7" hidden="1" x14ac:dyDescent="0.3">
      <c r="A52" s="9" t="s">
        <v>278</v>
      </c>
      <c r="B52" s="24">
        <v>10</v>
      </c>
      <c r="C52" s="9" t="s">
        <v>20</v>
      </c>
      <c r="D52" s="15" t="s">
        <v>47</v>
      </c>
      <c r="E52" s="9" t="s">
        <v>734</v>
      </c>
      <c r="F52" s="9"/>
      <c r="G52" s="9"/>
    </row>
    <row r="53" spans="1:7" hidden="1" x14ac:dyDescent="0.3">
      <c r="A53" s="9" t="s">
        <v>344</v>
      </c>
      <c r="B53" s="24">
        <v>15</v>
      </c>
      <c r="C53" s="9" t="s">
        <v>20</v>
      </c>
      <c r="D53" s="15" t="s">
        <v>47</v>
      </c>
      <c r="E53" s="9" t="s">
        <v>735</v>
      </c>
      <c r="F53" s="9"/>
      <c r="G53" s="9"/>
    </row>
    <row r="54" spans="1:7" hidden="1" x14ac:dyDescent="0.3">
      <c r="A54" s="9" t="s">
        <v>85</v>
      </c>
      <c r="B54" s="24">
        <v>14</v>
      </c>
      <c r="C54" s="9" t="s">
        <v>20</v>
      </c>
      <c r="D54" s="15" t="s">
        <v>47</v>
      </c>
      <c r="E54" s="9" t="s">
        <v>66</v>
      </c>
      <c r="F54" s="9"/>
      <c r="G54" s="9"/>
    </row>
    <row r="55" spans="1:7" hidden="1" x14ac:dyDescent="0.3">
      <c r="A55" s="9" t="s">
        <v>530</v>
      </c>
      <c r="B55" s="24">
        <v>14</v>
      </c>
      <c r="C55" s="9" t="s">
        <v>20</v>
      </c>
      <c r="D55" s="15" t="s">
        <v>47</v>
      </c>
      <c r="E55" s="9"/>
      <c r="F55" s="9"/>
      <c r="G55" s="9"/>
    </row>
    <row r="56" spans="1:7" hidden="1" x14ac:dyDescent="0.3">
      <c r="A56" s="9" t="s">
        <v>346</v>
      </c>
      <c r="B56" s="24">
        <v>15</v>
      </c>
      <c r="C56" s="9" t="s">
        <v>20</v>
      </c>
      <c r="D56" s="15" t="s">
        <v>47</v>
      </c>
      <c r="E56" s="9" t="s">
        <v>736</v>
      </c>
      <c r="F56" s="9"/>
      <c r="G56" s="9"/>
    </row>
    <row r="57" spans="1:7" hidden="1" x14ac:dyDescent="0.3">
      <c r="A57" s="9" t="s">
        <v>155</v>
      </c>
      <c r="B57" s="24">
        <v>14</v>
      </c>
      <c r="C57" s="9" t="s">
        <v>20</v>
      </c>
      <c r="D57" s="15" t="s">
        <v>47</v>
      </c>
      <c r="E57" s="1"/>
      <c r="F57" s="9"/>
      <c r="G57" s="9"/>
    </row>
    <row r="58" spans="1:7" hidden="1" x14ac:dyDescent="0.3">
      <c r="A58" s="64" t="s">
        <v>347</v>
      </c>
      <c r="B58" s="65">
        <v>15</v>
      </c>
      <c r="C58" s="64" t="s">
        <v>511</v>
      </c>
      <c r="D58" s="66" t="s">
        <v>47</v>
      </c>
      <c r="E58" s="64" t="s">
        <v>700</v>
      </c>
      <c r="F58" s="64"/>
      <c r="G58" s="64"/>
    </row>
    <row r="59" spans="1:7" hidden="1" x14ac:dyDescent="0.3">
      <c r="A59" s="1" t="s">
        <v>74</v>
      </c>
      <c r="B59" s="27">
        <v>14</v>
      </c>
      <c r="C59" s="1" t="s">
        <v>20</v>
      </c>
      <c r="D59" s="28" t="s">
        <v>47</v>
      </c>
      <c r="E59" s="1" t="s">
        <v>737</v>
      </c>
      <c r="F59" s="1"/>
      <c r="G59" s="1"/>
    </row>
    <row r="60" spans="1:7" hidden="1" x14ac:dyDescent="0.3">
      <c r="A60" s="1" t="s">
        <v>302</v>
      </c>
      <c r="B60" s="27">
        <v>12</v>
      </c>
      <c r="C60" s="1" t="s">
        <v>20</v>
      </c>
      <c r="D60" s="28" t="s">
        <v>47</v>
      </c>
      <c r="E60" s="1" t="s">
        <v>738</v>
      </c>
      <c r="F60" s="1"/>
      <c r="G60" s="1"/>
    </row>
    <row r="61" spans="1:7" hidden="1" x14ac:dyDescent="0.3">
      <c r="A61" s="1" t="s">
        <v>42</v>
      </c>
      <c r="B61" s="27">
        <v>11</v>
      </c>
      <c r="C61" s="1" t="s">
        <v>511</v>
      </c>
      <c r="D61" s="28" t="s">
        <v>35</v>
      </c>
      <c r="E61" s="29"/>
      <c r="F61" s="1"/>
      <c r="G61" s="1"/>
    </row>
    <row r="62" spans="1:7" hidden="1" x14ac:dyDescent="0.3">
      <c r="A62" s="1" t="s">
        <v>348</v>
      </c>
      <c r="B62" s="27">
        <v>15</v>
      </c>
      <c r="C62" s="1" t="s">
        <v>20</v>
      </c>
      <c r="D62" s="28" t="s">
        <v>35</v>
      </c>
      <c r="E62" s="1"/>
      <c r="F62" s="1"/>
      <c r="G62" s="1"/>
    </row>
    <row r="63" spans="1:7" hidden="1" x14ac:dyDescent="0.3">
      <c r="A63" s="33" t="s">
        <v>263</v>
      </c>
      <c r="B63" s="34">
        <v>8</v>
      </c>
      <c r="C63" s="33" t="s">
        <v>79</v>
      </c>
      <c r="D63" s="35"/>
      <c r="E63" s="33"/>
      <c r="F63" s="33"/>
      <c r="G63" s="33"/>
    </row>
    <row r="64" spans="1:7" hidden="1" x14ac:dyDescent="0.3">
      <c r="A64" s="9" t="s">
        <v>291</v>
      </c>
      <c r="B64" s="24">
        <v>12</v>
      </c>
      <c r="C64" s="9" t="s">
        <v>79</v>
      </c>
      <c r="D64" s="15"/>
      <c r="E64" s="9" t="s">
        <v>701</v>
      </c>
      <c r="F64" s="9"/>
      <c r="G64" s="9"/>
    </row>
    <row r="65" spans="1:7" hidden="1" x14ac:dyDescent="0.3">
      <c r="A65" s="9" t="s">
        <v>336</v>
      </c>
      <c r="B65" s="24">
        <v>15</v>
      </c>
      <c r="C65" s="9" t="s">
        <v>511</v>
      </c>
      <c r="D65" s="15"/>
      <c r="E65" s="1"/>
      <c r="F65" s="9"/>
      <c r="G65" s="9"/>
    </row>
    <row r="66" spans="1:7" hidden="1" x14ac:dyDescent="0.3">
      <c r="A66" s="9" t="s">
        <v>31</v>
      </c>
      <c r="B66" s="24">
        <v>10</v>
      </c>
      <c r="C66" s="9" t="s">
        <v>79</v>
      </c>
      <c r="D66" s="15"/>
      <c r="E66" s="1"/>
      <c r="F66" s="9"/>
      <c r="G66" s="9"/>
    </row>
    <row r="67" spans="1:7" hidden="1" x14ac:dyDescent="0.3">
      <c r="A67" s="9" t="s">
        <v>95</v>
      </c>
      <c r="B67" s="24">
        <v>15</v>
      </c>
      <c r="C67" s="9" t="s">
        <v>511</v>
      </c>
      <c r="D67" s="15"/>
      <c r="E67" s="1"/>
      <c r="F67" s="9"/>
      <c r="G67" s="9"/>
    </row>
    <row r="68" spans="1:7" hidden="1" x14ac:dyDescent="0.3">
      <c r="A68" s="9" t="s">
        <v>341</v>
      </c>
      <c r="B68" s="24">
        <v>15</v>
      </c>
      <c r="C68" s="9" t="s">
        <v>511</v>
      </c>
      <c r="D68" s="15"/>
      <c r="E68" s="9"/>
      <c r="F68" s="9"/>
      <c r="G68" s="9"/>
    </row>
    <row r="69" spans="1:7" hidden="1" x14ac:dyDescent="0.3">
      <c r="A69" s="9" t="s">
        <v>90</v>
      </c>
      <c r="B69" s="24">
        <v>15</v>
      </c>
      <c r="C69" s="9" t="s">
        <v>511</v>
      </c>
      <c r="D69" s="15"/>
      <c r="E69" s="9"/>
      <c r="F69" s="9"/>
      <c r="G69" s="9"/>
    </row>
    <row r="70" spans="1:7" hidden="1" x14ac:dyDescent="0.3">
      <c r="A70" s="9" t="s">
        <v>345</v>
      </c>
      <c r="B70" s="24">
        <v>15</v>
      </c>
      <c r="C70" s="9" t="s">
        <v>20</v>
      </c>
      <c r="D70" s="15"/>
      <c r="E70" s="9"/>
      <c r="F70" s="9"/>
      <c r="G70" s="9"/>
    </row>
    <row r="71" spans="1:7" hidden="1" x14ac:dyDescent="0.3">
      <c r="A71" s="9" t="s">
        <v>270</v>
      </c>
      <c r="B71" s="24">
        <v>9</v>
      </c>
      <c r="C71" s="9" t="s">
        <v>79</v>
      </c>
      <c r="D71" s="15"/>
      <c r="E71" s="9"/>
      <c r="F71" s="9"/>
      <c r="G71" s="9"/>
    </row>
    <row r="72" spans="1:7" hidden="1" x14ac:dyDescent="0.3">
      <c r="A72" s="9" t="s">
        <v>46</v>
      </c>
      <c r="B72" s="24">
        <v>12</v>
      </c>
      <c r="C72" s="9" t="s">
        <v>79</v>
      </c>
      <c r="D72" s="15"/>
      <c r="E72" s="9"/>
      <c r="F72" s="9"/>
      <c r="G72" s="9"/>
    </row>
    <row r="73" spans="1:7" x14ac:dyDescent="0.3">
      <c r="A73" s="9"/>
      <c r="B73" s="63"/>
      <c r="C73" s="9"/>
      <c r="D73" s="15"/>
      <c r="E73" s="9"/>
      <c r="F73" s="9"/>
      <c r="G73" s="9"/>
    </row>
    <row r="74" spans="1:7" x14ac:dyDescent="0.3">
      <c r="B74" s="72"/>
      <c r="D74" s="16"/>
    </row>
    <row r="75" spans="1:7" x14ac:dyDescent="0.3">
      <c r="B75" s="25"/>
      <c r="D75" s="16"/>
    </row>
    <row r="76" spans="1:7" ht="14.4" customHeight="1" x14ac:dyDescent="0.3"/>
    <row r="77" spans="1:7" ht="21" x14ac:dyDescent="0.4">
      <c r="A77" s="361" t="s">
        <v>211</v>
      </c>
      <c r="B77" s="362"/>
      <c r="C77" s="363"/>
      <c r="D77" s="364">
        <f>+COUNTIF(D2:D73,"OK")</f>
        <v>22</v>
      </c>
      <c r="E77" s="364"/>
      <c r="F77" s="23"/>
    </row>
  </sheetData>
  <autoFilter ref="A2:G72" xr:uid="{5E54FD58-F896-4449-B5B3-97E51729B509}">
    <filterColumn colId="5">
      <customFilters>
        <customFilter operator="notEqual" val=" "/>
      </customFilters>
    </filterColumn>
    <sortState xmlns:xlrd2="http://schemas.microsoft.com/office/spreadsheetml/2017/richdata2" ref="A24:G45">
      <sortCondition ref="F2:F72"/>
    </sortState>
  </autoFilter>
  <sortState xmlns:xlrd2="http://schemas.microsoft.com/office/spreadsheetml/2017/richdata2" ref="A3:G73">
    <sortCondition ref="D3:D73"/>
    <sortCondition ref="A3:A73"/>
  </sortState>
  <mergeCells count="3">
    <mergeCell ref="B1:E1"/>
    <mergeCell ref="A77:C77"/>
    <mergeCell ref="D77:E77"/>
  </mergeCells>
  <conditionalFormatting sqref="A73:B74">
    <cfRule type="expression" dxfId="981" priority="38">
      <formula>COUNTIF($A73:G73, "NI")</formula>
    </cfRule>
  </conditionalFormatting>
  <conditionalFormatting sqref="B73:B74">
    <cfRule type="expression" dxfId="980" priority="39">
      <formula>COUNTIF($B73:G73, "C")</formula>
    </cfRule>
    <cfRule type="expression" dxfId="979" priority="40">
      <formula>COUNTIF($B73:G73, "Q")</formula>
    </cfRule>
    <cfRule type="expression" dxfId="978" priority="41">
      <formula>COUNTIF($B73:G73, "M")</formula>
    </cfRule>
    <cfRule type="expression" dxfId="977" priority="42">
      <formula>COUNTIF($B73:G73, "A")</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9BC97-C9D6-4F7B-82B5-6DE4D6574A99}">
  <sheetPr>
    <tabColor rgb="FFFF0000"/>
  </sheetPr>
  <dimension ref="A1:E54"/>
  <sheetViews>
    <sheetView workbookViewId="0">
      <selection sqref="A1:XFD1048576"/>
    </sheetView>
  </sheetViews>
  <sheetFormatPr baseColWidth="10" defaultColWidth="11.44140625" defaultRowHeight="14.4" x14ac:dyDescent="0.3"/>
  <cols>
    <col min="1" max="1" width="42" customWidth="1"/>
    <col min="2" max="2" width="12" bestFit="1" customWidth="1"/>
    <col min="3" max="3" width="23.88671875" bestFit="1" customWidth="1"/>
    <col min="4" max="4" width="24.44140625" bestFit="1" customWidth="1"/>
    <col min="5" max="5" width="17.6640625" bestFit="1" customWidth="1"/>
  </cols>
  <sheetData>
    <row r="1" spans="1:5" x14ac:dyDescent="0.3">
      <c r="A1" s="8" t="s">
        <v>739</v>
      </c>
      <c r="B1" s="8" t="s">
        <v>740</v>
      </c>
      <c r="C1" s="8" t="s">
        <v>741</v>
      </c>
      <c r="D1" s="8" t="s">
        <v>742</v>
      </c>
      <c r="E1" s="8" t="s">
        <v>4</v>
      </c>
    </row>
    <row r="2" spans="1:5" x14ac:dyDescent="0.3">
      <c r="A2" s="7" t="s">
        <v>32</v>
      </c>
      <c r="B2" s="3">
        <v>10</v>
      </c>
      <c r="C2" s="3" t="s">
        <v>28</v>
      </c>
      <c r="D2" s="3" t="s">
        <v>28</v>
      </c>
      <c r="E2" s="1" t="s">
        <v>511</v>
      </c>
    </row>
    <row r="3" spans="1:5" x14ac:dyDescent="0.3">
      <c r="A3" s="7" t="s">
        <v>278</v>
      </c>
      <c r="B3" s="3">
        <v>10</v>
      </c>
      <c r="C3" s="3" t="s">
        <v>28</v>
      </c>
      <c r="D3" s="3" t="s">
        <v>28</v>
      </c>
      <c r="E3" s="1" t="s">
        <v>20</v>
      </c>
    </row>
    <row r="4" spans="1:5" x14ac:dyDescent="0.3">
      <c r="A4" s="7" t="s">
        <v>39</v>
      </c>
      <c r="B4" s="3">
        <v>11</v>
      </c>
      <c r="C4" s="3" t="s">
        <v>28</v>
      </c>
      <c r="D4" s="3" t="s">
        <v>28</v>
      </c>
      <c r="E4" s="1" t="s">
        <v>20</v>
      </c>
    </row>
    <row r="5" spans="1:5" x14ac:dyDescent="0.3">
      <c r="A5" s="7" t="s">
        <v>42</v>
      </c>
      <c r="B5" s="3">
        <v>11</v>
      </c>
      <c r="C5" s="3" t="s">
        <v>28</v>
      </c>
      <c r="D5" s="3" t="s">
        <v>28</v>
      </c>
      <c r="E5" s="1" t="s">
        <v>511</v>
      </c>
    </row>
    <row r="6" spans="1:5" x14ac:dyDescent="0.3">
      <c r="A6" s="7" t="s">
        <v>288</v>
      </c>
      <c r="B6" s="3">
        <v>11</v>
      </c>
      <c r="C6" s="3" t="s">
        <v>28</v>
      </c>
      <c r="D6" s="3" t="s">
        <v>28</v>
      </c>
      <c r="E6" s="1" t="s">
        <v>20</v>
      </c>
    </row>
    <row r="7" spans="1:5" x14ac:dyDescent="0.3">
      <c r="A7" s="7" t="s">
        <v>294</v>
      </c>
      <c r="B7" s="3">
        <v>12</v>
      </c>
      <c r="C7" s="3" t="s">
        <v>28</v>
      </c>
      <c r="D7" s="3" t="s">
        <v>28</v>
      </c>
      <c r="E7" s="1" t="s">
        <v>20</v>
      </c>
    </row>
    <row r="8" spans="1:5" x14ac:dyDescent="0.3">
      <c r="A8" s="7" t="s">
        <v>296</v>
      </c>
      <c r="B8" s="3">
        <v>12</v>
      </c>
      <c r="C8" s="3" t="s">
        <v>28</v>
      </c>
      <c r="D8" s="3" t="s">
        <v>28</v>
      </c>
      <c r="E8" s="1" t="s">
        <v>20</v>
      </c>
    </row>
    <row r="9" spans="1:5" x14ac:dyDescent="0.3">
      <c r="A9" s="7" t="s">
        <v>49</v>
      </c>
      <c r="B9" s="3">
        <v>12</v>
      </c>
      <c r="C9" s="3" t="s">
        <v>24</v>
      </c>
      <c r="D9" s="3" t="s">
        <v>24</v>
      </c>
      <c r="E9" s="1" t="s">
        <v>511</v>
      </c>
    </row>
    <row r="10" spans="1:5" x14ac:dyDescent="0.3">
      <c r="A10" s="7" t="s">
        <v>306</v>
      </c>
      <c r="B10" s="3">
        <v>13</v>
      </c>
      <c r="C10" s="3" t="s">
        <v>24</v>
      </c>
      <c r="D10" s="3" t="s">
        <v>24</v>
      </c>
      <c r="E10" s="1" t="s">
        <v>511</v>
      </c>
    </row>
    <row r="11" spans="1:5" x14ac:dyDescent="0.3">
      <c r="A11" s="7" t="s">
        <v>307</v>
      </c>
      <c r="B11" s="3">
        <v>13</v>
      </c>
      <c r="C11" s="3" t="s">
        <v>24</v>
      </c>
      <c r="D11" s="3" t="s">
        <v>24</v>
      </c>
      <c r="E11" s="1" t="s">
        <v>20</v>
      </c>
    </row>
    <row r="12" spans="1:5" x14ac:dyDescent="0.3">
      <c r="A12" s="7" t="s">
        <v>311</v>
      </c>
      <c r="B12" s="3">
        <v>13</v>
      </c>
      <c r="C12" s="3" t="s">
        <v>24</v>
      </c>
      <c r="D12" s="3" t="s">
        <v>24</v>
      </c>
      <c r="E12" s="1" t="s">
        <v>20</v>
      </c>
    </row>
    <row r="13" spans="1:5" x14ac:dyDescent="0.3">
      <c r="A13" s="7" t="s">
        <v>313</v>
      </c>
      <c r="B13" s="3">
        <v>13</v>
      </c>
      <c r="C13" s="3" t="s">
        <v>24</v>
      </c>
      <c r="D13" s="3" t="s">
        <v>24</v>
      </c>
      <c r="E13" s="1" t="s">
        <v>511</v>
      </c>
    </row>
    <row r="14" spans="1:5" x14ac:dyDescent="0.3">
      <c r="A14" s="7" t="s">
        <v>318</v>
      </c>
      <c r="B14" s="3">
        <v>13</v>
      </c>
      <c r="C14" s="3" t="s">
        <v>28</v>
      </c>
      <c r="D14" s="3" t="s">
        <v>28</v>
      </c>
      <c r="E14" s="1" t="s">
        <v>511</v>
      </c>
    </row>
    <row r="15" spans="1:5" x14ac:dyDescent="0.3">
      <c r="A15" s="7" t="s">
        <v>320</v>
      </c>
      <c r="B15" s="3">
        <v>13</v>
      </c>
      <c r="C15" s="3" t="s">
        <v>28</v>
      </c>
      <c r="D15" s="3" t="s">
        <v>28</v>
      </c>
      <c r="E15" s="1" t="s">
        <v>20</v>
      </c>
    </row>
    <row r="16" spans="1:5" x14ac:dyDescent="0.3">
      <c r="A16" s="7" t="s">
        <v>321</v>
      </c>
      <c r="B16" s="3">
        <v>13</v>
      </c>
      <c r="C16" s="3" t="s">
        <v>24</v>
      </c>
      <c r="D16" s="3" t="s">
        <v>24</v>
      </c>
      <c r="E16" s="1" t="s">
        <v>511</v>
      </c>
    </row>
    <row r="17" spans="1:5" x14ac:dyDescent="0.3">
      <c r="A17" s="7" t="s">
        <v>537</v>
      </c>
      <c r="B17" s="3">
        <v>14</v>
      </c>
      <c r="C17" s="3" t="s">
        <v>28</v>
      </c>
      <c r="D17" s="3" t="s">
        <v>28</v>
      </c>
      <c r="E17" s="1" t="s">
        <v>511</v>
      </c>
    </row>
    <row r="18" spans="1:5" x14ac:dyDescent="0.3">
      <c r="A18" s="7" t="s">
        <v>323</v>
      </c>
      <c r="B18" s="3">
        <v>14</v>
      </c>
      <c r="C18" s="3" t="s">
        <v>28</v>
      </c>
      <c r="D18" s="3" t="s">
        <v>28</v>
      </c>
      <c r="E18" s="1" t="s">
        <v>20</v>
      </c>
    </row>
    <row r="19" spans="1:5" x14ac:dyDescent="0.3">
      <c r="A19" s="7" t="s">
        <v>19</v>
      </c>
      <c r="B19" s="3">
        <v>14</v>
      </c>
      <c r="C19" s="3" t="s">
        <v>35</v>
      </c>
      <c r="D19" s="3" t="s">
        <v>35</v>
      </c>
      <c r="E19" s="1" t="s">
        <v>511</v>
      </c>
    </row>
    <row r="20" spans="1:5" x14ac:dyDescent="0.3">
      <c r="A20" s="7" t="s">
        <v>325</v>
      </c>
      <c r="B20" s="3">
        <v>14</v>
      </c>
      <c r="C20" s="3" t="s">
        <v>28</v>
      </c>
      <c r="D20" s="3" t="s">
        <v>28</v>
      </c>
      <c r="E20" s="1" t="s">
        <v>20</v>
      </c>
    </row>
    <row r="21" spans="1:5" x14ac:dyDescent="0.3">
      <c r="A21" s="7" t="s">
        <v>70</v>
      </c>
      <c r="B21" s="3">
        <v>14</v>
      </c>
      <c r="C21" s="3" t="s">
        <v>24</v>
      </c>
      <c r="D21" s="3" t="s">
        <v>24</v>
      </c>
      <c r="E21" s="1" t="s">
        <v>20</v>
      </c>
    </row>
    <row r="22" spans="1:5" x14ac:dyDescent="0.3">
      <c r="A22" s="7" t="s">
        <v>743</v>
      </c>
      <c r="B22" s="3">
        <v>14</v>
      </c>
      <c r="C22" s="3" t="s">
        <v>28</v>
      </c>
      <c r="D22" s="3" t="s">
        <v>16</v>
      </c>
      <c r="E22" s="1" t="s">
        <v>20</v>
      </c>
    </row>
    <row r="23" spans="1:5" x14ac:dyDescent="0.3">
      <c r="A23" s="7" t="s">
        <v>326</v>
      </c>
      <c r="B23" s="3">
        <v>14</v>
      </c>
      <c r="C23" s="3" t="s">
        <v>24</v>
      </c>
      <c r="D23" s="3" t="s">
        <v>24</v>
      </c>
      <c r="E23" s="1" t="s">
        <v>511</v>
      </c>
    </row>
    <row r="24" spans="1:5" x14ac:dyDescent="0.3">
      <c r="A24" s="7" t="s">
        <v>534</v>
      </c>
      <c r="B24" s="3">
        <v>14</v>
      </c>
      <c r="C24" s="3" t="s">
        <v>24</v>
      </c>
      <c r="D24" s="3" t="s">
        <v>24</v>
      </c>
      <c r="E24" s="1" t="s">
        <v>511</v>
      </c>
    </row>
    <row r="25" spans="1:5" x14ac:dyDescent="0.3">
      <c r="A25" s="7" t="s">
        <v>71</v>
      </c>
      <c r="B25" s="3">
        <v>14</v>
      </c>
      <c r="C25" s="3" t="s">
        <v>35</v>
      </c>
      <c r="D25" s="3" t="s">
        <v>35</v>
      </c>
      <c r="E25" s="1" t="s">
        <v>511</v>
      </c>
    </row>
    <row r="26" spans="1:5" x14ac:dyDescent="0.3">
      <c r="A26" s="7" t="s">
        <v>327</v>
      </c>
      <c r="B26" s="3">
        <v>14</v>
      </c>
      <c r="C26" s="3" t="s">
        <v>24</v>
      </c>
      <c r="D26" s="3" t="s">
        <v>24</v>
      </c>
      <c r="E26" s="1" t="s">
        <v>511</v>
      </c>
    </row>
    <row r="27" spans="1:5" x14ac:dyDescent="0.3">
      <c r="A27" s="7" t="s">
        <v>531</v>
      </c>
      <c r="B27" s="3">
        <v>14</v>
      </c>
      <c r="C27" s="3" t="s">
        <v>24</v>
      </c>
      <c r="D27" s="3" t="s">
        <v>24</v>
      </c>
      <c r="E27" s="1" t="s">
        <v>20</v>
      </c>
    </row>
    <row r="28" spans="1:5" x14ac:dyDescent="0.3">
      <c r="A28" s="7" t="s">
        <v>85</v>
      </c>
      <c r="B28" s="3">
        <v>14</v>
      </c>
      <c r="C28" s="3" t="s">
        <v>28</v>
      </c>
      <c r="D28" s="3" t="s">
        <v>28</v>
      </c>
      <c r="E28" s="1" t="s">
        <v>20</v>
      </c>
    </row>
    <row r="29" spans="1:5" x14ac:dyDescent="0.3">
      <c r="A29" s="7" t="s">
        <v>328</v>
      </c>
      <c r="B29" s="3">
        <v>14</v>
      </c>
      <c r="C29" s="3" t="s">
        <v>28</v>
      </c>
      <c r="D29" s="3" t="s">
        <v>28</v>
      </c>
      <c r="E29" s="1" t="s">
        <v>511</v>
      </c>
    </row>
    <row r="30" spans="1:5" x14ac:dyDescent="0.3">
      <c r="A30" s="7" t="s">
        <v>329</v>
      </c>
      <c r="B30" s="3">
        <v>14</v>
      </c>
      <c r="C30" s="3" t="s">
        <v>24</v>
      </c>
      <c r="D30" s="3" t="s">
        <v>24</v>
      </c>
      <c r="E30" s="1" t="s">
        <v>511</v>
      </c>
    </row>
    <row r="31" spans="1:5" x14ac:dyDescent="0.3">
      <c r="A31" s="7" t="s">
        <v>530</v>
      </c>
      <c r="B31" s="3">
        <v>14</v>
      </c>
      <c r="C31" s="3" t="s">
        <v>28</v>
      </c>
      <c r="D31" s="3" t="s">
        <v>28</v>
      </c>
      <c r="E31" s="1" t="s">
        <v>20</v>
      </c>
    </row>
    <row r="32" spans="1:5" x14ac:dyDescent="0.3">
      <c r="A32" s="7" t="s">
        <v>330</v>
      </c>
      <c r="B32" s="3">
        <v>14</v>
      </c>
      <c r="C32" s="3" t="s">
        <v>28</v>
      </c>
      <c r="D32" s="3" t="s">
        <v>28</v>
      </c>
      <c r="E32" s="1" t="s">
        <v>511</v>
      </c>
    </row>
    <row r="33" spans="1:5" x14ac:dyDescent="0.3">
      <c r="A33" s="7" t="s">
        <v>331</v>
      </c>
      <c r="B33" s="3">
        <v>14</v>
      </c>
      <c r="C33" s="3" t="s">
        <v>28</v>
      </c>
      <c r="D33" s="3" t="s">
        <v>28</v>
      </c>
      <c r="E33" s="1" t="s">
        <v>20</v>
      </c>
    </row>
    <row r="34" spans="1:5" x14ac:dyDescent="0.3">
      <c r="A34" s="7" t="s">
        <v>84</v>
      </c>
      <c r="B34" s="3">
        <v>14</v>
      </c>
      <c r="C34" s="3" t="s">
        <v>24</v>
      </c>
      <c r="D34" s="3" t="s">
        <v>24</v>
      </c>
      <c r="E34" s="1" t="s">
        <v>511</v>
      </c>
    </row>
    <row r="35" spans="1:5" x14ac:dyDescent="0.3">
      <c r="A35" s="7" t="s">
        <v>155</v>
      </c>
      <c r="B35" s="3">
        <v>14</v>
      </c>
      <c r="C35" s="3" t="s">
        <v>35</v>
      </c>
      <c r="D35" s="3" t="s">
        <v>35</v>
      </c>
      <c r="E35" s="1" t="s">
        <v>20</v>
      </c>
    </row>
    <row r="36" spans="1:5" x14ac:dyDescent="0.3">
      <c r="A36" s="7" t="s">
        <v>74</v>
      </c>
      <c r="B36" s="3">
        <v>14</v>
      </c>
      <c r="C36" s="3" t="s">
        <v>28</v>
      </c>
      <c r="D36" s="3" t="s">
        <v>28</v>
      </c>
      <c r="E36" s="1" t="s">
        <v>20</v>
      </c>
    </row>
    <row r="37" spans="1:5" x14ac:dyDescent="0.3">
      <c r="A37" s="40" t="s">
        <v>333</v>
      </c>
      <c r="B37" s="41">
        <v>15</v>
      </c>
      <c r="C37" s="3" t="s">
        <v>16</v>
      </c>
      <c r="D37" s="3" t="s">
        <v>16</v>
      </c>
      <c r="E37" s="1" t="s">
        <v>511</v>
      </c>
    </row>
    <row r="38" spans="1:5" x14ac:dyDescent="0.3">
      <c r="A38" s="40" t="s">
        <v>334</v>
      </c>
      <c r="B38" s="41">
        <v>15</v>
      </c>
      <c r="C38" s="3" t="s">
        <v>28</v>
      </c>
      <c r="D38" s="3" t="s">
        <v>28</v>
      </c>
      <c r="E38" s="1" t="s">
        <v>20</v>
      </c>
    </row>
    <row r="39" spans="1:5" x14ac:dyDescent="0.3">
      <c r="A39" s="40" t="s">
        <v>336</v>
      </c>
      <c r="B39" s="41">
        <v>15</v>
      </c>
      <c r="C39" s="3" t="s">
        <v>28</v>
      </c>
      <c r="D39" s="3" t="s">
        <v>28</v>
      </c>
      <c r="E39" s="1" t="s">
        <v>511</v>
      </c>
    </row>
    <row r="40" spans="1:5" x14ac:dyDescent="0.3">
      <c r="A40" s="40" t="s">
        <v>96</v>
      </c>
      <c r="B40" s="41">
        <v>15</v>
      </c>
      <c r="C40" s="3" t="s">
        <v>28</v>
      </c>
      <c r="D40" s="3" t="s">
        <v>28</v>
      </c>
      <c r="E40" s="1" t="s">
        <v>20</v>
      </c>
    </row>
    <row r="41" spans="1:5" x14ac:dyDescent="0.3">
      <c r="A41" s="40" t="s">
        <v>744</v>
      </c>
      <c r="B41" s="41">
        <v>15</v>
      </c>
      <c r="C41" s="3" t="s">
        <v>24</v>
      </c>
      <c r="D41" s="3" t="s">
        <v>24</v>
      </c>
      <c r="E41" s="1" t="s">
        <v>511</v>
      </c>
    </row>
    <row r="42" spans="1:5" x14ac:dyDescent="0.3">
      <c r="A42" s="40" t="s">
        <v>340</v>
      </c>
      <c r="B42" s="41">
        <v>15</v>
      </c>
      <c r="C42" s="3" t="s">
        <v>24</v>
      </c>
      <c r="D42" s="3" t="s">
        <v>24</v>
      </c>
      <c r="E42" s="1" t="s">
        <v>20</v>
      </c>
    </row>
    <row r="43" spans="1:5" x14ac:dyDescent="0.3">
      <c r="A43" s="46" t="s">
        <v>745</v>
      </c>
      <c r="B43" s="47">
        <v>16</v>
      </c>
      <c r="C43" s="48" t="s">
        <v>24</v>
      </c>
      <c r="D43" s="48" t="s">
        <v>24</v>
      </c>
      <c r="E43" s="33" t="s">
        <v>511</v>
      </c>
    </row>
    <row r="44" spans="1:5" x14ac:dyDescent="0.3">
      <c r="A44" s="44" t="s">
        <v>105</v>
      </c>
      <c r="B44" s="45">
        <v>16</v>
      </c>
      <c r="C44" s="14" t="s">
        <v>28</v>
      </c>
      <c r="D44" s="14" t="s">
        <v>28</v>
      </c>
      <c r="E44" s="9" t="s">
        <v>20</v>
      </c>
    </row>
    <row r="45" spans="1:5" x14ac:dyDescent="0.3">
      <c r="A45" s="44" t="s">
        <v>1</v>
      </c>
      <c r="B45" s="45">
        <v>16</v>
      </c>
      <c r="C45" s="14" t="s">
        <v>16</v>
      </c>
      <c r="D45" s="14" t="s">
        <v>28</v>
      </c>
      <c r="E45" s="9" t="s">
        <v>511</v>
      </c>
    </row>
    <row r="46" spans="1:5" x14ac:dyDescent="0.3">
      <c r="A46" s="44" t="s">
        <v>746</v>
      </c>
      <c r="B46" s="45">
        <v>16</v>
      </c>
      <c r="C46" s="14" t="s">
        <v>24</v>
      </c>
      <c r="D46" s="14" t="s">
        <v>24</v>
      </c>
      <c r="E46" s="9" t="s">
        <v>511</v>
      </c>
    </row>
    <row r="47" spans="1:5" x14ac:dyDescent="0.3">
      <c r="A47" s="44" t="s">
        <v>363</v>
      </c>
      <c r="B47" s="45">
        <v>16</v>
      </c>
      <c r="C47" s="14" t="s">
        <v>28</v>
      </c>
      <c r="D47" s="14" t="s">
        <v>28</v>
      </c>
      <c r="E47" s="9" t="s">
        <v>20</v>
      </c>
    </row>
    <row r="48" spans="1:5" x14ac:dyDescent="0.3">
      <c r="A48" s="44" t="s">
        <v>747</v>
      </c>
      <c r="B48" s="45">
        <v>16</v>
      </c>
      <c r="C48" s="14" t="s">
        <v>28</v>
      </c>
      <c r="D48" s="14" t="s">
        <v>16</v>
      </c>
      <c r="E48" s="9" t="s">
        <v>511</v>
      </c>
    </row>
    <row r="49" spans="1:5" x14ac:dyDescent="0.3">
      <c r="A49" s="49" t="s">
        <v>748</v>
      </c>
      <c r="B49" s="50"/>
      <c r="C49" s="5" t="s">
        <v>28</v>
      </c>
      <c r="D49" s="5" t="s">
        <v>16</v>
      </c>
      <c r="E49" s="9" t="s">
        <v>511</v>
      </c>
    </row>
    <row r="50" spans="1:5" x14ac:dyDescent="0.3">
      <c r="A50" s="49" t="s">
        <v>749</v>
      </c>
      <c r="B50" s="50"/>
      <c r="C50" s="5" t="s">
        <v>16</v>
      </c>
      <c r="D50" s="5" t="s">
        <v>28</v>
      </c>
      <c r="E50" s="9" t="s">
        <v>511</v>
      </c>
    </row>
    <row r="51" spans="1:5" x14ac:dyDescent="0.3">
      <c r="A51" s="49"/>
      <c r="B51" s="50"/>
      <c r="C51" s="5"/>
      <c r="D51" s="5"/>
    </row>
    <row r="52" spans="1:5" x14ac:dyDescent="0.3">
      <c r="A52" s="49"/>
      <c r="B52" s="50"/>
      <c r="C52" s="5"/>
      <c r="D52" s="5"/>
    </row>
    <row r="54" spans="1:5" ht="21" x14ac:dyDescent="0.4">
      <c r="A54" s="365" t="s">
        <v>211</v>
      </c>
      <c r="B54" s="365"/>
      <c r="C54" s="11">
        <f>+COUNTIF(C2:C50,"ok")</f>
        <v>3</v>
      </c>
      <c r="D54" s="11">
        <f>+COUNTIF(D2:D50,"ok")</f>
        <v>4</v>
      </c>
    </row>
  </sheetData>
  <autoFilter ref="A1:E47" xr:uid="{8CC9BC97-C9D6-4F7B-82B5-6DE4D6574A99}">
    <sortState xmlns:xlrd2="http://schemas.microsoft.com/office/spreadsheetml/2017/richdata2" ref="A2:E47">
      <sortCondition ref="B2:B47"/>
      <sortCondition ref="A2:A47"/>
    </sortState>
  </autoFilter>
  <mergeCells count="1">
    <mergeCell ref="A54:B5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4FD58-F896-4449-B5B3-97E51729B509}">
  <sheetPr filterMode="1">
    <tabColor rgb="FFFFFF00"/>
  </sheetPr>
  <dimension ref="A1:H70"/>
  <sheetViews>
    <sheetView topLeftCell="A25" workbookViewId="0">
      <selection activeCell="A34" sqref="A34"/>
    </sheetView>
  </sheetViews>
  <sheetFormatPr baseColWidth="10" defaultColWidth="137.33203125" defaultRowHeight="14.4" x14ac:dyDescent="0.3"/>
  <cols>
    <col min="1" max="1" width="35.5546875" customWidth="1"/>
    <col min="2" max="2" width="12.33203125" bestFit="1" customWidth="1"/>
    <col min="3" max="3" width="16.5546875" bestFit="1" customWidth="1"/>
    <col min="4" max="4" width="10.5546875" bestFit="1" customWidth="1"/>
    <col min="5" max="5" width="87.6640625" bestFit="1" customWidth="1"/>
    <col min="6" max="6" width="8.33203125" customWidth="1"/>
    <col min="7" max="7" width="32.6640625" bestFit="1" customWidth="1"/>
  </cols>
  <sheetData>
    <row r="1" spans="1:8" ht="15.6" x14ac:dyDescent="0.3">
      <c r="A1" s="31" t="s">
        <v>0</v>
      </c>
      <c r="B1" s="359" t="s">
        <v>750</v>
      </c>
      <c r="C1" s="359"/>
      <c r="D1" s="359"/>
      <c r="E1" s="359"/>
      <c r="F1" s="32"/>
      <c r="G1" s="1"/>
    </row>
    <row r="2" spans="1:8" x14ac:dyDescent="0.3">
      <c r="A2" s="30" t="s">
        <v>2</v>
      </c>
      <c r="B2" s="2" t="s">
        <v>3</v>
      </c>
      <c r="C2" s="30" t="s">
        <v>4</v>
      </c>
      <c r="D2" s="2" t="s">
        <v>5</v>
      </c>
      <c r="E2" s="30" t="s">
        <v>6</v>
      </c>
      <c r="F2" s="30" t="s">
        <v>7</v>
      </c>
      <c r="G2" s="30" t="s">
        <v>504</v>
      </c>
    </row>
    <row r="3" spans="1:8" hidden="1" x14ac:dyDescent="0.3">
      <c r="A3" s="7" t="s">
        <v>718</v>
      </c>
      <c r="B3" s="27">
        <v>4</v>
      </c>
      <c r="C3" s="7" t="s">
        <v>20</v>
      </c>
      <c r="D3" s="54" t="s">
        <v>16</v>
      </c>
      <c r="E3" s="30"/>
      <c r="F3" s="1" t="s">
        <v>751</v>
      </c>
      <c r="G3" s="1" t="str">
        <f t="shared" ref="G3:G17" si="0">+A3</f>
        <v>VIVIANA ALCANTARA MAURTUA</v>
      </c>
      <c r="H3" t="str">
        <f>+CONCATENATE(G3," &amp; ", G4)</f>
        <v>VIVIANA ALCANTARA MAURTUA &amp; TONNY GUTIERREZ</v>
      </c>
    </row>
    <row r="4" spans="1:8" hidden="1" x14ac:dyDescent="0.3">
      <c r="A4" s="1" t="s">
        <v>750</v>
      </c>
      <c r="B4" s="27">
        <v>8</v>
      </c>
      <c r="C4" s="1" t="s">
        <v>20</v>
      </c>
      <c r="D4" s="28" t="s">
        <v>0</v>
      </c>
      <c r="E4" s="1"/>
      <c r="F4" s="1" t="s">
        <v>467</v>
      </c>
      <c r="G4" s="1" t="str">
        <f t="shared" si="0"/>
        <v>TONNY GUTIERREZ</v>
      </c>
    </row>
    <row r="5" spans="1:8" hidden="1" x14ac:dyDescent="0.3">
      <c r="A5" s="1" t="s">
        <v>752</v>
      </c>
      <c r="B5" s="27">
        <v>8</v>
      </c>
      <c r="C5" s="1" t="s">
        <v>511</v>
      </c>
      <c r="D5" s="28" t="s">
        <v>16</v>
      </c>
      <c r="E5" s="1"/>
      <c r="F5" s="1" t="s">
        <v>751</v>
      </c>
      <c r="G5" s="1" t="str">
        <f t="shared" si="0"/>
        <v xml:space="preserve">ELVIS CUELLAR </v>
      </c>
      <c r="H5" t="str">
        <f>+CONCATENATE(G5," &amp; ", G6)</f>
        <v>ELVIS CUELLAR  &amp; MARIA VERONICA JIMENEZ VASQUEZ</v>
      </c>
    </row>
    <row r="6" spans="1:8" hidden="1" x14ac:dyDescent="0.3">
      <c r="A6" s="1" t="s">
        <v>318</v>
      </c>
      <c r="B6" s="27">
        <v>13</v>
      </c>
      <c r="C6" s="1" t="s">
        <v>511</v>
      </c>
      <c r="D6" s="28" t="s">
        <v>16</v>
      </c>
      <c r="E6" s="1" t="s">
        <v>753</v>
      </c>
      <c r="F6" s="1" t="s">
        <v>754</v>
      </c>
      <c r="G6" s="1" t="str">
        <f t="shared" si="0"/>
        <v>MARIA VERONICA JIMENEZ VASQUEZ</v>
      </c>
    </row>
    <row r="7" spans="1:8" hidden="1" x14ac:dyDescent="0.3">
      <c r="A7" s="1" t="s">
        <v>32</v>
      </c>
      <c r="B7" s="27">
        <v>10</v>
      </c>
      <c r="C7" s="1" t="s">
        <v>511</v>
      </c>
      <c r="D7" s="28" t="s">
        <v>16</v>
      </c>
      <c r="E7" s="1"/>
      <c r="F7" s="1" t="s">
        <v>467</v>
      </c>
      <c r="G7" s="1" t="str">
        <f t="shared" si="0"/>
        <v>JOSÉ BLADIMER RAMOS SIQUEROS</v>
      </c>
      <c r="H7" t="str">
        <f>+CONCATENATE(G7," &amp; ", G8)</f>
        <v>JOSÉ BLADIMER RAMOS SIQUEROS &amp; ZARA CASTILLO LEON</v>
      </c>
    </row>
    <row r="8" spans="1:8" hidden="1" x14ac:dyDescent="0.3">
      <c r="A8" s="1" t="s">
        <v>755</v>
      </c>
      <c r="B8" s="27">
        <v>12</v>
      </c>
      <c r="C8" s="1" t="s">
        <v>20</v>
      </c>
      <c r="D8" s="28" t="s">
        <v>16</v>
      </c>
      <c r="E8" s="1"/>
      <c r="F8" s="1" t="s">
        <v>754</v>
      </c>
      <c r="G8" s="1" t="str">
        <f t="shared" si="0"/>
        <v>ZARA CASTILLO LEON</v>
      </c>
    </row>
    <row r="9" spans="1:8" hidden="1" x14ac:dyDescent="0.3">
      <c r="A9" s="1" t="s">
        <v>756</v>
      </c>
      <c r="B9" s="27">
        <v>12</v>
      </c>
      <c r="C9" s="1" t="s">
        <v>20</v>
      </c>
      <c r="D9" s="28" t="s">
        <v>16</v>
      </c>
      <c r="E9" s="1"/>
      <c r="F9" s="1" t="s">
        <v>467</v>
      </c>
      <c r="G9" s="1" t="str">
        <f t="shared" si="0"/>
        <v>LIDIA TRUJILLO GUTIERREZ</v>
      </c>
      <c r="H9" t="str">
        <f>+CONCATENATE(G9," &amp; ", G10)</f>
        <v>LIDIA TRUJILLO GUTIERREZ &amp; ROBERTO  CONDEZO</v>
      </c>
    </row>
    <row r="10" spans="1:8" hidden="1" x14ac:dyDescent="0.3">
      <c r="A10" s="1" t="s">
        <v>757</v>
      </c>
      <c r="B10" s="27">
        <v>12</v>
      </c>
      <c r="C10" s="1" t="s">
        <v>20</v>
      </c>
      <c r="D10" s="28" t="s">
        <v>16</v>
      </c>
      <c r="E10" s="1"/>
      <c r="F10" s="1" t="s">
        <v>758</v>
      </c>
      <c r="G10" s="1" t="str">
        <f t="shared" si="0"/>
        <v>ROBERTO  CONDEZO</v>
      </c>
    </row>
    <row r="11" spans="1:8" hidden="1" x14ac:dyDescent="0.3">
      <c r="A11" s="1" t="s">
        <v>759</v>
      </c>
      <c r="B11" s="27">
        <v>12</v>
      </c>
      <c r="C11" s="1" t="s">
        <v>20</v>
      </c>
      <c r="D11" s="28" t="s">
        <v>16</v>
      </c>
      <c r="E11" s="1"/>
      <c r="F11" s="1" t="s">
        <v>758</v>
      </c>
      <c r="G11" s="1" t="str">
        <f t="shared" si="0"/>
        <v>LUISA PEREZ CHINCHAY</v>
      </c>
      <c r="H11" t="str">
        <f>+CONCATENATE(G11," &amp; ", G12)</f>
        <v>LUISA PEREZ CHINCHAY &amp; RAQUEL RIVEROS RAMOS</v>
      </c>
    </row>
    <row r="12" spans="1:8" hidden="1" x14ac:dyDescent="0.3">
      <c r="A12" s="1" t="s">
        <v>62</v>
      </c>
      <c r="B12" s="27">
        <v>13</v>
      </c>
      <c r="C12" s="1" t="s">
        <v>20</v>
      </c>
      <c r="D12" s="28" t="s">
        <v>16</v>
      </c>
      <c r="E12" s="1"/>
      <c r="F12" s="1" t="s">
        <v>751</v>
      </c>
      <c r="G12" s="1" t="str">
        <f t="shared" si="0"/>
        <v>RAQUEL RIVEROS RAMOS</v>
      </c>
    </row>
    <row r="13" spans="1:8" hidden="1" x14ac:dyDescent="0.3">
      <c r="A13" s="1" t="s">
        <v>743</v>
      </c>
      <c r="B13" s="27">
        <v>14</v>
      </c>
      <c r="C13" s="1" t="s">
        <v>20</v>
      </c>
      <c r="D13" s="28" t="s">
        <v>16</v>
      </c>
      <c r="E13" s="1"/>
      <c r="F13" s="1" t="s">
        <v>754</v>
      </c>
      <c r="G13" s="1" t="str">
        <f t="shared" si="0"/>
        <v>GARETH SAID RAMOS PÉREZ</v>
      </c>
      <c r="H13" t="str">
        <f>+CONCATENATE(G13," &amp; ", G14)</f>
        <v>GARETH SAID RAMOS PÉREZ &amp; ROCIO AYVAR VEGA</v>
      </c>
    </row>
    <row r="14" spans="1:8" hidden="1" x14ac:dyDescent="0.3">
      <c r="A14" s="1" t="s">
        <v>331</v>
      </c>
      <c r="B14" s="27">
        <v>14</v>
      </c>
      <c r="C14" s="1" t="s">
        <v>20</v>
      </c>
      <c r="D14" s="28" t="s">
        <v>16</v>
      </c>
      <c r="E14" s="1"/>
      <c r="F14" s="1" t="s">
        <v>467</v>
      </c>
      <c r="G14" s="1" t="str">
        <f t="shared" si="0"/>
        <v>ROCIO AYVAR VEGA</v>
      </c>
    </row>
    <row r="15" spans="1:8" hidden="1" x14ac:dyDescent="0.3">
      <c r="A15" s="1" t="s">
        <v>328</v>
      </c>
      <c r="B15" s="27">
        <v>14</v>
      </c>
      <c r="C15" s="1" t="s">
        <v>511</v>
      </c>
      <c r="D15" s="28" t="s">
        <v>16</v>
      </c>
      <c r="E15" s="1"/>
      <c r="F15" s="1" t="s">
        <v>758</v>
      </c>
      <c r="G15" s="1" t="str">
        <f t="shared" si="0"/>
        <v>PIERO ALESSANDRO PORTAL PASQUEL</v>
      </c>
      <c r="H15" t="str">
        <f>+CONCATENATE(G15," &amp; ", G16," &amp; ",G17)</f>
        <v>PIERO ALESSANDRO PORTAL PASQUEL &amp; CRISTINA MARTINEZ &amp; JOYCE MARIN</v>
      </c>
    </row>
    <row r="16" spans="1:8" hidden="1" x14ac:dyDescent="0.3">
      <c r="A16" s="1" t="s">
        <v>760</v>
      </c>
      <c r="B16" s="27" t="s">
        <v>761</v>
      </c>
      <c r="C16" s="1" t="s">
        <v>511</v>
      </c>
      <c r="D16" s="28" t="s">
        <v>16</v>
      </c>
      <c r="E16" s="1"/>
      <c r="F16" s="1" t="s">
        <v>758</v>
      </c>
      <c r="G16" s="1" t="str">
        <f t="shared" si="0"/>
        <v>CRISTINA MARTINEZ</v>
      </c>
    </row>
    <row r="17" spans="1:8" hidden="1" x14ac:dyDescent="0.3">
      <c r="A17" s="1" t="s">
        <v>381</v>
      </c>
      <c r="B17" s="27" t="s">
        <v>762</v>
      </c>
      <c r="C17" s="1" t="s">
        <v>79</v>
      </c>
      <c r="D17" s="28" t="s">
        <v>16</v>
      </c>
      <c r="E17" s="1"/>
      <c r="F17" s="1" t="s">
        <v>754</v>
      </c>
      <c r="G17" s="1" t="str">
        <f t="shared" si="0"/>
        <v>JOYCE MARIN</v>
      </c>
    </row>
    <row r="18" spans="1:8" x14ac:dyDescent="0.3">
      <c r="A18" s="1" t="s">
        <v>294</v>
      </c>
      <c r="B18" s="27">
        <v>12</v>
      </c>
      <c r="C18" s="1" t="s">
        <v>20</v>
      </c>
      <c r="D18" s="28" t="s">
        <v>24</v>
      </c>
      <c r="E18" s="1"/>
      <c r="F18" s="1"/>
      <c r="G18" s="1"/>
    </row>
    <row r="19" spans="1:8" x14ac:dyDescent="0.3">
      <c r="A19" s="1" t="s">
        <v>311</v>
      </c>
      <c r="B19" s="27">
        <v>13</v>
      </c>
      <c r="C19" s="1" t="s">
        <v>20</v>
      </c>
      <c r="D19" s="28" t="s">
        <v>24</v>
      </c>
      <c r="E19" s="1" t="s">
        <v>763</v>
      </c>
      <c r="F19" s="1"/>
      <c r="G19" s="1" t="s">
        <v>754</v>
      </c>
      <c r="H19" t="str">
        <f>+CONCATENATE(G19," &amp; ", G20)</f>
        <v xml:space="preserve">JORGE &amp; MANUEL </v>
      </c>
    </row>
    <row r="20" spans="1:8" x14ac:dyDescent="0.3">
      <c r="A20" s="1" t="s">
        <v>531</v>
      </c>
      <c r="B20" s="27">
        <v>14</v>
      </c>
      <c r="C20" s="1" t="s">
        <v>20</v>
      </c>
      <c r="D20" s="28" t="s">
        <v>24</v>
      </c>
      <c r="E20" s="1"/>
      <c r="F20" s="1"/>
      <c r="G20" s="1" t="s">
        <v>764</v>
      </c>
    </row>
    <row r="21" spans="1:8" x14ac:dyDescent="0.3">
      <c r="A21" s="1" t="s">
        <v>325</v>
      </c>
      <c r="B21" s="27">
        <v>14</v>
      </c>
      <c r="C21" s="1" t="s">
        <v>20</v>
      </c>
      <c r="D21" s="28" t="s">
        <v>24</v>
      </c>
      <c r="E21" s="1"/>
      <c r="F21" s="1"/>
      <c r="G21" s="1" t="s">
        <v>726</v>
      </c>
      <c r="H21" t="str">
        <f>+CONCATENATE(G21," &amp; ", G22)</f>
        <v>LEYLA  &amp; ROSE</v>
      </c>
    </row>
    <row r="22" spans="1:8" x14ac:dyDescent="0.3">
      <c r="A22" s="1" t="s">
        <v>252</v>
      </c>
      <c r="B22" s="27">
        <v>5</v>
      </c>
      <c r="C22" s="1" t="s">
        <v>511</v>
      </c>
      <c r="D22" s="28" t="s">
        <v>24</v>
      </c>
      <c r="E22" s="1"/>
      <c r="F22" s="1"/>
      <c r="G22" s="1" t="s">
        <v>751</v>
      </c>
    </row>
    <row r="23" spans="1:8" x14ac:dyDescent="0.3">
      <c r="A23" s="1" t="s">
        <v>262</v>
      </c>
      <c r="B23" s="27">
        <v>8</v>
      </c>
      <c r="C23" s="1" t="s">
        <v>511</v>
      </c>
      <c r="D23" s="28" t="s">
        <v>24</v>
      </c>
      <c r="E23" s="1"/>
      <c r="F23" s="1"/>
      <c r="G23" s="1"/>
      <c r="H23" s="28"/>
    </row>
    <row r="24" spans="1:8" x14ac:dyDescent="0.3">
      <c r="A24" s="1" t="s">
        <v>264</v>
      </c>
      <c r="B24" s="27">
        <v>8</v>
      </c>
      <c r="C24" s="1" t="s">
        <v>511</v>
      </c>
      <c r="D24" s="28" t="s">
        <v>24</v>
      </c>
      <c r="E24" s="1"/>
      <c r="F24" s="1"/>
      <c r="G24" s="1"/>
      <c r="H24" s="28"/>
    </row>
    <row r="25" spans="1:8" x14ac:dyDescent="0.3">
      <c r="A25" s="1" t="s">
        <v>269</v>
      </c>
      <c r="B25" s="27">
        <v>9</v>
      </c>
      <c r="C25" s="1" t="s">
        <v>511</v>
      </c>
      <c r="D25" s="28" t="s">
        <v>24</v>
      </c>
      <c r="E25" s="1"/>
      <c r="F25" s="1"/>
      <c r="G25" s="1"/>
    </row>
    <row r="26" spans="1:8" x14ac:dyDescent="0.3">
      <c r="A26" s="1" t="s">
        <v>303</v>
      </c>
      <c r="B26" s="27">
        <v>12</v>
      </c>
      <c r="C26" s="1" t="s">
        <v>511</v>
      </c>
      <c r="D26" s="28" t="s">
        <v>24</v>
      </c>
      <c r="E26" s="1"/>
      <c r="F26" s="1"/>
      <c r="G26" s="1"/>
    </row>
    <row r="27" spans="1:8" x14ac:dyDescent="0.3">
      <c r="A27" s="1" t="s">
        <v>313</v>
      </c>
      <c r="B27" s="27">
        <v>13</v>
      </c>
      <c r="C27" s="1" t="s">
        <v>511</v>
      </c>
      <c r="D27" s="28" t="s">
        <v>24</v>
      </c>
      <c r="E27" s="1"/>
      <c r="F27" s="1"/>
      <c r="G27" s="1"/>
    </row>
    <row r="28" spans="1:8" x14ac:dyDescent="0.3">
      <c r="A28" s="1" t="s">
        <v>316</v>
      </c>
      <c r="B28" s="27">
        <v>13</v>
      </c>
      <c r="C28" s="1" t="s">
        <v>511</v>
      </c>
      <c r="D28" s="28" t="s">
        <v>24</v>
      </c>
      <c r="E28" s="1"/>
      <c r="F28" s="1"/>
      <c r="G28" s="1"/>
    </row>
    <row r="29" spans="1:8" x14ac:dyDescent="0.3">
      <c r="A29" s="1" t="s">
        <v>321</v>
      </c>
      <c r="B29" s="27">
        <v>13</v>
      </c>
      <c r="C29" s="1" t="s">
        <v>511</v>
      </c>
      <c r="D29" s="28" t="s">
        <v>24</v>
      </c>
      <c r="E29" s="1"/>
      <c r="F29" s="1"/>
      <c r="G29" s="1"/>
    </row>
    <row r="30" spans="1:8" x14ac:dyDescent="0.3">
      <c r="A30" s="1" t="s">
        <v>84</v>
      </c>
      <c r="B30" s="27">
        <v>14</v>
      </c>
      <c r="C30" s="1" t="s">
        <v>511</v>
      </c>
      <c r="D30" s="28" t="s">
        <v>24</v>
      </c>
      <c r="E30" s="1"/>
      <c r="F30" s="1"/>
      <c r="G30" s="1"/>
    </row>
    <row r="31" spans="1:8" x14ac:dyDescent="0.3">
      <c r="A31" s="1" t="s">
        <v>326</v>
      </c>
      <c r="B31" s="27">
        <v>14</v>
      </c>
      <c r="C31" s="1" t="s">
        <v>511</v>
      </c>
      <c r="D31" s="28" t="s">
        <v>24</v>
      </c>
      <c r="E31" s="1"/>
      <c r="F31" s="1"/>
      <c r="G31" s="1"/>
    </row>
    <row r="32" spans="1:8" x14ac:dyDescent="0.3">
      <c r="A32" s="1" t="s">
        <v>534</v>
      </c>
      <c r="B32" s="27">
        <v>14</v>
      </c>
      <c r="C32" s="1" t="s">
        <v>511</v>
      </c>
      <c r="D32" s="28" t="s">
        <v>24</v>
      </c>
      <c r="E32" s="1"/>
      <c r="F32" s="1"/>
      <c r="G32" s="1"/>
    </row>
    <row r="33" spans="1:7" x14ac:dyDescent="0.3">
      <c r="A33" s="1" t="s">
        <v>329</v>
      </c>
      <c r="B33" s="27">
        <v>14</v>
      </c>
      <c r="C33" s="1" t="s">
        <v>511</v>
      </c>
      <c r="D33" s="28" t="s">
        <v>24</v>
      </c>
      <c r="E33" s="1"/>
      <c r="F33" s="1"/>
      <c r="G33" s="1"/>
    </row>
    <row r="34" spans="1:7" x14ac:dyDescent="0.3">
      <c r="A34" s="1" t="s">
        <v>19</v>
      </c>
      <c r="B34" s="27">
        <v>14</v>
      </c>
      <c r="C34" s="1" t="s">
        <v>511</v>
      </c>
      <c r="D34" s="28" t="s">
        <v>24</v>
      </c>
      <c r="E34" s="1"/>
      <c r="F34" s="1"/>
      <c r="G34" s="1"/>
    </row>
    <row r="35" spans="1:7" x14ac:dyDescent="0.3">
      <c r="A35" s="1" t="s">
        <v>71</v>
      </c>
      <c r="B35" s="27">
        <v>14</v>
      </c>
      <c r="C35" s="1" t="s">
        <v>511</v>
      </c>
      <c r="D35" s="28" t="s">
        <v>24</v>
      </c>
      <c r="E35" s="1"/>
      <c r="F35" s="1"/>
      <c r="G35" s="1"/>
    </row>
    <row r="36" spans="1:7" hidden="1" x14ac:dyDescent="0.3">
      <c r="A36" s="1" t="s">
        <v>49</v>
      </c>
      <c r="B36" s="27">
        <v>12</v>
      </c>
      <c r="C36" s="1" t="s">
        <v>511</v>
      </c>
      <c r="D36" s="28" t="s">
        <v>116</v>
      </c>
      <c r="E36" s="1"/>
      <c r="F36" s="1"/>
      <c r="G36" s="1"/>
    </row>
    <row r="37" spans="1:7" hidden="1" x14ac:dyDescent="0.3">
      <c r="A37" s="1" t="s">
        <v>537</v>
      </c>
      <c r="B37" s="27">
        <v>14</v>
      </c>
      <c r="C37" s="1" t="s">
        <v>511</v>
      </c>
      <c r="D37" s="28" t="s">
        <v>116</v>
      </c>
      <c r="E37" s="1" t="s">
        <v>765</v>
      </c>
      <c r="F37" s="1"/>
      <c r="G37" s="1"/>
    </row>
    <row r="38" spans="1:7" hidden="1" x14ac:dyDescent="0.3">
      <c r="A38" s="1" t="s">
        <v>257</v>
      </c>
      <c r="B38" s="27">
        <v>7</v>
      </c>
      <c r="C38" s="1" t="s">
        <v>79</v>
      </c>
      <c r="D38" s="28" t="s">
        <v>14</v>
      </c>
      <c r="E38" s="1"/>
      <c r="F38" s="1"/>
      <c r="G38" s="1"/>
    </row>
    <row r="39" spans="1:7" hidden="1" x14ac:dyDescent="0.3">
      <c r="A39" s="1" t="s">
        <v>283</v>
      </c>
      <c r="B39" s="27">
        <v>11</v>
      </c>
      <c r="C39" s="1" t="s">
        <v>79</v>
      </c>
      <c r="D39" s="28" t="s">
        <v>14</v>
      </c>
      <c r="E39" s="1"/>
      <c r="F39" s="1"/>
      <c r="G39" s="1"/>
    </row>
    <row r="40" spans="1:7" hidden="1" x14ac:dyDescent="0.3">
      <c r="A40" s="1" t="s">
        <v>45</v>
      </c>
      <c r="B40" s="27">
        <v>12</v>
      </c>
      <c r="C40" s="1" t="s">
        <v>79</v>
      </c>
      <c r="D40" s="28" t="s">
        <v>14</v>
      </c>
      <c r="E40" s="1" t="s">
        <v>719</v>
      </c>
      <c r="F40" s="1"/>
      <c r="G40" s="1"/>
    </row>
    <row r="41" spans="1:7" hidden="1" x14ac:dyDescent="0.3">
      <c r="A41" s="1" t="s">
        <v>297</v>
      </c>
      <c r="B41" s="27">
        <v>12</v>
      </c>
      <c r="C41" s="1" t="s">
        <v>79</v>
      </c>
      <c r="D41" s="28" t="s">
        <v>14</v>
      </c>
      <c r="E41" s="1" t="s">
        <v>712</v>
      </c>
      <c r="F41" s="1"/>
      <c r="G41" s="1"/>
    </row>
    <row r="42" spans="1:7" hidden="1" x14ac:dyDescent="0.3">
      <c r="A42" s="1" t="s">
        <v>317</v>
      </c>
      <c r="B42" s="27">
        <v>13</v>
      </c>
      <c r="C42" s="1" t="s">
        <v>79</v>
      </c>
      <c r="D42" s="28" t="s">
        <v>14</v>
      </c>
      <c r="E42" s="1" t="s">
        <v>766</v>
      </c>
      <c r="F42" s="1"/>
      <c r="G42" s="1"/>
    </row>
    <row r="43" spans="1:7" hidden="1" x14ac:dyDescent="0.3">
      <c r="A43" s="1" t="s">
        <v>56</v>
      </c>
      <c r="B43" s="27">
        <v>13</v>
      </c>
      <c r="C43" s="1" t="s">
        <v>79</v>
      </c>
      <c r="D43" s="28" t="s">
        <v>14</v>
      </c>
      <c r="E43" s="1"/>
      <c r="F43" s="1"/>
      <c r="G43" s="1"/>
    </row>
    <row r="44" spans="1:7" hidden="1" x14ac:dyDescent="0.3">
      <c r="A44" s="1" t="s">
        <v>290</v>
      </c>
      <c r="B44" s="27">
        <v>11</v>
      </c>
      <c r="C44" s="1" t="s">
        <v>511</v>
      </c>
      <c r="D44" s="28" t="s">
        <v>28</v>
      </c>
      <c r="E44" s="1" t="s">
        <v>715</v>
      </c>
      <c r="F44" s="1"/>
      <c r="G44" s="1"/>
    </row>
    <row r="45" spans="1:7" hidden="1" x14ac:dyDescent="0.3">
      <c r="A45" s="1" t="s">
        <v>306</v>
      </c>
      <c r="B45" s="27">
        <v>13</v>
      </c>
      <c r="C45" s="1" t="s">
        <v>511</v>
      </c>
      <c r="D45" s="28" t="s">
        <v>28</v>
      </c>
      <c r="E45" s="1" t="s">
        <v>765</v>
      </c>
      <c r="F45" s="1"/>
      <c r="G45" s="1"/>
    </row>
    <row r="46" spans="1:7" hidden="1" x14ac:dyDescent="0.3">
      <c r="A46" s="1" t="s">
        <v>327</v>
      </c>
      <c r="B46" s="27">
        <v>14</v>
      </c>
      <c r="C46" s="1" t="s">
        <v>511</v>
      </c>
      <c r="D46" s="28" t="s">
        <v>28</v>
      </c>
      <c r="E46" s="1"/>
      <c r="F46" s="1"/>
      <c r="G46" s="1"/>
    </row>
    <row r="47" spans="1:7" hidden="1" x14ac:dyDescent="0.3">
      <c r="A47" s="1" t="s">
        <v>330</v>
      </c>
      <c r="B47" s="27">
        <v>14</v>
      </c>
      <c r="C47" s="1" t="s">
        <v>511</v>
      </c>
      <c r="D47" s="28" t="s">
        <v>28</v>
      </c>
      <c r="E47" s="1" t="s">
        <v>720</v>
      </c>
      <c r="F47" s="1"/>
      <c r="G47" s="1"/>
    </row>
    <row r="48" spans="1:7" x14ac:dyDescent="0.3">
      <c r="A48" s="1" t="s">
        <v>267</v>
      </c>
      <c r="B48" s="27">
        <v>8</v>
      </c>
      <c r="C48" s="1" t="s">
        <v>20</v>
      </c>
      <c r="D48" s="28" t="s">
        <v>47</v>
      </c>
      <c r="E48" s="1" t="s">
        <v>733</v>
      </c>
      <c r="F48" s="1"/>
      <c r="G48" s="1"/>
    </row>
    <row r="49" spans="1:7" x14ac:dyDescent="0.3">
      <c r="A49" s="1" t="s">
        <v>278</v>
      </c>
      <c r="B49" s="27">
        <v>10</v>
      </c>
      <c r="C49" s="1" t="s">
        <v>20</v>
      </c>
      <c r="D49" s="28" t="s">
        <v>47</v>
      </c>
      <c r="E49" s="1" t="s">
        <v>734</v>
      </c>
      <c r="F49" s="1"/>
      <c r="G49" s="1"/>
    </row>
    <row r="50" spans="1:7" x14ac:dyDescent="0.3">
      <c r="A50" s="1" t="s">
        <v>39</v>
      </c>
      <c r="B50" s="27">
        <v>11</v>
      </c>
      <c r="C50" s="1" t="s">
        <v>20</v>
      </c>
      <c r="D50" s="28" t="s">
        <v>47</v>
      </c>
      <c r="E50" s="1" t="s">
        <v>767</v>
      </c>
      <c r="F50" s="1"/>
      <c r="G50" s="1"/>
    </row>
    <row r="51" spans="1:7" x14ac:dyDescent="0.3">
      <c r="A51" s="1" t="s">
        <v>302</v>
      </c>
      <c r="B51" s="27">
        <v>12</v>
      </c>
      <c r="C51" s="1" t="s">
        <v>20</v>
      </c>
      <c r="D51" s="28" t="s">
        <v>47</v>
      </c>
      <c r="E51" s="1" t="s">
        <v>738</v>
      </c>
      <c r="F51" s="1"/>
      <c r="G51" s="1"/>
    </row>
    <row r="52" spans="1:7" x14ac:dyDescent="0.3">
      <c r="A52" s="1" t="s">
        <v>296</v>
      </c>
      <c r="B52" s="27">
        <v>12</v>
      </c>
      <c r="C52" s="1" t="s">
        <v>20</v>
      </c>
      <c r="D52" s="28" t="s">
        <v>47</v>
      </c>
      <c r="E52" s="1" t="s">
        <v>768</v>
      </c>
      <c r="F52" s="1"/>
      <c r="G52" s="1"/>
    </row>
    <row r="53" spans="1:7" x14ac:dyDescent="0.3">
      <c r="A53" s="1" t="s">
        <v>523</v>
      </c>
      <c r="B53" s="27">
        <v>13</v>
      </c>
      <c r="C53" s="1" t="s">
        <v>20</v>
      </c>
      <c r="D53" s="28" t="s">
        <v>47</v>
      </c>
      <c r="E53" s="1"/>
      <c r="F53" s="1"/>
      <c r="G53" s="1"/>
    </row>
    <row r="54" spans="1:7" x14ac:dyDescent="0.3">
      <c r="A54" s="1" t="s">
        <v>320</v>
      </c>
      <c r="B54" s="27">
        <v>13</v>
      </c>
      <c r="C54" s="1" t="s">
        <v>20</v>
      </c>
      <c r="D54" s="28" t="s">
        <v>47</v>
      </c>
      <c r="E54" s="1"/>
      <c r="F54" s="1"/>
      <c r="G54" s="1"/>
    </row>
    <row r="55" spans="1:7" x14ac:dyDescent="0.3">
      <c r="A55" s="1" t="s">
        <v>323</v>
      </c>
      <c r="B55" s="27">
        <v>14</v>
      </c>
      <c r="C55" s="1" t="s">
        <v>20</v>
      </c>
      <c r="D55" s="28" t="s">
        <v>47</v>
      </c>
      <c r="E55" s="1" t="s">
        <v>769</v>
      </c>
      <c r="F55" s="1"/>
      <c r="G55" s="1"/>
    </row>
    <row r="56" spans="1:7" x14ac:dyDescent="0.3">
      <c r="A56" s="1" t="s">
        <v>70</v>
      </c>
      <c r="B56" s="27">
        <v>14</v>
      </c>
      <c r="C56" s="1" t="s">
        <v>20</v>
      </c>
      <c r="D56" s="28" t="s">
        <v>47</v>
      </c>
      <c r="E56" s="1"/>
      <c r="F56" s="1"/>
      <c r="G56" s="1"/>
    </row>
    <row r="57" spans="1:7" x14ac:dyDescent="0.3">
      <c r="A57" s="1" t="s">
        <v>74</v>
      </c>
      <c r="B57" s="27">
        <v>14</v>
      </c>
      <c r="C57" s="1" t="s">
        <v>20</v>
      </c>
      <c r="D57" s="28" t="s">
        <v>47</v>
      </c>
      <c r="E57" s="1" t="s">
        <v>737</v>
      </c>
      <c r="F57" s="1"/>
      <c r="G57" s="1"/>
    </row>
    <row r="58" spans="1:7" x14ac:dyDescent="0.3">
      <c r="A58" s="1" t="s">
        <v>530</v>
      </c>
      <c r="B58" s="27">
        <v>14</v>
      </c>
      <c r="C58" s="1" t="s">
        <v>20</v>
      </c>
      <c r="D58" s="28" t="s">
        <v>47</v>
      </c>
      <c r="E58" s="1"/>
      <c r="F58" s="1"/>
      <c r="G58" s="1"/>
    </row>
    <row r="59" spans="1:7" x14ac:dyDescent="0.3">
      <c r="A59" s="1" t="s">
        <v>85</v>
      </c>
      <c r="B59" s="27">
        <v>14</v>
      </c>
      <c r="C59" s="1" t="s">
        <v>20</v>
      </c>
      <c r="D59" s="28" t="s">
        <v>47</v>
      </c>
      <c r="E59" s="1"/>
      <c r="F59" s="1"/>
      <c r="G59" s="1"/>
    </row>
    <row r="60" spans="1:7" x14ac:dyDescent="0.3">
      <c r="A60" s="1" t="s">
        <v>155</v>
      </c>
      <c r="B60" s="27">
        <v>14</v>
      </c>
      <c r="C60" s="1" t="s">
        <v>20</v>
      </c>
      <c r="D60" s="28" t="s">
        <v>47</v>
      </c>
      <c r="E60" s="1"/>
      <c r="F60" s="1"/>
      <c r="G60" s="1"/>
    </row>
    <row r="61" spans="1:7" x14ac:dyDescent="0.3">
      <c r="A61" s="1" t="s">
        <v>42</v>
      </c>
      <c r="B61" s="27">
        <v>11</v>
      </c>
      <c r="C61" s="1" t="s">
        <v>511</v>
      </c>
      <c r="D61" s="28" t="s">
        <v>47</v>
      </c>
      <c r="E61" s="29" t="s">
        <v>770</v>
      </c>
      <c r="F61" s="1"/>
      <c r="G61" s="1"/>
    </row>
    <row r="62" spans="1:7" hidden="1" x14ac:dyDescent="0.3">
      <c r="A62" s="1" t="s">
        <v>263</v>
      </c>
      <c r="B62" s="27">
        <v>8</v>
      </c>
      <c r="C62" s="1" t="s">
        <v>79</v>
      </c>
      <c r="D62" s="28"/>
      <c r="E62" s="1"/>
      <c r="F62" s="1"/>
      <c r="G62" s="1"/>
    </row>
    <row r="63" spans="1:7" hidden="1" x14ac:dyDescent="0.3">
      <c r="A63" s="1" t="s">
        <v>265</v>
      </c>
      <c r="B63" s="27">
        <v>8</v>
      </c>
      <c r="C63" s="1" t="s">
        <v>79</v>
      </c>
      <c r="D63" s="28"/>
      <c r="E63" s="29" t="s">
        <v>771</v>
      </c>
      <c r="F63" s="1"/>
      <c r="G63" s="1"/>
    </row>
    <row r="64" spans="1:7" hidden="1" x14ac:dyDescent="0.3">
      <c r="A64" s="1" t="s">
        <v>270</v>
      </c>
      <c r="B64" s="27">
        <v>9</v>
      </c>
      <c r="C64" s="1" t="s">
        <v>79</v>
      </c>
      <c r="D64" s="28"/>
      <c r="E64" s="1"/>
      <c r="F64" s="1"/>
      <c r="G64" s="1"/>
    </row>
    <row r="65" spans="1:7" hidden="1" x14ac:dyDescent="0.3">
      <c r="A65" s="1" t="s">
        <v>31</v>
      </c>
      <c r="B65" s="27">
        <v>10</v>
      </c>
      <c r="C65" s="1" t="s">
        <v>79</v>
      </c>
      <c r="D65" s="28"/>
      <c r="E65" s="1"/>
      <c r="F65" s="1"/>
      <c r="G65" s="1"/>
    </row>
    <row r="66" spans="1:7" hidden="1" x14ac:dyDescent="0.3">
      <c r="A66" s="1" t="s">
        <v>291</v>
      </c>
      <c r="B66" s="27">
        <v>12</v>
      </c>
      <c r="C66" s="1" t="s">
        <v>79</v>
      </c>
      <c r="D66" s="28"/>
      <c r="E66" s="1" t="s">
        <v>701</v>
      </c>
      <c r="F66" s="1"/>
      <c r="G66" s="1"/>
    </row>
    <row r="67" spans="1:7" hidden="1" x14ac:dyDescent="0.3">
      <c r="A67" s="1" t="s">
        <v>46</v>
      </c>
      <c r="B67" s="27">
        <v>12</v>
      </c>
      <c r="C67" s="1" t="s">
        <v>79</v>
      </c>
      <c r="D67" s="28"/>
      <c r="E67" s="1"/>
      <c r="F67" s="1"/>
      <c r="G67" s="1"/>
    </row>
    <row r="68" spans="1:7" hidden="1" x14ac:dyDescent="0.3">
      <c r="A68" s="42" t="s">
        <v>772</v>
      </c>
      <c r="B68" s="43" t="s">
        <v>773</v>
      </c>
      <c r="C68" s="42" t="s">
        <v>79</v>
      </c>
      <c r="D68" s="28"/>
      <c r="E68" s="1" t="s">
        <v>774</v>
      </c>
      <c r="F68" s="1"/>
      <c r="G68" s="1"/>
    </row>
    <row r="70" spans="1:7" ht="21" x14ac:dyDescent="0.4">
      <c r="A70" s="364" t="s">
        <v>211</v>
      </c>
      <c r="B70" s="364"/>
      <c r="C70" s="364"/>
      <c r="D70" s="364">
        <f>+COUNTIF(D2:D68,"OK")</f>
        <v>14</v>
      </c>
      <c r="E70" s="364"/>
      <c r="F70" s="23"/>
    </row>
  </sheetData>
  <autoFilter ref="A2:G68" xr:uid="{5E54FD58-F896-4449-B5B3-97E51729B509}">
    <filterColumn colId="3">
      <filters>
        <filter val="NC"/>
        <filter val="SIG"/>
      </filters>
    </filterColumn>
    <sortState xmlns:xlrd2="http://schemas.microsoft.com/office/spreadsheetml/2017/richdata2" ref="A3:G17">
      <sortCondition ref="B2:B68"/>
    </sortState>
  </autoFilter>
  <mergeCells count="3">
    <mergeCell ref="B1:E1"/>
    <mergeCell ref="A70:C70"/>
    <mergeCell ref="D70:E7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7532-BB21-486B-BE90-E6CEAB294FCC}">
  <sheetPr filterMode="1">
    <tabColor rgb="FFFFFF00"/>
  </sheetPr>
  <dimension ref="A1:G121"/>
  <sheetViews>
    <sheetView topLeftCell="A92" workbookViewId="0">
      <selection activeCell="F2" sqref="F2"/>
    </sheetView>
  </sheetViews>
  <sheetFormatPr baseColWidth="10" defaultColWidth="137.33203125" defaultRowHeight="14.4" x14ac:dyDescent="0.3"/>
  <cols>
    <col min="1" max="1" width="42.33203125" bestFit="1" customWidth="1"/>
    <col min="2" max="2" width="12.33203125" style="26" customWidth="1"/>
    <col min="3" max="3" width="16.5546875" customWidth="1"/>
    <col min="4" max="4" width="16.44140625" bestFit="1" customWidth="1"/>
    <col min="5" max="5" width="87.6640625" customWidth="1"/>
    <col min="6" max="6" width="9.33203125" bestFit="1" customWidth="1"/>
    <col min="7" max="7" width="32.6640625" bestFit="1" customWidth="1"/>
  </cols>
  <sheetData>
    <row r="1" spans="1:7" ht="15.6" x14ac:dyDescent="0.3">
      <c r="A1" s="10" t="s">
        <v>0</v>
      </c>
      <c r="B1" s="357" t="s">
        <v>775</v>
      </c>
      <c r="C1" s="357"/>
      <c r="D1" s="357"/>
      <c r="E1" s="357"/>
      <c r="F1" s="85"/>
      <c r="G1" s="33"/>
    </row>
    <row r="2" spans="1:7" x14ac:dyDescent="0.3">
      <c r="A2" s="30" t="s">
        <v>2</v>
      </c>
      <c r="B2" s="2" t="s">
        <v>3</v>
      </c>
      <c r="C2" s="30" t="s">
        <v>4</v>
      </c>
      <c r="D2" s="2" t="s">
        <v>5</v>
      </c>
      <c r="E2" s="30" t="s">
        <v>6</v>
      </c>
      <c r="F2" s="30" t="s">
        <v>7</v>
      </c>
      <c r="G2" s="30" t="s">
        <v>8</v>
      </c>
    </row>
    <row r="3" spans="1:7" hidden="1" x14ac:dyDescent="0.3">
      <c r="A3" s="1" t="s">
        <v>290</v>
      </c>
      <c r="B3" s="6">
        <v>11</v>
      </c>
      <c r="C3" s="1" t="s">
        <v>447</v>
      </c>
      <c r="D3" s="28" t="s">
        <v>116</v>
      </c>
      <c r="E3" s="1"/>
      <c r="F3" s="1"/>
      <c r="G3" s="1"/>
    </row>
    <row r="4" spans="1:7" hidden="1" x14ac:dyDescent="0.3">
      <c r="A4" s="1" t="s">
        <v>297</v>
      </c>
      <c r="B4" s="6">
        <v>12</v>
      </c>
      <c r="C4" s="1" t="s">
        <v>447</v>
      </c>
      <c r="D4" s="28" t="s">
        <v>24</v>
      </c>
      <c r="E4" s="1"/>
      <c r="F4" s="1"/>
      <c r="G4" s="1"/>
    </row>
    <row r="5" spans="1:7" hidden="1" x14ac:dyDescent="0.3">
      <c r="A5" s="1" t="s">
        <v>321</v>
      </c>
      <c r="B5" s="6">
        <v>13</v>
      </c>
      <c r="C5" s="1" t="s">
        <v>447</v>
      </c>
      <c r="D5" s="28" t="s">
        <v>116</v>
      </c>
      <c r="E5" s="1" t="s">
        <v>776</v>
      </c>
      <c r="F5" s="1"/>
      <c r="G5" s="1"/>
    </row>
    <row r="6" spans="1:7" hidden="1" x14ac:dyDescent="0.3">
      <c r="A6" s="1" t="s">
        <v>84</v>
      </c>
      <c r="B6" s="6">
        <v>14</v>
      </c>
      <c r="C6" s="1" t="s">
        <v>447</v>
      </c>
      <c r="D6" s="28" t="s">
        <v>47</v>
      </c>
      <c r="E6" s="1" t="s">
        <v>777</v>
      </c>
      <c r="F6" s="1"/>
      <c r="G6" s="1"/>
    </row>
    <row r="7" spans="1:7" hidden="1" x14ac:dyDescent="0.3">
      <c r="A7" s="1" t="s">
        <v>326</v>
      </c>
      <c r="B7" s="6">
        <v>14</v>
      </c>
      <c r="C7" s="1" t="s">
        <v>447</v>
      </c>
      <c r="D7" s="28" t="s">
        <v>116</v>
      </c>
      <c r="F7" s="1"/>
      <c r="G7" s="1"/>
    </row>
    <row r="8" spans="1:7" hidden="1" x14ac:dyDescent="0.3">
      <c r="A8" s="1" t="s">
        <v>537</v>
      </c>
      <c r="B8" s="6">
        <v>14</v>
      </c>
      <c r="C8" s="1" t="s">
        <v>447</v>
      </c>
      <c r="D8" s="28" t="s">
        <v>116</v>
      </c>
      <c r="E8" s="1"/>
      <c r="F8" s="1"/>
      <c r="G8" s="1"/>
    </row>
    <row r="9" spans="1:7" hidden="1" x14ac:dyDescent="0.3">
      <c r="A9" s="1" t="s">
        <v>90</v>
      </c>
      <c r="B9" s="6">
        <v>15</v>
      </c>
      <c r="C9" s="1" t="s">
        <v>447</v>
      </c>
      <c r="D9" s="28" t="s">
        <v>24</v>
      </c>
      <c r="E9" s="1"/>
      <c r="F9" s="1"/>
      <c r="G9" s="1"/>
    </row>
    <row r="10" spans="1:7" hidden="1" x14ac:dyDescent="0.3">
      <c r="A10" s="1" t="s">
        <v>350</v>
      </c>
      <c r="B10" s="6">
        <v>16</v>
      </c>
      <c r="C10" s="1" t="s">
        <v>447</v>
      </c>
      <c r="D10" s="28" t="s">
        <v>116</v>
      </c>
      <c r="E10" s="28"/>
      <c r="F10" s="28"/>
      <c r="G10" s="28"/>
    </row>
    <row r="11" spans="1:7" hidden="1" x14ac:dyDescent="0.3">
      <c r="A11" s="1" t="s">
        <v>355</v>
      </c>
      <c r="B11" s="6">
        <v>16</v>
      </c>
      <c r="C11" s="1" t="s">
        <v>447</v>
      </c>
      <c r="D11" s="28" t="s">
        <v>24</v>
      </c>
      <c r="E11" s="1" t="s">
        <v>676</v>
      </c>
      <c r="F11" s="1"/>
      <c r="G11" s="1"/>
    </row>
    <row r="12" spans="1:7" hidden="1" x14ac:dyDescent="0.3">
      <c r="A12" s="1" t="s">
        <v>364</v>
      </c>
      <c r="B12" s="3">
        <v>17</v>
      </c>
      <c r="C12" s="1" t="s">
        <v>447</v>
      </c>
      <c r="D12" s="28" t="s">
        <v>47</v>
      </c>
      <c r="E12" s="1" t="s">
        <v>690</v>
      </c>
      <c r="F12" s="1"/>
      <c r="G12" s="1"/>
    </row>
    <row r="13" spans="1:7" hidden="1" x14ac:dyDescent="0.3">
      <c r="A13" s="1" t="s">
        <v>376</v>
      </c>
      <c r="B13" s="3">
        <v>17</v>
      </c>
      <c r="C13" s="1" t="s">
        <v>447</v>
      </c>
      <c r="D13" s="28" t="s">
        <v>28</v>
      </c>
      <c r="E13" s="1"/>
      <c r="F13" s="1"/>
      <c r="G13" s="1"/>
    </row>
    <row r="14" spans="1:7" hidden="1" x14ac:dyDescent="0.3">
      <c r="A14" s="1" t="s">
        <v>102</v>
      </c>
      <c r="B14" s="6">
        <v>18</v>
      </c>
      <c r="C14" s="1" t="s">
        <v>447</v>
      </c>
      <c r="D14" s="1" t="s">
        <v>24</v>
      </c>
      <c r="E14" s="1"/>
      <c r="F14" s="1"/>
      <c r="G14" s="1"/>
    </row>
    <row r="15" spans="1:7" hidden="1" x14ac:dyDescent="0.3">
      <c r="A15" s="1" t="s">
        <v>263</v>
      </c>
      <c r="B15" s="6">
        <v>8</v>
      </c>
      <c r="C15" s="1" t="s">
        <v>507</v>
      </c>
      <c r="D15" s="28" t="s">
        <v>116</v>
      </c>
      <c r="E15" s="1" t="s">
        <v>778</v>
      </c>
      <c r="F15" s="1"/>
      <c r="G15" s="1"/>
    </row>
    <row r="16" spans="1:7" hidden="1" x14ac:dyDescent="0.3">
      <c r="A16" s="1" t="s">
        <v>283</v>
      </c>
      <c r="B16" s="6">
        <v>11</v>
      </c>
      <c r="C16" s="1" t="s">
        <v>507</v>
      </c>
      <c r="D16" s="28" t="s">
        <v>24</v>
      </c>
      <c r="E16" s="1"/>
      <c r="F16" s="1"/>
      <c r="G16" s="1"/>
    </row>
    <row r="17" spans="1:7" hidden="1" x14ac:dyDescent="0.3">
      <c r="A17" s="1" t="s">
        <v>39</v>
      </c>
      <c r="B17" s="6">
        <v>11</v>
      </c>
      <c r="C17" s="1" t="s">
        <v>507</v>
      </c>
      <c r="D17" s="28" t="s">
        <v>24</v>
      </c>
      <c r="E17" s="28" t="s">
        <v>658</v>
      </c>
      <c r="F17" s="28"/>
      <c r="G17" s="28"/>
    </row>
    <row r="18" spans="1:7" hidden="1" x14ac:dyDescent="0.3">
      <c r="A18" s="1" t="s">
        <v>52</v>
      </c>
      <c r="B18" s="6">
        <v>12</v>
      </c>
      <c r="C18" s="1" t="s">
        <v>507</v>
      </c>
      <c r="D18" s="28" t="s">
        <v>24</v>
      </c>
      <c r="E18" s="1" t="s">
        <v>658</v>
      </c>
      <c r="F18" s="1"/>
      <c r="G18" s="1"/>
    </row>
    <row r="19" spans="1:7" hidden="1" x14ac:dyDescent="0.3">
      <c r="A19" s="1" t="s">
        <v>46</v>
      </c>
      <c r="B19" s="6">
        <v>12</v>
      </c>
      <c r="C19" s="1" t="s">
        <v>507</v>
      </c>
      <c r="D19" s="28" t="s">
        <v>28</v>
      </c>
      <c r="E19" s="1" t="s">
        <v>662</v>
      </c>
      <c r="F19" s="1"/>
      <c r="G19" s="1"/>
    </row>
    <row r="20" spans="1:7" hidden="1" x14ac:dyDescent="0.3">
      <c r="A20" s="1" t="s">
        <v>62</v>
      </c>
      <c r="B20" s="6">
        <v>13</v>
      </c>
      <c r="C20" s="1" t="s">
        <v>507</v>
      </c>
      <c r="D20" s="1" t="s">
        <v>47</v>
      </c>
      <c r="E20" s="1" t="s">
        <v>232</v>
      </c>
      <c r="F20" s="1"/>
      <c r="G20" s="1"/>
    </row>
    <row r="21" spans="1:7" hidden="1" x14ac:dyDescent="0.3">
      <c r="A21" s="1" t="s">
        <v>363</v>
      </c>
      <c r="B21" s="6">
        <v>16</v>
      </c>
      <c r="C21" s="1" t="s">
        <v>507</v>
      </c>
      <c r="D21" s="1" t="s">
        <v>24</v>
      </c>
      <c r="E21" s="1"/>
      <c r="F21" s="1"/>
      <c r="G21" s="1"/>
    </row>
    <row r="22" spans="1:7" hidden="1" x14ac:dyDescent="0.3">
      <c r="A22" s="1" t="s">
        <v>17</v>
      </c>
      <c r="B22" s="6">
        <v>16</v>
      </c>
      <c r="C22" s="1" t="s">
        <v>507</v>
      </c>
      <c r="D22" s="28" t="s">
        <v>24</v>
      </c>
      <c r="E22" s="28"/>
      <c r="F22" s="28"/>
      <c r="G22" s="28"/>
    </row>
    <row r="23" spans="1:7" hidden="1" x14ac:dyDescent="0.3">
      <c r="A23" s="1" t="s">
        <v>333</v>
      </c>
      <c r="B23" s="6">
        <v>16</v>
      </c>
      <c r="C23" s="1" t="s">
        <v>507</v>
      </c>
      <c r="D23" s="1" t="s">
        <v>116</v>
      </c>
      <c r="E23" s="1"/>
      <c r="F23" s="1"/>
      <c r="G23" s="1"/>
    </row>
    <row r="24" spans="1:7" hidden="1" x14ac:dyDescent="0.3">
      <c r="A24" s="1" t="s">
        <v>104</v>
      </c>
      <c r="B24" s="6">
        <v>16</v>
      </c>
      <c r="C24" s="1" t="s">
        <v>507</v>
      </c>
      <c r="D24" s="1" t="s">
        <v>47</v>
      </c>
      <c r="E24" s="1" t="s">
        <v>682</v>
      </c>
      <c r="F24" s="1"/>
      <c r="G24" s="1"/>
    </row>
    <row r="25" spans="1:7" hidden="1" x14ac:dyDescent="0.3">
      <c r="A25" s="1" t="s">
        <v>113</v>
      </c>
      <c r="B25" s="3">
        <v>17</v>
      </c>
      <c r="C25" s="1" t="s">
        <v>507</v>
      </c>
      <c r="D25" s="28" t="s">
        <v>24</v>
      </c>
      <c r="E25" s="1" t="s">
        <v>779</v>
      </c>
      <c r="F25" s="1"/>
      <c r="G25" s="1"/>
    </row>
    <row r="26" spans="1:7" x14ac:dyDescent="0.3">
      <c r="A26" s="1" t="s">
        <v>367</v>
      </c>
      <c r="B26" s="136">
        <v>17</v>
      </c>
      <c r="C26" s="1" t="s">
        <v>507</v>
      </c>
      <c r="D26" s="28" t="s">
        <v>16</v>
      </c>
      <c r="E26" s="1" t="s">
        <v>780</v>
      </c>
      <c r="F26" s="1"/>
      <c r="G26" s="1">
        <v>1</v>
      </c>
    </row>
    <row r="27" spans="1:7" hidden="1" x14ac:dyDescent="0.3">
      <c r="A27" s="1" t="s">
        <v>117</v>
      </c>
      <c r="B27" s="3">
        <v>17</v>
      </c>
      <c r="C27" s="1" t="s">
        <v>507</v>
      </c>
      <c r="D27" s="28" t="s">
        <v>28</v>
      </c>
      <c r="E27" s="1" t="s">
        <v>781</v>
      </c>
      <c r="F27" s="1"/>
      <c r="G27" s="1"/>
    </row>
    <row r="28" spans="1:7" hidden="1" x14ac:dyDescent="0.3">
      <c r="A28" s="1" t="s">
        <v>373</v>
      </c>
      <c r="B28" s="3">
        <v>17</v>
      </c>
      <c r="C28" s="1" t="s">
        <v>507</v>
      </c>
      <c r="D28" s="28" t="s">
        <v>24</v>
      </c>
      <c r="E28" s="1"/>
      <c r="F28" s="1"/>
      <c r="G28" s="1"/>
    </row>
    <row r="29" spans="1:7" x14ac:dyDescent="0.3">
      <c r="A29" s="1" t="s">
        <v>120</v>
      </c>
      <c r="B29" s="150">
        <v>17</v>
      </c>
      <c r="C29" s="149" t="s">
        <v>507</v>
      </c>
      <c r="D29" s="28" t="s">
        <v>16</v>
      </c>
      <c r="E29" s="1"/>
      <c r="F29" s="1" t="s">
        <v>782</v>
      </c>
      <c r="G29" s="1">
        <v>1</v>
      </c>
    </row>
    <row r="30" spans="1:7" hidden="1" x14ac:dyDescent="0.3">
      <c r="A30" s="1" t="s">
        <v>130</v>
      </c>
      <c r="B30" s="6">
        <v>18</v>
      </c>
      <c r="C30" s="1" t="s">
        <v>507</v>
      </c>
      <c r="D30" s="1" t="s">
        <v>35</v>
      </c>
      <c r="E30" s="1"/>
      <c r="F30" s="1"/>
      <c r="G30" s="1"/>
    </row>
    <row r="31" spans="1:7" hidden="1" x14ac:dyDescent="0.3">
      <c r="A31" s="1" t="s">
        <v>137</v>
      </c>
      <c r="B31" s="6">
        <v>18</v>
      </c>
      <c r="C31" s="1" t="s">
        <v>507</v>
      </c>
      <c r="D31" s="1" t="s">
        <v>24</v>
      </c>
      <c r="E31" s="1" t="s">
        <v>658</v>
      </c>
      <c r="F31" s="1"/>
      <c r="G31" s="1"/>
    </row>
    <row r="32" spans="1:7" hidden="1" x14ac:dyDescent="0.3">
      <c r="A32" s="1" t="s">
        <v>128</v>
      </c>
      <c r="B32" s="6">
        <v>18</v>
      </c>
      <c r="C32" s="1" t="s">
        <v>507</v>
      </c>
      <c r="D32" s="1" t="s">
        <v>24</v>
      </c>
      <c r="E32" s="1"/>
      <c r="F32" s="1"/>
      <c r="G32" s="1"/>
    </row>
    <row r="33" spans="1:7" hidden="1" x14ac:dyDescent="0.3">
      <c r="A33" s="1" t="s">
        <v>381</v>
      </c>
      <c r="B33" s="6">
        <v>18</v>
      </c>
      <c r="C33" s="1" t="s">
        <v>507</v>
      </c>
      <c r="D33" s="1" t="s">
        <v>47</v>
      </c>
      <c r="E33" t="s">
        <v>232</v>
      </c>
      <c r="F33" s="1"/>
      <c r="G33" s="1"/>
    </row>
    <row r="34" spans="1:7" hidden="1" x14ac:dyDescent="0.3">
      <c r="A34" s="1" t="s">
        <v>25</v>
      </c>
      <c r="B34" s="6">
        <v>8</v>
      </c>
      <c r="C34" s="1" t="s">
        <v>23</v>
      </c>
      <c r="D34" s="1" t="s">
        <v>24</v>
      </c>
      <c r="E34" s="1"/>
      <c r="F34" s="1"/>
      <c r="G34" s="1"/>
    </row>
    <row r="35" spans="1:7" hidden="1" x14ac:dyDescent="0.3">
      <c r="A35" s="1" t="s">
        <v>270</v>
      </c>
      <c r="B35" s="6">
        <v>9</v>
      </c>
      <c r="C35" s="1" t="s">
        <v>23</v>
      </c>
      <c r="D35" s="28" t="s">
        <v>116</v>
      </c>
      <c r="E35" s="28"/>
      <c r="F35" s="1"/>
      <c r="G35" s="1"/>
    </row>
    <row r="36" spans="1:7" x14ac:dyDescent="0.3">
      <c r="A36" s="1" t="s">
        <v>514</v>
      </c>
      <c r="B36" s="133">
        <v>11</v>
      </c>
      <c r="C36" s="1" t="s">
        <v>23</v>
      </c>
      <c r="D36" s="28" t="s">
        <v>16</v>
      </c>
      <c r="E36" s="1" t="s">
        <v>780</v>
      </c>
      <c r="F36" s="1" t="s">
        <v>782</v>
      </c>
      <c r="G36" s="1"/>
    </row>
    <row r="37" spans="1:7" hidden="1" x14ac:dyDescent="0.3">
      <c r="A37" s="1" t="s">
        <v>49</v>
      </c>
      <c r="B37" s="6">
        <v>12</v>
      </c>
      <c r="C37" s="1" t="s">
        <v>23</v>
      </c>
      <c r="D37" s="28" t="s">
        <v>28</v>
      </c>
      <c r="E37" s="1"/>
      <c r="F37" s="1"/>
      <c r="G37" s="1"/>
    </row>
    <row r="38" spans="1:7" hidden="1" x14ac:dyDescent="0.3">
      <c r="A38" s="1" t="s">
        <v>316</v>
      </c>
      <c r="B38" s="6">
        <v>13</v>
      </c>
      <c r="C38" s="1" t="s">
        <v>23</v>
      </c>
      <c r="D38" s="28" t="s">
        <v>47</v>
      </c>
      <c r="E38" s="28" t="s">
        <v>667</v>
      </c>
      <c r="F38" s="1"/>
      <c r="G38" s="1"/>
    </row>
    <row r="39" spans="1:7" hidden="1" x14ac:dyDescent="0.3">
      <c r="A39" s="1" t="s">
        <v>57</v>
      </c>
      <c r="B39" s="6">
        <v>13</v>
      </c>
      <c r="C39" s="1" t="s">
        <v>23</v>
      </c>
      <c r="D39" s="1" t="s">
        <v>47</v>
      </c>
      <c r="E39" s="1" t="s">
        <v>783</v>
      </c>
      <c r="F39" s="1"/>
      <c r="G39" s="1"/>
    </row>
    <row r="40" spans="1:7" x14ac:dyDescent="0.3">
      <c r="A40" s="1" t="s">
        <v>569</v>
      </c>
      <c r="B40" s="148">
        <v>13</v>
      </c>
      <c r="C40" s="1" t="s">
        <v>23</v>
      </c>
      <c r="D40" s="28" t="s">
        <v>16</v>
      </c>
      <c r="E40" s="1"/>
      <c r="F40" s="1" t="s">
        <v>782</v>
      </c>
      <c r="G40" s="1"/>
    </row>
    <row r="41" spans="1:7" x14ac:dyDescent="0.3">
      <c r="A41" s="1" t="s">
        <v>308</v>
      </c>
      <c r="B41" s="133">
        <v>13</v>
      </c>
      <c r="C41" s="1" t="s">
        <v>23</v>
      </c>
      <c r="D41" s="28" t="s">
        <v>16</v>
      </c>
      <c r="E41" s="1" t="s">
        <v>780</v>
      </c>
      <c r="F41" s="1" t="s">
        <v>782</v>
      </c>
      <c r="G41" s="1">
        <v>2</v>
      </c>
    </row>
    <row r="42" spans="1:7" hidden="1" x14ac:dyDescent="0.3">
      <c r="A42" s="1" t="s">
        <v>65</v>
      </c>
      <c r="B42" s="6">
        <v>13</v>
      </c>
      <c r="C42" s="1" t="s">
        <v>23</v>
      </c>
      <c r="D42" s="1" t="s">
        <v>28</v>
      </c>
      <c r="E42" s="1" t="s">
        <v>66</v>
      </c>
      <c r="F42" s="1"/>
      <c r="G42" s="1"/>
    </row>
    <row r="43" spans="1:7" hidden="1" x14ac:dyDescent="0.3">
      <c r="A43" s="1" t="s">
        <v>331</v>
      </c>
      <c r="B43" s="6">
        <v>14</v>
      </c>
      <c r="C43" s="1" t="s">
        <v>23</v>
      </c>
      <c r="D43" s="1" t="s">
        <v>28</v>
      </c>
      <c r="E43" s="1" t="s">
        <v>543</v>
      </c>
      <c r="F43" s="1"/>
      <c r="G43" s="1"/>
    </row>
    <row r="44" spans="1:7" hidden="1" x14ac:dyDescent="0.3">
      <c r="A44" s="1" t="s">
        <v>71</v>
      </c>
      <c r="B44" s="6">
        <v>14</v>
      </c>
      <c r="C44" s="1" t="s">
        <v>23</v>
      </c>
      <c r="D44" s="28" t="s">
        <v>28</v>
      </c>
      <c r="E44" s="1" t="s">
        <v>33</v>
      </c>
      <c r="F44" s="1"/>
      <c r="G44" s="1"/>
    </row>
    <row r="45" spans="1:7" hidden="1" x14ac:dyDescent="0.3">
      <c r="A45" s="1" t="s">
        <v>19</v>
      </c>
      <c r="B45" s="6">
        <v>14</v>
      </c>
      <c r="C45" s="1" t="s">
        <v>23</v>
      </c>
      <c r="D45" s="28" t="s">
        <v>28</v>
      </c>
      <c r="E45" s="1" t="s">
        <v>532</v>
      </c>
      <c r="F45" s="1"/>
      <c r="G45" s="1"/>
    </row>
    <row r="46" spans="1:7" hidden="1" x14ac:dyDescent="0.3">
      <c r="A46" s="1" t="s">
        <v>329</v>
      </c>
      <c r="B46" s="6">
        <v>14</v>
      </c>
      <c r="C46" s="1" t="s">
        <v>23</v>
      </c>
      <c r="D46" s="28" t="s">
        <v>47</v>
      </c>
      <c r="E46" s="1" t="s">
        <v>675</v>
      </c>
      <c r="F46" s="1"/>
      <c r="G46" s="1"/>
    </row>
    <row r="47" spans="1:7" hidden="1" x14ac:dyDescent="0.3">
      <c r="A47" s="1" t="s">
        <v>96</v>
      </c>
      <c r="B47" s="6">
        <v>15</v>
      </c>
      <c r="C47" s="1" t="s">
        <v>23</v>
      </c>
      <c r="D47" s="1" t="s">
        <v>24</v>
      </c>
      <c r="E47" s="1"/>
      <c r="F47" s="1"/>
      <c r="G47" s="1"/>
    </row>
    <row r="48" spans="1:7" hidden="1" x14ac:dyDescent="0.3">
      <c r="A48" s="1" t="s">
        <v>347</v>
      </c>
      <c r="B48" s="6">
        <v>15</v>
      </c>
      <c r="C48" s="1" t="s">
        <v>23</v>
      </c>
      <c r="D48" s="28" t="s">
        <v>24</v>
      </c>
      <c r="E48" s="1"/>
      <c r="F48" s="1"/>
      <c r="G48" s="1"/>
    </row>
    <row r="49" spans="1:7" hidden="1" x14ac:dyDescent="0.3">
      <c r="A49" s="1" t="s">
        <v>186</v>
      </c>
      <c r="B49" s="6">
        <v>16</v>
      </c>
      <c r="C49" s="1" t="s">
        <v>23</v>
      </c>
      <c r="D49" s="28" t="s">
        <v>24</v>
      </c>
      <c r="E49" s="1"/>
      <c r="F49" s="1"/>
      <c r="G49" s="1"/>
    </row>
    <row r="50" spans="1:7" hidden="1" x14ac:dyDescent="0.3">
      <c r="A50" s="1" t="s">
        <v>357</v>
      </c>
      <c r="B50" s="6">
        <v>16</v>
      </c>
      <c r="C50" s="1" t="s">
        <v>23</v>
      </c>
      <c r="D50" s="28" t="s">
        <v>28</v>
      </c>
      <c r="E50" s="1"/>
      <c r="F50" s="1"/>
      <c r="G50" s="1"/>
    </row>
    <row r="51" spans="1:7" x14ac:dyDescent="0.3">
      <c r="A51" s="1" t="s">
        <v>360</v>
      </c>
      <c r="B51" s="6">
        <v>16</v>
      </c>
      <c r="C51" s="1" t="s">
        <v>23</v>
      </c>
      <c r="D51" s="28" t="s">
        <v>16</v>
      </c>
      <c r="E51" s="1" t="s">
        <v>780</v>
      </c>
      <c r="F51" s="1" t="s">
        <v>782</v>
      </c>
      <c r="G51" s="1">
        <v>2</v>
      </c>
    </row>
    <row r="52" spans="1:7" x14ac:dyDescent="0.3">
      <c r="A52" s="1" t="s">
        <v>368</v>
      </c>
      <c r="B52" s="3">
        <v>17</v>
      </c>
      <c r="C52" s="1" t="s">
        <v>23</v>
      </c>
      <c r="D52" s="28" t="s">
        <v>16</v>
      </c>
      <c r="E52" s="1" t="s">
        <v>780</v>
      </c>
      <c r="F52" s="1"/>
      <c r="G52" s="1">
        <v>1</v>
      </c>
    </row>
    <row r="53" spans="1:7" hidden="1" x14ac:dyDescent="0.3">
      <c r="A53" s="1" t="s">
        <v>371</v>
      </c>
      <c r="B53" s="3">
        <v>17</v>
      </c>
      <c r="C53" s="1" t="s">
        <v>23</v>
      </c>
      <c r="D53" s="28" t="s">
        <v>24</v>
      </c>
      <c r="E53" s="1" t="s">
        <v>784</v>
      </c>
      <c r="F53" s="1"/>
      <c r="G53" s="1"/>
    </row>
    <row r="54" spans="1:7" hidden="1" x14ac:dyDescent="0.3">
      <c r="A54" s="1" t="s">
        <v>115</v>
      </c>
      <c r="B54" s="3">
        <v>17</v>
      </c>
      <c r="C54" s="1" t="s">
        <v>23</v>
      </c>
      <c r="D54" s="28" t="s">
        <v>24</v>
      </c>
      <c r="E54" s="1"/>
      <c r="F54" s="1"/>
    </row>
    <row r="55" spans="1:7" hidden="1" x14ac:dyDescent="0.3">
      <c r="A55" s="1" t="s">
        <v>121</v>
      </c>
      <c r="B55" s="3">
        <v>17</v>
      </c>
      <c r="C55" s="1" t="s">
        <v>23</v>
      </c>
      <c r="D55" s="28" t="s">
        <v>28</v>
      </c>
      <c r="E55" s="1" t="s">
        <v>33</v>
      </c>
      <c r="F55" s="1"/>
      <c r="G55" s="1"/>
    </row>
    <row r="56" spans="1:7" hidden="1" x14ac:dyDescent="0.3">
      <c r="A56" s="1" t="s">
        <v>100</v>
      </c>
      <c r="B56" s="3">
        <v>17</v>
      </c>
      <c r="C56" s="1" t="s">
        <v>23</v>
      </c>
      <c r="D56" s="28" t="s">
        <v>24</v>
      </c>
      <c r="E56" s="1" t="s">
        <v>685</v>
      </c>
      <c r="F56" s="1"/>
      <c r="G56" s="1"/>
    </row>
    <row r="57" spans="1:7" hidden="1" x14ac:dyDescent="0.3">
      <c r="A57" s="1" t="s">
        <v>135</v>
      </c>
      <c r="B57" s="6">
        <v>18</v>
      </c>
      <c r="C57" s="1" t="s">
        <v>23</v>
      </c>
      <c r="D57" s="1" t="s">
        <v>24</v>
      </c>
      <c r="E57" s="1" t="s">
        <v>687</v>
      </c>
      <c r="F57" s="1"/>
      <c r="G57" s="1"/>
    </row>
    <row r="58" spans="1:7" hidden="1" x14ac:dyDescent="0.3">
      <c r="A58" s="1" t="s">
        <v>134</v>
      </c>
      <c r="B58" s="6">
        <v>18</v>
      </c>
      <c r="C58" s="1" t="s">
        <v>23</v>
      </c>
      <c r="D58" s="1" t="s">
        <v>24</v>
      </c>
      <c r="E58" s="1"/>
      <c r="F58" s="1"/>
      <c r="G58" s="1"/>
    </row>
    <row r="59" spans="1:7" hidden="1" x14ac:dyDescent="0.3">
      <c r="A59" s="1" t="s">
        <v>382</v>
      </c>
      <c r="B59" s="6">
        <v>18</v>
      </c>
      <c r="C59" s="1" t="s">
        <v>23</v>
      </c>
      <c r="D59" s="1" t="s">
        <v>28</v>
      </c>
      <c r="E59" s="1" t="s">
        <v>33</v>
      </c>
      <c r="F59" s="1"/>
      <c r="G59" s="1"/>
    </row>
    <row r="60" spans="1:7" x14ac:dyDescent="0.3">
      <c r="A60" s="1" t="s">
        <v>379</v>
      </c>
      <c r="B60" s="147">
        <v>18</v>
      </c>
      <c r="C60" s="1" t="s">
        <v>23</v>
      </c>
      <c r="D60" s="1" t="s">
        <v>16</v>
      </c>
      <c r="E60" s="1" t="s">
        <v>780</v>
      </c>
      <c r="F60" s="1" t="s">
        <v>782</v>
      </c>
      <c r="G60" s="1">
        <v>4</v>
      </c>
    </row>
    <row r="61" spans="1:7" hidden="1" x14ac:dyDescent="0.3">
      <c r="A61" s="1" t="s">
        <v>505</v>
      </c>
      <c r="B61" s="6">
        <v>4</v>
      </c>
      <c r="C61" s="1" t="s">
        <v>20</v>
      </c>
      <c r="D61" s="28" t="s">
        <v>24</v>
      </c>
      <c r="E61" s="1" t="s">
        <v>506</v>
      </c>
      <c r="F61" s="1"/>
      <c r="G61" s="1"/>
    </row>
    <row r="62" spans="1:7" hidden="1" x14ac:dyDescent="0.3">
      <c r="A62" s="1" t="s">
        <v>267</v>
      </c>
      <c r="B62" s="6">
        <v>8</v>
      </c>
      <c r="C62" s="1" t="s">
        <v>20</v>
      </c>
      <c r="D62" s="28" t="s">
        <v>28</v>
      </c>
      <c r="E62" s="1"/>
      <c r="F62" s="1"/>
      <c r="G62" s="1"/>
    </row>
    <row r="63" spans="1:7" hidden="1" x14ac:dyDescent="0.3">
      <c r="A63" s="1" t="s">
        <v>22</v>
      </c>
      <c r="B63" s="6">
        <v>8</v>
      </c>
      <c r="C63" s="1" t="s">
        <v>20</v>
      </c>
      <c r="D63" s="1" t="s">
        <v>47</v>
      </c>
      <c r="E63" s="1"/>
      <c r="F63" s="1"/>
      <c r="G63" s="1"/>
    </row>
    <row r="64" spans="1:7" hidden="1" x14ac:dyDescent="0.3">
      <c r="A64" s="1" t="s">
        <v>31</v>
      </c>
      <c r="B64" s="6">
        <v>10</v>
      </c>
      <c r="C64" s="1" t="s">
        <v>20</v>
      </c>
      <c r="D64" s="28" t="s">
        <v>28</v>
      </c>
      <c r="E64" s="1"/>
      <c r="F64" s="1"/>
      <c r="G64" s="1"/>
    </row>
    <row r="65" spans="1:7" hidden="1" x14ac:dyDescent="0.3">
      <c r="A65" s="1" t="s">
        <v>27</v>
      </c>
      <c r="B65" s="6">
        <v>10</v>
      </c>
      <c r="C65" s="1" t="s">
        <v>20</v>
      </c>
      <c r="D65" s="28" t="s">
        <v>28</v>
      </c>
      <c r="E65" s="1"/>
      <c r="F65" s="1"/>
      <c r="G65" s="1"/>
    </row>
    <row r="66" spans="1:7" hidden="1" x14ac:dyDescent="0.3">
      <c r="A66" s="1" t="s">
        <v>30</v>
      </c>
      <c r="B66" s="6">
        <v>10</v>
      </c>
      <c r="C66" s="1" t="s">
        <v>20</v>
      </c>
      <c r="D66" s="28" t="s">
        <v>28</v>
      </c>
      <c r="E66" s="1" t="s">
        <v>33</v>
      </c>
      <c r="F66" s="1"/>
      <c r="G66" s="1"/>
    </row>
    <row r="67" spans="1:7" hidden="1" x14ac:dyDescent="0.3">
      <c r="A67" s="1" t="s">
        <v>42</v>
      </c>
      <c r="B67" s="6">
        <v>11</v>
      </c>
      <c r="C67" s="1" t="s">
        <v>20</v>
      </c>
      <c r="D67" s="28" t="s">
        <v>28</v>
      </c>
      <c r="E67" s="29" t="s">
        <v>659</v>
      </c>
      <c r="F67" s="1"/>
      <c r="G67" s="1"/>
    </row>
    <row r="68" spans="1:7" hidden="1" x14ac:dyDescent="0.3">
      <c r="A68" s="1" t="s">
        <v>302</v>
      </c>
      <c r="B68" s="6">
        <v>12</v>
      </c>
      <c r="C68" s="1" t="s">
        <v>20</v>
      </c>
      <c r="D68" s="28" t="s">
        <v>28</v>
      </c>
      <c r="E68" s="1" t="s">
        <v>516</v>
      </c>
      <c r="F68" s="1"/>
      <c r="G68" s="1"/>
    </row>
    <row r="69" spans="1:7" hidden="1" x14ac:dyDescent="0.3">
      <c r="A69" s="1" t="s">
        <v>45</v>
      </c>
      <c r="B69" s="6">
        <v>12</v>
      </c>
      <c r="C69" s="1" t="s">
        <v>20</v>
      </c>
      <c r="D69" s="1" t="s">
        <v>28</v>
      </c>
      <c r="E69" s="1" t="s">
        <v>663</v>
      </c>
      <c r="F69" s="1"/>
      <c r="G69" s="1"/>
    </row>
    <row r="70" spans="1:7" hidden="1" x14ac:dyDescent="0.3">
      <c r="A70" s="1" t="s">
        <v>291</v>
      </c>
      <c r="B70" s="6">
        <v>12</v>
      </c>
      <c r="C70" s="1" t="s">
        <v>20</v>
      </c>
      <c r="D70" s="28" t="s">
        <v>24</v>
      </c>
      <c r="E70" s="1"/>
      <c r="F70" s="1"/>
      <c r="G70" s="1"/>
    </row>
    <row r="71" spans="1:7" hidden="1" x14ac:dyDescent="0.3">
      <c r="A71" s="1" t="s">
        <v>56</v>
      </c>
      <c r="B71" s="6">
        <v>13</v>
      </c>
      <c r="C71" s="1" t="s">
        <v>20</v>
      </c>
      <c r="D71" s="28" t="s">
        <v>24</v>
      </c>
      <c r="E71" s="1"/>
      <c r="F71" s="1"/>
      <c r="G71" s="1"/>
    </row>
    <row r="72" spans="1:7" x14ac:dyDescent="0.3">
      <c r="A72" s="1" t="s">
        <v>509</v>
      </c>
      <c r="B72" s="6">
        <v>13</v>
      </c>
      <c r="C72" s="1" t="s">
        <v>20</v>
      </c>
      <c r="D72" s="28" t="s">
        <v>16</v>
      </c>
      <c r="E72" s="1" t="s">
        <v>780</v>
      </c>
      <c r="F72" s="1"/>
      <c r="G72" s="1">
        <v>2</v>
      </c>
    </row>
    <row r="73" spans="1:7" hidden="1" x14ac:dyDescent="0.3">
      <c r="A73" s="1" t="s">
        <v>523</v>
      </c>
      <c r="B73" s="6">
        <v>13</v>
      </c>
      <c r="C73" s="1" t="s">
        <v>20</v>
      </c>
      <c r="D73" s="28" t="s">
        <v>24</v>
      </c>
      <c r="E73" s="1"/>
      <c r="F73" s="1"/>
      <c r="G73" s="1"/>
    </row>
    <row r="74" spans="1:7" hidden="1" x14ac:dyDescent="0.3">
      <c r="A74" s="1" t="s">
        <v>313</v>
      </c>
      <c r="B74" s="6">
        <v>13</v>
      </c>
      <c r="C74" s="1" t="s">
        <v>20</v>
      </c>
      <c r="D74" s="28" t="s">
        <v>47</v>
      </c>
      <c r="E74" s="1" t="s">
        <v>669</v>
      </c>
      <c r="F74" s="1"/>
      <c r="G74" s="1"/>
    </row>
    <row r="75" spans="1:7" x14ac:dyDescent="0.3">
      <c r="A75" s="1" t="s">
        <v>524</v>
      </c>
      <c r="B75" s="6">
        <v>13</v>
      </c>
      <c r="C75" s="1" t="s">
        <v>20</v>
      </c>
      <c r="D75" s="28" t="s">
        <v>16</v>
      </c>
      <c r="E75" s="1" t="s">
        <v>785</v>
      </c>
      <c r="F75" s="1"/>
      <c r="G75" s="1"/>
    </row>
    <row r="76" spans="1:7" x14ac:dyDescent="0.3">
      <c r="A76" s="1" t="s">
        <v>531</v>
      </c>
      <c r="B76" s="6">
        <v>14</v>
      </c>
      <c r="C76" s="1" t="s">
        <v>20</v>
      </c>
      <c r="D76" s="28" t="s">
        <v>16</v>
      </c>
      <c r="E76" s="1" t="s">
        <v>786</v>
      </c>
      <c r="F76" s="1"/>
      <c r="G76" s="1">
        <v>2</v>
      </c>
    </row>
    <row r="77" spans="1:7" x14ac:dyDescent="0.3">
      <c r="A77" s="1" t="s">
        <v>530</v>
      </c>
      <c r="B77" s="6">
        <v>14</v>
      </c>
      <c r="C77" s="1" t="s">
        <v>20</v>
      </c>
      <c r="D77" s="28" t="s">
        <v>16</v>
      </c>
      <c r="E77" s="1"/>
      <c r="F77" s="1"/>
      <c r="G77" s="1">
        <v>3</v>
      </c>
    </row>
    <row r="78" spans="1:7" hidden="1" x14ac:dyDescent="0.3">
      <c r="A78" s="1" t="s">
        <v>70</v>
      </c>
      <c r="B78" s="6">
        <v>14</v>
      </c>
      <c r="C78" s="1" t="s">
        <v>20</v>
      </c>
      <c r="D78" s="28" t="s">
        <v>28</v>
      </c>
      <c r="E78" s="1" t="s">
        <v>66</v>
      </c>
      <c r="F78" s="1"/>
      <c r="G78" s="1"/>
    </row>
    <row r="79" spans="1:7" hidden="1" x14ac:dyDescent="0.3">
      <c r="A79" s="1" t="s">
        <v>85</v>
      </c>
      <c r="B79" s="6">
        <v>14</v>
      </c>
      <c r="C79" s="1" t="s">
        <v>20</v>
      </c>
      <c r="D79" s="28" t="s">
        <v>28</v>
      </c>
      <c r="E79" s="1" t="s">
        <v>66</v>
      </c>
      <c r="F79" s="1"/>
      <c r="G79" s="1"/>
    </row>
    <row r="80" spans="1:7" hidden="1" x14ac:dyDescent="0.3">
      <c r="A80" s="1" t="s">
        <v>74</v>
      </c>
      <c r="B80" s="6">
        <v>14</v>
      </c>
      <c r="C80" s="1" t="s">
        <v>20</v>
      </c>
      <c r="D80" s="28" t="s">
        <v>47</v>
      </c>
      <c r="E80" s="1"/>
      <c r="F80" s="1"/>
      <c r="G80" s="1"/>
    </row>
    <row r="81" spans="1:7" hidden="1" x14ac:dyDescent="0.3">
      <c r="A81" s="1" t="s">
        <v>327</v>
      </c>
      <c r="B81" s="6">
        <v>14</v>
      </c>
      <c r="C81" s="1" t="s">
        <v>20</v>
      </c>
      <c r="D81" s="28" t="s">
        <v>28</v>
      </c>
      <c r="E81" s="1" t="s">
        <v>33</v>
      </c>
      <c r="F81" s="1"/>
      <c r="G81" s="1"/>
    </row>
    <row r="82" spans="1:7" hidden="1" x14ac:dyDescent="0.3">
      <c r="A82" s="1" t="s">
        <v>346</v>
      </c>
      <c r="B82" s="6">
        <v>15</v>
      </c>
      <c r="C82" s="1" t="s">
        <v>20</v>
      </c>
      <c r="D82" s="28" t="s">
        <v>28</v>
      </c>
      <c r="E82" s="1" t="s">
        <v>33</v>
      </c>
      <c r="F82" s="1"/>
      <c r="G82" s="1"/>
    </row>
    <row r="83" spans="1:7" x14ac:dyDescent="0.3">
      <c r="A83" s="1" t="s">
        <v>337</v>
      </c>
      <c r="B83" s="6">
        <v>15</v>
      </c>
      <c r="C83" s="1" t="s">
        <v>20</v>
      </c>
      <c r="D83" s="28" t="s">
        <v>16</v>
      </c>
      <c r="E83" s="1" t="s">
        <v>787</v>
      </c>
      <c r="F83" s="1" t="s">
        <v>782</v>
      </c>
      <c r="G83" s="1">
        <v>2</v>
      </c>
    </row>
    <row r="84" spans="1:7" x14ac:dyDescent="0.3">
      <c r="A84" s="9" t="s">
        <v>95</v>
      </c>
      <c r="B84" s="134">
        <v>15</v>
      </c>
      <c r="C84" s="1" t="s">
        <v>20</v>
      </c>
      <c r="D84" s="15" t="s">
        <v>16</v>
      </c>
      <c r="E84" s="15" t="s">
        <v>788</v>
      </c>
      <c r="F84" s="1" t="s">
        <v>782</v>
      </c>
      <c r="G84" s="15">
        <v>1</v>
      </c>
    </row>
    <row r="85" spans="1:7" hidden="1" x14ac:dyDescent="0.3">
      <c r="A85" s="9" t="s">
        <v>344</v>
      </c>
      <c r="B85" s="19">
        <v>15</v>
      </c>
      <c r="C85" s="1" t="s">
        <v>20</v>
      </c>
      <c r="D85" s="15" t="s">
        <v>28</v>
      </c>
      <c r="E85" s="9"/>
      <c r="F85" s="9"/>
      <c r="G85" s="9"/>
    </row>
    <row r="86" spans="1:7" hidden="1" x14ac:dyDescent="0.3">
      <c r="A86" s="9" t="s">
        <v>348</v>
      </c>
      <c r="B86" s="19">
        <v>15</v>
      </c>
      <c r="C86" s="1" t="s">
        <v>20</v>
      </c>
      <c r="D86" s="15" t="s">
        <v>28</v>
      </c>
      <c r="E86" s="9" t="s">
        <v>543</v>
      </c>
      <c r="F86" s="9"/>
      <c r="G86" s="9"/>
    </row>
    <row r="87" spans="1:7" hidden="1" x14ac:dyDescent="0.3">
      <c r="A87" s="9" t="s">
        <v>341</v>
      </c>
      <c r="B87" s="19">
        <v>15</v>
      </c>
      <c r="C87" s="1" t="s">
        <v>20</v>
      </c>
      <c r="D87" s="15" t="s">
        <v>24</v>
      </c>
      <c r="E87" s="9"/>
      <c r="F87" s="9"/>
      <c r="G87" s="9"/>
    </row>
    <row r="88" spans="1:7" hidden="1" x14ac:dyDescent="0.3">
      <c r="A88" s="9" t="s">
        <v>351</v>
      </c>
      <c r="B88" s="19">
        <v>16</v>
      </c>
      <c r="C88" s="1" t="s">
        <v>20</v>
      </c>
      <c r="D88" s="15" t="s">
        <v>24</v>
      </c>
      <c r="E88" s="9"/>
      <c r="F88" s="9"/>
      <c r="G88" s="9"/>
    </row>
    <row r="89" spans="1:7" hidden="1" x14ac:dyDescent="0.3">
      <c r="A89" s="9" t="s">
        <v>361</v>
      </c>
      <c r="B89" s="19">
        <v>16</v>
      </c>
      <c r="C89" s="1" t="s">
        <v>20</v>
      </c>
      <c r="D89" s="15" t="s">
        <v>24</v>
      </c>
      <c r="E89" s="9" t="s">
        <v>680</v>
      </c>
      <c r="F89" s="9"/>
      <c r="G89" s="9"/>
    </row>
    <row r="90" spans="1:7" hidden="1" x14ac:dyDescent="0.3">
      <c r="A90" s="9" t="s">
        <v>101</v>
      </c>
      <c r="B90" s="19">
        <v>16</v>
      </c>
      <c r="C90" s="1" t="s">
        <v>20</v>
      </c>
      <c r="D90" s="15" t="s">
        <v>28</v>
      </c>
      <c r="E90" s="9"/>
      <c r="F90" s="9"/>
      <c r="G90" s="9"/>
    </row>
    <row r="91" spans="1:7" x14ac:dyDescent="0.3">
      <c r="A91" s="9" t="s">
        <v>353</v>
      </c>
      <c r="B91" s="134">
        <v>16</v>
      </c>
      <c r="C91" s="135" t="s">
        <v>20</v>
      </c>
      <c r="D91" s="15" t="s">
        <v>16</v>
      </c>
      <c r="E91" s="9"/>
      <c r="F91" s="1" t="s">
        <v>782</v>
      </c>
      <c r="G91" s="9">
        <v>3</v>
      </c>
    </row>
    <row r="92" spans="1:7" x14ac:dyDescent="0.3">
      <c r="A92" s="9" t="s">
        <v>105</v>
      </c>
      <c r="B92" s="134">
        <v>16</v>
      </c>
      <c r="C92" s="1" t="s">
        <v>20</v>
      </c>
      <c r="D92" s="15" t="s">
        <v>16</v>
      </c>
      <c r="E92" s="9" t="s">
        <v>780</v>
      </c>
      <c r="F92" s="9"/>
      <c r="G92" s="9">
        <v>1</v>
      </c>
    </row>
    <row r="93" spans="1:7" hidden="1" x14ac:dyDescent="0.3">
      <c r="A93" s="9" t="s">
        <v>352</v>
      </c>
      <c r="B93" s="19">
        <v>16</v>
      </c>
      <c r="C93" s="1" t="s">
        <v>20</v>
      </c>
      <c r="D93" s="15" t="s">
        <v>28</v>
      </c>
      <c r="E93" s="15" t="s">
        <v>33</v>
      </c>
      <c r="F93" s="15"/>
      <c r="G93" s="15"/>
    </row>
    <row r="94" spans="1:7" hidden="1" x14ac:dyDescent="0.3">
      <c r="A94" s="9" t="s">
        <v>356</v>
      </c>
      <c r="B94" s="19">
        <v>16</v>
      </c>
      <c r="C94" s="1" t="s">
        <v>20</v>
      </c>
      <c r="D94" s="15" t="s">
        <v>28</v>
      </c>
      <c r="E94" s="9"/>
      <c r="F94" s="9"/>
      <c r="G94" s="9"/>
    </row>
    <row r="95" spans="1:7" hidden="1" x14ac:dyDescent="0.3">
      <c r="A95" s="9" t="s">
        <v>369</v>
      </c>
      <c r="B95" s="14">
        <v>17</v>
      </c>
      <c r="C95" s="1" t="s">
        <v>20</v>
      </c>
      <c r="D95" s="15" t="s">
        <v>24</v>
      </c>
      <c r="E95" s="9"/>
      <c r="F95" s="9"/>
      <c r="G95" s="9"/>
    </row>
    <row r="96" spans="1:7" hidden="1" x14ac:dyDescent="0.3">
      <c r="A96" s="9" t="s">
        <v>114</v>
      </c>
      <c r="B96" s="14">
        <v>17</v>
      </c>
      <c r="C96" s="1" t="s">
        <v>20</v>
      </c>
      <c r="D96" s="15" t="s">
        <v>24</v>
      </c>
      <c r="E96" s="9" t="s">
        <v>687</v>
      </c>
      <c r="F96" s="9"/>
      <c r="G96" s="9"/>
    </row>
    <row r="97" spans="1:7" hidden="1" x14ac:dyDescent="0.3">
      <c r="A97" s="9" t="s">
        <v>122</v>
      </c>
      <c r="B97" s="14">
        <v>17</v>
      </c>
      <c r="C97" s="1" t="s">
        <v>20</v>
      </c>
      <c r="D97" s="15" t="s">
        <v>24</v>
      </c>
      <c r="E97" s="9" t="s">
        <v>688</v>
      </c>
      <c r="F97" s="9"/>
      <c r="G97" s="9"/>
    </row>
    <row r="98" spans="1:7" hidden="1" x14ac:dyDescent="0.3">
      <c r="A98" s="9" t="s">
        <v>125</v>
      </c>
      <c r="B98" s="14">
        <v>17</v>
      </c>
      <c r="C98" s="1" t="s">
        <v>20</v>
      </c>
      <c r="D98" s="15" t="s">
        <v>28</v>
      </c>
      <c r="E98" s="9"/>
      <c r="F98" s="9"/>
      <c r="G98" s="9"/>
    </row>
    <row r="99" spans="1:7" hidden="1" x14ac:dyDescent="0.3">
      <c r="A99" s="9" t="s">
        <v>139</v>
      </c>
      <c r="B99" s="19">
        <v>18</v>
      </c>
      <c r="C99" s="1" t="s">
        <v>20</v>
      </c>
      <c r="D99" s="9" t="s">
        <v>24</v>
      </c>
      <c r="E99" s="9" t="s">
        <v>688</v>
      </c>
      <c r="F99" s="9"/>
      <c r="G99" s="9"/>
    </row>
    <row r="100" spans="1:7" hidden="1" x14ac:dyDescent="0.3">
      <c r="A100" s="9" t="s">
        <v>138</v>
      </c>
      <c r="B100" s="19">
        <v>18</v>
      </c>
      <c r="C100" s="1" t="s">
        <v>20</v>
      </c>
      <c r="D100" s="9" t="s">
        <v>28</v>
      </c>
      <c r="E100" s="9" t="s">
        <v>232</v>
      </c>
      <c r="F100" s="9"/>
      <c r="G100" s="9"/>
    </row>
    <row r="101" spans="1:7" x14ac:dyDescent="0.3">
      <c r="A101" s="9" t="s">
        <v>380</v>
      </c>
      <c r="B101" s="134">
        <v>18</v>
      </c>
      <c r="C101" s="1" t="s">
        <v>20</v>
      </c>
      <c r="D101" s="9" t="s">
        <v>16</v>
      </c>
      <c r="E101" s="9"/>
      <c r="F101" s="1" t="s">
        <v>782</v>
      </c>
      <c r="G101" s="9"/>
    </row>
    <row r="102" spans="1:7" hidden="1" x14ac:dyDescent="0.3">
      <c r="A102" s="9" t="s">
        <v>127</v>
      </c>
      <c r="B102" s="19">
        <v>18</v>
      </c>
      <c r="C102" s="1" t="s">
        <v>20</v>
      </c>
      <c r="D102" s="9" t="s">
        <v>24</v>
      </c>
      <c r="E102" s="9" t="s">
        <v>680</v>
      </c>
      <c r="F102" s="9"/>
      <c r="G102" s="9"/>
    </row>
    <row r="103" spans="1:7" hidden="1" x14ac:dyDescent="0.3">
      <c r="A103" s="9" t="s">
        <v>210</v>
      </c>
      <c r="B103" s="19" t="s">
        <v>203</v>
      </c>
      <c r="C103" s="1" t="s">
        <v>20</v>
      </c>
      <c r="D103" s="9" t="s">
        <v>28</v>
      </c>
      <c r="E103" s="9" t="s">
        <v>789</v>
      </c>
      <c r="F103" s="9"/>
      <c r="G103" s="9"/>
    </row>
    <row r="104" spans="1:7" x14ac:dyDescent="0.3">
      <c r="A104" s="9" t="s">
        <v>253</v>
      </c>
      <c r="B104" s="134" t="s">
        <v>203</v>
      </c>
      <c r="C104" s="9" t="s">
        <v>23</v>
      </c>
      <c r="D104" s="9" t="s">
        <v>16</v>
      </c>
      <c r="E104" s="9" t="s">
        <v>780</v>
      </c>
      <c r="F104" s="1" t="s">
        <v>782</v>
      </c>
      <c r="G104" s="9">
        <v>1</v>
      </c>
    </row>
    <row r="105" spans="1:7" hidden="1" x14ac:dyDescent="0.3">
      <c r="A105" s="9" t="s">
        <v>58</v>
      </c>
      <c r="B105" s="19">
        <v>13</v>
      </c>
      <c r="C105" s="9" t="s">
        <v>20</v>
      </c>
      <c r="D105" s="9" t="s">
        <v>28</v>
      </c>
      <c r="E105" s="9" t="s">
        <v>780</v>
      </c>
      <c r="F105" s="9"/>
      <c r="G105" s="9"/>
    </row>
    <row r="106" spans="1:7" hidden="1" x14ac:dyDescent="0.3">
      <c r="A106" s="68" t="s">
        <v>112</v>
      </c>
      <c r="B106" s="19">
        <v>16</v>
      </c>
      <c r="C106" s="9" t="s">
        <v>447</v>
      </c>
      <c r="D106" s="9" t="s">
        <v>28</v>
      </c>
      <c r="E106" s="9" t="s">
        <v>33</v>
      </c>
      <c r="F106" s="9"/>
      <c r="G106" s="9"/>
    </row>
    <row r="107" spans="1:7" x14ac:dyDescent="0.3">
      <c r="A107" s="122" t="s">
        <v>68</v>
      </c>
      <c r="B107" s="132">
        <v>11</v>
      </c>
      <c r="C107" s="9" t="s">
        <v>23</v>
      </c>
      <c r="D107" s="9" t="s">
        <v>16</v>
      </c>
      <c r="E107" s="9" t="s">
        <v>787</v>
      </c>
      <c r="F107" s="1" t="s">
        <v>782</v>
      </c>
      <c r="G107" s="9">
        <v>3</v>
      </c>
    </row>
    <row r="108" spans="1:7" x14ac:dyDescent="0.3">
      <c r="A108" s="96" t="s">
        <v>126</v>
      </c>
      <c r="B108" s="134">
        <v>17</v>
      </c>
      <c r="C108" s="9" t="s">
        <v>20</v>
      </c>
      <c r="D108" s="9" t="s">
        <v>16</v>
      </c>
      <c r="E108" s="9" t="s">
        <v>787</v>
      </c>
      <c r="F108" s="1" t="s">
        <v>782</v>
      </c>
      <c r="G108" s="9">
        <v>3</v>
      </c>
    </row>
    <row r="109" spans="1:7" x14ac:dyDescent="0.3">
      <c r="A109" s="122" t="s">
        <v>34</v>
      </c>
      <c r="B109" s="99">
        <v>12</v>
      </c>
      <c r="C109" s="9" t="s">
        <v>447</v>
      </c>
      <c r="D109" s="9" t="s">
        <v>16</v>
      </c>
      <c r="E109" s="9" t="s">
        <v>780</v>
      </c>
      <c r="F109" s="9"/>
      <c r="G109" s="9"/>
    </row>
    <row r="110" spans="1:7" x14ac:dyDescent="0.3">
      <c r="A110" s="79" t="s">
        <v>790</v>
      </c>
      <c r="B110" s="19" t="s">
        <v>791</v>
      </c>
      <c r="C110" s="9" t="s">
        <v>23</v>
      </c>
      <c r="D110" s="9" t="s">
        <v>16</v>
      </c>
      <c r="E110" s="9" t="s">
        <v>780</v>
      </c>
      <c r="F110" s="9"/>
      <c r="G110" s="9"/>
    </row>
    <row r="111" spans="1:7" x14ac:dyDescent="0.3">
      <c r="A111" s="9" t="s">
        <v>207</v>
      </c>
      <c r="B111" s="134" t="s">
        <v>203</v>
      </c>
      <c r="C111" s="9" t="s">
        <v>20</v>
      </c>
      <c r="D111" s="9" t="s">
        <v>16</v>
      </c>
      <c r="E111" s="9" t="s">
        <v>780</v>
      </c>
      <c r="F111" s="1" t="s">
        <v>782</v>
      </c>
      <c r="G111" s="9">
        <v>3</v>
      </c>
    </row>
    <row r="112" spans="1:7" x14ac:dyDescent="0.3">
      <c r="A112" s="68" t="s">
        <v>792</v>
      </c>
      <c r="B112" s="134">
        <v>14</v>
      </c>
      <c r="C112" s="9" t="s">
        <v>23</v>
      </c>
      <c r="D112" s="9" t="s">
        <v>16</v>
      </c>
      <c r="E112" s="9"/>
      <c r="F112" s="9"/>
      <c r="G112" s="9">
        <v>2</v>
      </c>
    </row>
    <row r="113" spans="1:7" x14ac:dyDescent="0.3">
      <c r="A113" s="125" t="s">
        <v>330</v>
      </c>
      <c r="B113" s="138">
        <v>14</v>
      </c>
      <c r="C113" s="68" t="s">
        <v>23</v>
      </c>
      <c r="D113" s="68" t="s">
        <v>16</v>
      </c>
      <c r="E113" s="68" t="s">
        <v>793</v>
      </c>
      <c r="F113" s="1" t="s">
        <v>782</v>
      </c>
      <c r="G113" s="68">
        <v>3</v>
      </c>
    </row>
    <row r="114" spans="1:7" x14ac:dyDescent="0.3">
      <c r="A114" s="125" t="s">
        <v>366</v>
      </c>
      <c r="B114" s="137">
        <v>17</v>
      </c>
      <c r="C114" s="68" t="s">
        <v>23</v>
      </c>
      <c r="D114" s="68" t="s">
        <v>16</v>
      </c>
      <c r="E114" s="68"/>
      <c r="F114" s="1" t="s">
        <v>782</v>
      </c>
      <c r="G114" s="68">
        <v>1</v>
      </c>
    </row>
    <row r="115" spans="1:7" x14ac:dyDescent="0.3">
      <c r="A115" s="9" t="s">
        <v>318</v>
      </c>
      <c r="B115" s="19">
        <v>13</v>
      </c>
      <c r="C115" s="9" t="s">
        <v>23</v>
      </c>
      <c r="D115" s="9" t="s">
        <v>16</v>
      </c>
      <c r="E115" s="9"/>
      <c r="F115" s="76"/>
      <c r="G115" s="9"/>
    </row>
    <row r="116" spans="1:7" x14ac:dyDescent="0.3">
      <c r="A116" s="125" t="s">
        <v>375</v>
      </c>
      <c r="B116" s="137">
        <v>17</v>
      </c>
      <c r="C116" t="s">
        <v>23</v>
      </c>
      <c r="D116" s="68" t="s">
        <v>16</v>
      </c>
      <c r="E116" s="68"/>
      <c r="F116" s="1" t="s">
        <v>782</v>
      </c>
      <c r="G116" s="9">
        <v>2</v>
      </c>
    </row>
    <row r="117" spans="1:7" x14ac:dyDescent="0.3">
      <c r="A117" s="126" t="s">
        <v>336</v>
      </c>
      <c r="B117" s="139">
        <v>15</v>
      </c>
      <c r="C117" s="9" t="s">
        <v>23</v>
      </c>
      <c r="D117" s="9" t="s">
        <v>16</v>
      </c>
      <c r="E117" s="9"/>
      <c r="F117" s="76"/>
      <c r="G117" s="9"/>
    </row>
    <row r="118" spans="1:7" x14ac:dyDescent="0.3">
      <c r="A118" s="9" t="s">
        <v>794</v>
      </c>
      <c r="B118" s="134">
        <v>15</v>
      </c>
      <c r="C118" s="9" t="s">
        <v>20</v>
      </c>
      <c r="D118" s="9" t="s">
        <v>16</v>
      </c>
      <c r="E118" s="9" t="s">
        <v>795</v>
      </c>
      <c r="F118" s="1" t="s">
        <v>782</v>
      </c>
      <c r="G118" s="9">
        <v>1</v>
      </c>
    </row>
    <row r="121" spans="1:7" ht="21" x14ac:dyDescent="0.4">
      <c r="A121" s="128" t="s">
        <v>211</v>
      </c>
      <c r="B121" s="129"/>
      <c r="C121" s="130"/>
      <c r="D121" s="131">
        <f>+COUNTIF(D3:D118,"OK")</f>
        <v>30</v>
      </c>
      <c r="E121" s="131"/>
    </row>
  </sheetData>
  <autoFilter ref="A2:G118" xr:uid="{BD847532-BB21-486B-BE90-E6CEAB294FCC}">
    <filterColumn colId="3">
      <filters>
        <filter val="OK"/>
      </filters>
    </filterColumn>
  </autoFilter>
  <mergeCells count="1">
    <mergeCell ref="B1:E1"/>
  </mergeCells>
  <conditionalFormatting sqref="A29:B29">
    <cfRule type="expression" dxfId="976" priority="12">
      <formula>COUNTIF($A29:G29, "NI")</formula>
    </cfRule>
  </conditionalFormatting>
  <conditionalFormatting sqref="A40:B40">
    <cfRule type="expression" dxfId="975" priority="11">
      <formula>COUNTIF($A40:Y40, "NI")</formula>
    </cfRule>
  </conditionalFormatting>
  <conditionalFormatting sqref="A43:B46">
    <cfRule type="expression" dxfId="974" priority="5">
      <formula>COUNTIF($A43:Y43, "NI")</formula>
    </cfRule>
  </conditionalFormatting>
  <conditionalFormatting sqref="A60:B83 A41:A42 A48:B58">
    <cfRule type="expression" dxfId="973" priority="6">
      <formula>COUNTIF($A41:Y41, "NI")</formula>
    </cfRule>
  </conditionalFormatting>
  <conditionalFormatting sqref="B29">
    <cfRule type="expression" dxfId="972" priority="13">
      <formula>COUNTIF($B29:G29, "C")</formula>
    </cfRule>
    <cfRule type="expression" dxfId="971" priority="14">
      <formula>COUNTIF($B29:G29, "Q")</formula>
    </cfRule>
    <cfRule type="expression" dxfId="970" priority="15">
      <formula>COUNTIF($B29:G29, "M")</formula>
    </cfRule>
    <cfRule type="expression" dxfId="969" priority="16">
      <formula>COUNTIF($B29:G29, "A")</formula>
    </cfRule>
  </conditionalFormatting>
  <conditionalFormatting sqref="B40 B48:B58">
    <cfRule type="expression" dxfId="968" priority="8">
      <formula>COUNTIF($B40:Z40, "Q")</formula>
    </cfRule>
    <cfRule type="expression" dxfId="967" priority="9">
      <formula>COUNTIF($B40:Z40, "M")</formula>
    </cfRule>
    <cfRule type="expression" dxfId="966" priority="10">
      <formula>COUNTIF($B40:Z40, "A")</formula>
    </cfRule>
  </conditionalFormatting>
  <conditionalFormatting sqref="B43:B46 B60:B83">
    <cfRule type="expression" dxfId="965" priority="1">
      <formula>COUNTIF($B43:Z43, "C")</formula>
    </cfRule>
    <cfRule type="expression" dxfId="964" priority="2">
      <formula>COUNTIF($B43:Z43, "Q")</formula>
    </cfRule>
    <cfRule type="expression" dxfId="963" priority="3">
      <formula>COUNTIF($B43:Z43, "M")</formula>
    </cfRule>
    <cfRule type="expression" dxfId="962" priority="4">
      <formula>COUNTIF($B43:Z43, "A")</formula>
    </cfRule>
  </conditionalFormatting>
  <conditionalFormatting sqref="B48:B58 B40">
    <cfRule type="expression" dxfId="961" priority="7">
      <formula>COUNTIF($B40:Z40, "C")</formula>
    </cfRule>
  </conditionalFormatting>
  <pageMargins left="0.7" right="0.7" top="0.75" bottom="0.75" header="0.3" footer="0.3"/>
  <pageSetup orientation="portrait" horizontalDpi="360" verticalDpi="36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0672B-CFA8-4DFF-A494-D2844A7BF64D}">
  <sheetPr filterMode="1">
    <tabColor rgb="FFFFFF00"/>
  </sheetPr>
  <dimension ref="A1:K155"/>
  <sheetViews>
    <sheetView zoomScale="105" workbookViewId="0">
      <selection activeCell="A29" sqref="A29"/>
    </sheetView>
  </sheetViews>
  <sheetFormatPr baseColWidth="10" defaultColWidth="137.33203125" defaultRowHeight="14.4" x14ac:dyDescent="0.3"/>
  <cols>
    <col min="1" max="1" width="43.109375" bestFit="1" customWidth="1"/>
    <col min="2" max="2" width="10.88671875" style="26" bestFit="1" customWidth="1"/>
    <col min="3" max="3" width="17.6640625" bestFit="1" customWidth="1"/>
    <col min="4" max="4" width="17.6640625" customWidth="1"/>
    <col min="5" max="5" width="10.5546875" customWidth="1"/>
    <col min="6" max="6" width="64.6640625" customWidth="1"/>
    <col min="7" max="7" width="7.6640625" bestFit="1" customWidth="1"/>
    <col min="8" max="8" width="9.6640625" bestFit="1" customWidth="1"/>
    <col min="9" max="9" width="11.6640625" bestFit="1" customWidth="1"/>
    <col min="10" max="10" width="5.6640625" bestFit="1" customWidth="1"/>
    <col min="11" max="11" width="6.6640625" customWidth="1"/>
  </cols>
  <sheetData>
    <row r="1" spans="1:11" ht="15.6" x14ac:dyDescent="0.3">
      <c r="A1" s="10"/>
      <c r="B1" s="357"/>
      <c r="C1" s="357"/>
      <c r="D1" s="357"/>
      <c r="E1" s="358"/>
      <c r="F1" s="357"/>
      <c r="G1" s="85"/>
      <c r="H1" s="33"/>
    </row>
    <row r="2" spans="1:11" x14ac:dyDescent="0.3">
      <c r="A2" s="30" t="s">
        <v>2</v>
      </c>
      <c r="B2" s="2" t="s">
        <v>3</v>
      </c>
      <c r="C2" s="30" t="s">
        <v>4</v>
      </c>
      <c r="D2" s="30" t="s">
        <v>796</v>
      </c>
      <c r="E2" s="195" t="s">
        <v>5</v>
      </c>
      <c r="F2" s="30" t="s">
        <v>6</v>
      </c>
      <c r="G2" s="30" t="s">
        <v>7</v>
      </c>
      <c r="H2" s="30" t="s">
        <v>8</v>
      </c>
      <c r="I2" s="36" t="s">
        <v>9</v>
      </c>
      <c r="J2" t="s">
        <v>10</v>
      </c>
      <c r="K2" t="s">
        <v>11</v>
      </c>
    </row>
    <row r="3" spans="1:11" hidden="1" x14ac:dyDescent="0.3">
      <c r="A3" s="1" t="s">
        <v>92</v>
      </c>
      <c r="B3" s="6">
        <v>4</v>
      </c>
      <c r="C3" s="1" t="s">
        <v>13</v>
      </c>
      <c r="D3" s="1" t="s">
        <v>13</v>
      </c>
      <c r="E3" s="3" t="s">
        <v>28</v>
      </c>
      <c r="F3" s="1" t="s">
        <v>15</v>
      </c>
      <c r="G3" s="30"/>
      <c r="H3" s="30"/>
      <c r="I3" s="36"/>
    </row>
    <row r="4" spans="1:11" hidden="1" x14ac:dyDescent="0.3">
      <c r="A4" s="1" t="s">
        <v>249</v>
      </c>
      <c r="B4" s="6">
        <v>5</v>
      </c>
      <c r="C4" s="1" t="s">
        <v>13</v>
      </c>
      <c r="D4" s="1"/>
      <c r="E4" s="3" t="s">
        <v>28</v>
      </c>
      <c r="F4" s="1" t="s">
        <v>493</v>
      </c>
      <c r="G4" s="30"/>
      <c r="H4" s="30"/>
      <c r="I4" s="36"/>
    </row>
    <row r="5" spans="1:11" hidden="1" x14ac:dyDescent="0.3">
      <c r="A5" s="1" t="s">
        <v>25</v>
      </c>
      <c r="B5" s="6">
        <v>8</v>
      </c>
      <c r="C5" s="1" t="s">
        <v>13</v>
      </c>
      <c r="D5" s="1" t="s">
        <v>447</v>
      </c>
      <c r="E5" s="3"/>
      <c r="F5" s="1"/>
      <c r="G5" s="1"/>
      <c r="H5" s="1"/>
      <c r="I5" s="1"/>
    </row>
    <row r="6" spans="1:11" hidden="1" x14ac:dyDescent="0.3">
      <c r="A6" s="1" t="s">
        <v>22</v>
      </c>
      <c r="B6" s="6">
        <v>8</v>
      </c>
      <c r="C6" s="1" t="s">
        <v>448</v>
      </c>
      <c r="D6" s="1"/>
      <c r="E6" s="3" t="s">
        <v>28</v>
      </c>
      <c r="F6" s="1" t="s">
        <v>450</v>
      </c>
      <c r="G6" s="1"/>
      <c r="H6" s="1"/>
      <c r="I6" s="1"/>
    </row>
    <row r="7" spans="1:11" hidden="1" x14ac:dyDescent="0.3">
      <c r="A7" s="1" t="s">
        <v>272</v>
      </c>
      <c r="B7" s="6">
        <v>9</v>
      </c>
      <c r="C7" s="1" t="s">
        <v>13</v>
      </c>
      <c r="D7" s="1"/>
      <c r="E7" s="136"/>
      <c r="F7" s="1" t="s">
        <v>451</v>
      </c>
      <c r="G7" s="1"/>
      <c r="H7" s="1"/>
      <c r="I7" s="1" t="s">
        <v>16</v>
      </c>
    </row>
    <row r="8" spans="1:11" hidden="1" x14ac:dyDescent="0.3">
      <c r="A8" s="1" t="s">
        <v>27</v>
      </c>
      <c r="B8" s="6">
        <v>10</v>
      </c>
      <c r="C8" s="1" t="s">
        <v>447</v>
      </c>
      <c r="D8" s="1" t="s">
        <v>467</v>
      </c>
      <c r="E8" s="3" t="s">
        <v>28</v>
      </c>
      <c r="F8" s="1"/>
      <c r="G8" s="1"/>
      <c r="H8" s="1"/>
      <c r="I8" s="1"/>
    </row>
    <row r="9" spans="1:11" hidden="1" x14ac:dyDescent="0.3">
      <c r="A9" s="1" t="s">
        <v>29</v>
      </c>
      <c r="B9" s="6">
        <v>10</v>
      </c>
      <c r="C9" s="1" t="s">
        <v>13</v>
      </c>
      <c r="D9" s="1" t="s">
        <v>13</v>
      </c>
      <c r="E9" s="3"/>
      <c r="F9" s="1"/>
      <c r="G9" s="1"/>
      <c r="H9" s="1"/>
      <c r="I9" s="1"/>
    </row>
    <row r="10" spans="1:11" hidden="1" x14ac:dyDescent="0.3">
      <c r="A10" s="1" t="s">
        <v>30</v>
      </c>
      <c r="B10" s="6">
        <v>10</v>
      </c>
      <c r="C10" s="1" t="s">
        <v>13</v>
      </c>
      <c r="D10" s="1" t="s">
        <v>797</v>
      </c>
      <c r="E10" s="3" t="s">
        <v>28</v>
      </c>
      <c r="F10" s="1" t="s">
        <v>798</v>
      </c>
      <c r="G10" s="1"/>
      <c r="H10" s="1"/>
      <c r="I10" s="1"/>
    </row>
    <row r="11" spans="1:11" hidden="1" x14ac:dyDescent="0.3">
      <c r="A11" s="1" t="s">
        <v>31</v>
      </c>
      <c r="B11" s="6">
        <v>10</v>
      </c>
      <c r="C11" s="1" t="s">
        <v>447</v>
      </c>
      <c r="D11" s="1" t="s">
        <v>447</v>
      </c>
      <c r="E11" s="3" t="s">
        <v>24</v>
      </c>
      <c r="F11" s="1"/>
      <c r="G11" s="1"/>
      <c r="H11" s="1"/>
      <c r="I11" s="1"/>
    </row>
    <row r="12" spans="1:11" hidden="1" x14ac:dyDescent="0.3">
      <c r="A12" s="1" t="s">
        <v>32</v>
      </c>
      <c r="B12" s="6">
        <v>10</v>
      </c>
      <c r="C12" s="1" t="s">
        <v>448</v>
      </c>
      <c r="D12" s="1" t="s">
        <v>797</v>
      </c>
      <c r="E12" s="3" t="s">
        <v>35</v>
      </c>
      <c r="F12" s="1" t="s">
        <v>799</v>
      </c>
      <c r="G12" s="1"/>
      <c r="H12" s="1"/>
      <c r="I12" s="1"/>
    </row>
    <row r="13" spans="1:11" hidden="1" x14ac:dyDescent="0.3">
      <c r="A13" s="1" t="s">
        <v>284</v>
      </c>
      <c r="B13" s="6">
        <v>11</v>
      </c>
      <c r="C13" s="1" t="s">
        <v>448</v>
      </c>
      <c r="D13" s="1" t="s">
        <v>797</v>
      </c>
      <c r="E13" s="3" t="s">
        <v>28</v>
      </c>
      <c r="F13" s="1" t="s">
        <v>798</v>
      </c>
      <c r="G13" s="1"/>
      <c r="H13" s="1"/>
      <c r="I13" s="1"/>
    </row>
    <row r="14" spans="1:11" hidden="1" x14ac:dyDescent="0.3">
      <c r="A14" s="1" t="s">
        <v>38</v>
      </c>
      <c r="B14" s="6">
        <v>11</v>
      </c>
      <c r="C14" s="1" t="s">
        <v>13</v>
      </c>
      <c r="D14" s="1" t="s">
        <v>797</v>
      </c>
      <c r="E14" s="3" t="s">
        <v>24</v>
      </c>
      <c r="F14" s="1"/>
      <c r="G14" s="1"/>
      <c r="H14" s="1"/>
      <c r="I14" s="1"/>
    </row>
    <row r="15" spans="1:11" hidden="1" x14ac:dyDescent="0.3">
      <c r="A15" s="1" t="s">
        <v>39</v>
      </c>
      <c r="B15" s="6">
        <v>11</v>
      </c>
      <c r="C15" s="1" t="s">
        <v>13</v>
      </c>
      <c r="D15" s="1"/>
      <c r="E15" s="3" t="s">
        <v>28</v>
      </c>
      <c r="F15" s="28" t="s">
        <v>454</v>
      </c>
      <c r="G15" s="28"/>
      <c r="H15" s="28"/>
      <c r="I15" s="1"/>
      <c r="K15">
        <f>8-51</f>
        <v>-43</v>
      </c>
    </row>
    <row r="16" spans="1:11" hidden="1" x14ac:dyDescent="0.3">
      <c r="A16" s="1" t="s">
        <v>41</v>
      </c>
      <c r="B16" s="6">
        <v>11</v>
      </c>
      <c r="C16" s="1" t="s">
        <v>13</v>
      </c>
      <c r="D16" s="1"/>
      <c r="E16" s="136"/>
      <c r="F16" s="1" t="s">
        <v>800</v>
      </c>
      <c r="G16" s="1"/>
      <c r="H16" s="1"/>
      <c r="I16" s="1" t="s">
        <v>16</v>
      </c>
    </row>
    <row r="17" spans="1:9" hidden="1" x14ac:dyDescent="0.3">
      <c r="A17" s="1" t="s">
        <v>42</v>
      </c>
      <c r="B17" s="6">
        <v>11</v>
      </c>
      <c r="C17" s="1" t="s">
        <v>447</v>
      </c>
      <c r="D17" s="1"/>
      <c r="E17" s="3" t="s">
        <v>28</v>
      </c>
      <c r="F17" s="29" t="s">
        <v>33</v>
      </c>
      <c r="G17" s="1"/>
      <c r="H17" s="1"/>
      <c r="I17" s="1"/>
    </row>
    <row r="18" spans="1:9" hidden="1" x14ac:dyDescent="0.3">
      <c r="A18" s="1" t="s">
        <v>34</v>
      </c>
      <c r="B18" s="6">
        <v>11</v>
      </c>
      <c r="C18" s="1" t="s">
        <v>448</v>
      </c>
      <c r="D18" s="1" t="s">
        <v>797</v>
      </c>
      <c r="E18" s="302" t="s">
        <v>14</v>
      </c>
      <c r="F18" s="1"/>
      <c r="G18" s="1"/>
      <c r="H18" s="1"/>
      <c r="I18" s="1" t="s">
        <v>14</v>
      </c>
    </row>
    <row r="19" spans="1:9" hidden="1" x14ac:dyDescent="0.3">
      <c r="A19" s="1" t="s">
        <v>51</v>
      </c>
      <c r="B19" s="6">
        <v>12</v>
      </c>
      <c r="C19" s="1" t="s">
        <v>13</v>
      </c>
      <c r="D19" s="1" t="s">
        <v>467</v>
      </c>
      <c r="E19" s="3" t="s">
        <v>24</v>
      </c>
      <c r="F19" s="1"/>
      <c r="G19" s="1"/>
      <c r="H19" s="1"/>
      <c r="I19" s="1"/>
    </row>
    <row r="20" spans="1:9" hidden="1" x14ac:dyDescent="0.3">
      <c r="A20" s="1" t="s">
        <v>52</v>
      </c>
      <c r="B20" s="6">
        <v>12</v>
      </c>
      <c r="C20" s="1" t="s">
        <v>13</v>
      </c>
      <c r="D20" s="1" t="s">
        <v>447</v>
      </c>
      <c r="E20" s="3" t="s">
        <v>24</v>
      </c>
      <c r="F20" s="1" t="s">
        <v>33</v>
      </c>
      <c r="G20" s="1"/>
      <c r="H20" s="1"/>
      <c r="I20" s="1"/>
    </row>
    <row r="21" spans="1:9" hidden="1" x14ac:dyDescent="0.3">
      <c r="A21" s="1" t="s">
        <v>49</v>
      </c>
      <c r="B21" s="6">
        <v>12</v>
      </c>
      <c r="C21" s="1" t="s">
        <v>13</v>
      </c>
      <c r="D21" s="1" t="s">
        <v>13</v>
      </c>
      <c r="E21" s="3"/>
      <c r="F21" s="28" t="s">
        <v>50</v>
      </c>
      <c r="G21" s="1"/>
      <c r="H21" s="1"/>
      <c r="I21" s="1"/>
    </row>
    <row r="22" spans="1:9" hidden="1" x14ac:dyDescent="0.3">
      <c r="A22" s="1" t="s">
        <v>45</v>
      </c>
      <c r="B22" s="6">
        <v>12</v>
      </c>
      <c r="C22" s="1" t="s">
        <v>448</v>
      </c>
      <c r="D22" s="1" t="s">
        <v>467</v>
      </c>
      <c r="E22" s="3" t="s">
        <v>110</v>
      </c>
      <c r="F22" s="1"/>
      <c r="G22" s="1"/>
      <c r="H22" s="1"/>
      <c r="I22" s="1"/>
    </row>
    <row r="23" spans="1:9" hidden="1" x14ac:dyDescent="0.3">
      <c r="A23" s="1" t="s">
        <v>46</v>
      </c>
      <c r="B23" s="6">
        <v>12</v>
      </c>
      <c r="C23" s="1" t="s">
        <v>448</v>
      </c>
      <c r="D23" s="1"/>
      <c r="E23" s="3" t="s">
        <v>116</v>
      </c>
      <c r="F23" s="1"/>
      <c r="G23" s="1"/>
      <c r="H23" s="1"/>
      <c r="I23" s="1"/>
    </row>
    <row r="24" spans="1:9" hidden="1" x14ac:dyDescent="0.3">
      <c r="A24" s="1" t="s">
        <v>56</v>
      </c>
      <c r="B24" s="6">
        <v>13</v>
      </c>
      <c r="C24" s="1" t="s">
        <v>447</v>
      </c>
      <c r="D24" s="1" t="s">
        <v>13</v>
      </c>
      <c r="E24" s="3" t="s">
        <v>24</v>
      </c>
      <c r="F24" s="1"/>
      <c r="G24" s="1"/>
      <c r="H24" s="1"/>
      <c r="I24" s="1"/>
    </row>
    <row r="25" spans="1:9" hidden="1" x14ac:dyDescent="0.3">
      <c r="A25" s="1" t="s">
        <v>55</v>
      </c>
      <c r="B25" s="6">
        <v>13</v>
      </c>
      <c r="C25" s="1" t="s">
        <v>447</v>
      </c>
      <c r="D25" s="1" t="s">
        <v>797</v>
      </c>
      <c r="E25" s="3" t="s">
        <v>28</v>
      </c>
      <c r="F25" s="1"/>
      <c r="G25" s="1"/>
      <c r="H25" s="1"/>
      <c r="I25" s="1"/>
    </row>
    <row r="26" spans="1:9" hidden="1" x14ac:dyDescent="0.3">
      <c r="A26" s="1" t="s">
        <v>58</v>
      </c>
      <c r="B26" s="6">
        <v>13</v>
      </c>
      <c r="C26" s="1" t="s">
        <v>447</v>
      </c>
      <c r="D26" s="1" t="s">
        <v>447</v>
      </c>
      <c r="E26" s="3"/>
      <c r="F26" s="1" t="s">
        <v>59</v>
      </c>
      <c r="G26" s="1"/>
      <c r="H26" s="1"/>
      <c r="I26" s="1"/>
    </row>
    <row r="27" spans="1:9" hidden="1" x14ac:dyDescent="0.3">
      <c r="A27" s="1" t="s">
        <v>60</v>
      </c>
      <c r="B27" s="6">
        <v>13</v>
      </c>
      <c r="C27" s="1" t="s">
        <v>13</v>
      </c>
      <c r="D27" s="1"/>
      <c r="E27" s="3" t="s">
        <v>28</v>
      </c>
      <c r="F27" s="1" t="s">
        <v>61</v>
      </c>
      <c r="G27" s="1"/>
      <c r="H27" s="1"/>
      <c r="I27" s="1"/>
    </row>
    <row r="28" spans="1:9" hidden="1" x14ac:dyDescent="0.3">
      <c r="A28" s="1" t="s">
        <v>62</v>
      </c>
      <c r="B28" s="6">
        <v>13</v>
      </c>
      <c r="C28" s="1" t="s">
        <v>13</v>
      </c>
      <c r="D28" s="1" t="s">
        <v>797</v>
      </c>
      <c r="E28" s="3" t="s">
        <v>28</v>
      </c>
      <c r="F28" s="1" t="s">
        <v>798</v>
      </c>
      <c r="G28" s="1"/>
      <c r="H28" s="1"/>
      <c r="I28" s="1"/>
    </row>
    <row r="29" spans="1:9" x14ac:dyDescent="0.3">
      <c r="A29" s="1" t="s">
        <v>68</v>
      </c>
      <c r="B29" s="6">
        <v>11</v>
      </c>
      <c r="C29" s="1" t="s">
        <v>13</v>
      </c>
      <c r="D29" s="1"/>
      <c r="E29" s="136" t="s">
        <v>16</v>
      </c>
      <c r="F29" s="1"/>
      <c r="G29" s="1"/>
      <c r="H29" s="1"/>
      <c r="I29" s="1" t="s">
        <v>16</v>
      </c>
    </row>
    <row r="30" spans="1:9" hidden="1" x14ac:dyDescent="0.3">
      <c r="A30" s="1" t="s">
        <v>65</v>
      </c>
      <c r="B30" s="6">
        <v>13</v>
      </c>
      <c r="C30" s="1" t="s">
        <v>448</v>
      </c>
      <c r="D30" s="1" t="s">
        <v>447</v>
      </c>
      <c r="E30" s="3"/>
      <c r="F30" s="1"/>
      <c r="G30" s="1"/>
      <c r="H30" s="1"/>
      <c r="I30" s="1"/>
    </row>
    <row r="31" spans="1:9" hidden="1" x14ac:dyDescent="0.3">
      <c r="A31" s="1" t="s">
        <v>67</v>
      </c>
      <c r="B31" s="6">
        <v>13</v>
      </c>
      <c r="C31" s="1" t="s">
        <v>13</v>
      </c>
      <c r="D31" s="1" t="s">
        <v>447</v>
      </c>
      <c r="E31" s="3"/>
      <c r="F31" s="1"/>
      <c r="G31" s="1"/>
      <c r="H31" s="1"/>
      <c r="I31" s="1"/>
    </row>
    <row r="32" spans="1:9" hidden="1" x14ac:dyDescent="0.3">
      <c r="A32" s="1" t="s">
        <v>57</v>
      </c>
      <c r="B32" s="6">
        <v>13</v>
      </c>
      <c r="C32" s="1" t="s">
        <v>448</v>
      </c>
      <c r="D32" s="1"/>
      <c r="E32" s="3" t="s">
        <v>28</v>
      </c>
      <c r="F32" s="1"/>
      <c r="G32" s="1"/>
      <c r="H32" s="1"/>
      <c r="I32" s="1"/>
    </row>
    <row r="33" spans="1:9" hidden="1" x14ac:dyDescent="0.3">
      <c r="A33" s="1" t="s">
        <v>70</v>
      </c>
      <c r="B33" s="6">
        <v>14</v>
      </c>
      <c r="C33" s="1" t="s">
        <v>447</v>
      </c>
      <c r="D33" s="1"/>
      <c r="E33" s="3" t="s">
        <v>28</v>
      </c>
      <c r="F33" s="1"/>
      <c r="G33" s="1"/>
      <c r="H33" s="1"/>
      <c r="I33" s="1"/>
    </row>
    <row r="34" spans="1:9" hidden="1" x14ac:dyDescent="0.3">
      <c r="A34" s="1" t="s">
        <v>74</v>
      </c>
      <c r="B34" s="6">
        <v>14</v>
      </c>
      <c r="C34" s="1" t="s">
        <v>13</v>
      </c>
      <c r="D34" s="1" t="s">
        <v>13</v>
      </c>
      <c r="E34" s="3"/>
      <c r="F34" s="1" t="s">
        <v>75</v>
      </c>
      <c r="G34" s="1"/>
      <c r="H34" s="1"/>
      <c r="I34" s="1"/>
    </row>
    <row r="35" spans="1:9" hidden="1" x14ac:dyDescent="0.3">
      <c r="A35" s="1" t="s">
        <v>71</v>
      </c>
      <c r="B35" s="6">
        <v>14</v>
      </c>
      <c r="C35" s="1" t="s">
        <v>13</v>
      </c>
      <c r="D35" s="1" t="s">
        <v>797</v>
      </c>
      <c r="E35" s="3" t="s">
        <v>24</v>
      </c>
      <c r="F35" s="1"/>
      <c r="G35" s="1"/>
      <c r="H35" s="1"/>
      <c r="I35" s="1"/>
    </row>
    <row r="36" spans="1:9" hidden="1" x14ac:dyDescent="0.3">
      <c r="A36" s="1" t="s">
        <v>155</v>
      </c>
      <c r="B36" s="6">
        <v>14</v>
      </c>
      <c r="C36" s="1" t="s">
        <v>13</v>
      </c>
      <c r="D36" s="1" t="s">
        <v>467</v>
      </c>
      <c r="E36" s="3" t="s">
        <v>28</v>
      </c>
      <c r="F36" s="1" t="s">
        <v>64</v>
      </c>
      <c r="G36" s="1"/>
      <c r="H36" s="1"/>
      <c r="I36" s="1"/>
    </row>
    <row r="37" spans="1:9" hidden="1" x14ac:dyDescent="0.3">
      <c r="A37" s="1" t="s">
        <v>84</v>
      </c>
      <c r="B37" s="6">
        <v>14</v>
      </c>
      <c r="C37" s="1" t="s">
        <v>447</v>
      </c>
      <c r="D37" s="1" t="s">
        <v>467</v>
      </c>
      <c r="E37" s="3" t="s">
        <v>47</v>
      </c>
      <c r="F37" s="1"/>
      <c r="G37" s="1"/>
      <c r="H37" s="1"/>
      <c r="I37" s="1"/>
    </row>
    <row r="38" spans="1:9" x14ac:dyDescent="0.3">
      <c r="A38" s="1" t="s">
        <v>63</v>
      </c>
      <c r="B38" s="6">
        <v>13</v>
      </c>
      <c r="C38" s="1" t="s">
        <v>13</v>
      </c>
      <c r="D38" s="1" t="s">
        <v>467</v>
      </c>
      <c r="E38" s="136" t="s">
        <v>16</v>
      </c>
      <c r="F38" s="1" t="s">
        <v>64</v>
      </c>
      <c r="G38" s="1"/>
      <c r="H38" s="1"/>
      <c r="I38" s="1" t="s">
        <v>16</v>
      </c>
    </row>
    <row r="39" spans="1:9" x14ac:dyDescent="0.3">
      <c r="A39" s="1" t="s">
        <v>330</v>
      </c>
      <c r="B39" s="6">
        <v>14</v>
      </c>
      <c r="C39" s="1"/>
      <c r="D39" s="1"/>
      <c r="E39" s="136" t="s">
        <v>16</v>
      </c>
      <c r="F39" s="1" t="s">
        <v>493</v>
      </c>
      <c r="G39" s="1"/>
      <c r="H39" s="1"/>
      <c r="I39" s="1" t="s">
        <v>16</v>
      </c>
    </row>
    <row r="40" spans="1:9" hidden="1" x14ac:dyDescent="0.3">
      <c r="A40" s="1" t="s">
        <v>94</v>
      </c>
      <c r="B40" s="6">
        <v>15</v>
      </c>
      <c r="C40" s="1" t="s">
        <v>13</v>
      </c>
      <c r="D40" s="1" t="s">
        <v>447</v>
      </c>
      <c r="E40" s="3"/>
      <c r="F40" s="1"/>
      <c r="G40" s="1"/>
      <c r="H40" s="1"/>
      <c r="I40" s="1"/>
    </row>
    <row r="41" spans="1:9" hidden="1" x14ac:dyDescent="0.3">
      <c r="A41" s="1" t="s">
        <v>90</v>
      </c>
      <c r="B41" s="6">
        <v>15</v>
      </c>
      <c r="C41" s="1" t="s">
        <v>13</v>
      </c>
      <c r="D41" s="1" t="s">
        <v>13</v>
      </c>
      <c r="E41" s="3"/>
      <c r="F41" s="1" t="s">
        <v>91</v>
      </c>
      <c r="G41" s="1"/>
      <c r="H41" s="1"/>
      <c r="I41" s="1"/>
    </row>
    <row r="42" spans="1:9" hidden="1" x14ac:dyDescent="0.3">
      <c r="A42" s="1" t="s">
        <v>96</v>
      </c>
      <c r="B42" s="6">
        <v>15</v>
      </c>
      <c r="C42" s="1" t="s">
        <v>448</v>
      </c>
      <c r="D42" s="1" t="s">
        <v>13</v>
      </c>
      <c r="E42" s="3"/>
      <c r="F42" s="1"/>
      <c r="G42" s="1"/>
      <c r="H42" s="1"/>
      <c r="I42" s="1"/>
    </row>
    <row r="43" spans="1:9" x14ac:dyDescent="0.3">
      <c r="A43" s="1" t="s">
        <v>322</v>
      </c>
      <c r="B43" s="6">
        <v>14</v>
      </c>
      <c r="C43" s="1" t="s">
        <v>79</v>
      </c>
      <c r="D43" s="1"/>
      <c r="E43" s="277" t="s">
        <v>16</v>
      </c>
      <c r="F43" s="1"/>
      <c r="G43" s="1"/>
      <c r="H43" s="1"/>
      <c r="I43" s="1"/>
    </row>
    <row r="44" spans="1:9" hidden="1" x14ac:dyDescent="0.3">
      <c r="A44" s="1" t="s">
        <v>97</v>
      </c>
      <c r="B44" s="6">
        <v>15</v>
      </c>
      <c r="C44" s="1" t="s">
        <v>13</v>
      </c>
      <c r="D44" s="1" t="s">
        <v>797</v>
      </c>
      <c r="E44" s="3" t="s">
        <v>35</v>
      </c>
      <c r="F44" s="1" t="s">
        <v>801</v>
      </c>
      <c r="G44" s="1"/>
      <c r="H44" s="1"/>
      <c r="I44" s="1"/>
    </row>
    <row r="45" spans="1:9" hidden="1" x14ac:dyDescent="0.3">
      <c r="A45" s="1" t="s">
        <v>332</v>
      </c>
      <c r="B45" s="6">
        <v>15</v>
      </c>
      <c r="C45" s="1" t="s">
        <v>13</v>
      </c>
      <c r="D45" s="1" t="s">
        <v>13</v>
      </c>
      <c r="E45" s="3"/>
      <c r="F45" s="1" t="s">
        <v>456</v>
      </c>
      <c r="G45" s="1"/>
      <c r="H45" s="1"/>
      <c r="I45" s="1"/>
    </row>
    <row r="46" spans="1:9" x14ac:dyDescent="0.3">
      <c r="A46" s="1" t="s">
        <v>70</v>
      </c>
      <c r="B46" s="6">
        <v>14</v>
      </c>
      <c r="C46" s="1" t="s">
        <v>79</v>
      </c>
      <c r="D46" s="1"/>
      <c r="E46" s="277" t="s">
        <v>16</v>
      </c>
      <c r="F46" s="1"/>
      <c r="G46" s="1"/>
      <c r="H46" s="1"/>
      <c r="I46" s="1"/>
    </row>
    <row r="47" spans="1:9" hidden="1" x14ac:dyDescent="0.3">
      <c r="A47" s="1" t="s">
        <v>82</v>
      </c>
      <c r="B47" s="6">
        <v>15</v>
      </c>
      <c r="C47" s="1"/>
      <c r="D47" s="1"/>
      <c r="E47" s="136"/>
      <c r="F47" s="1" t="s">
        <v>493</v>
      </c>
      <c r="G47" s="1"/>
      <c r="H47" s="1"/>
      <c r="I47" s="1" t="s">
        <v>16</v>
      </c>
    </row>
    <row r="48" spans="1:9" hidden="1" x14ac:dyDescent="0.3">
      <c r="A48" s="1" t="s">
        <v>186</v>
      </c>
      <c r="B48" s="6">
        <v>16</v>
      </c>
      <c r="C48" s="1" t="s">
        <v>447</v>
      </c>
      <c r="D48" s="1" t="s">
        <v>13</v>
      </c>
      <c r="E48" s="3"/>
      <c r="F48" s="1" t="s">
        <v>459</v>
      </c>
      <c r="G48" s="1"/>
      <c r="H48" s="1"/>
      <c r="I48" s="1"/>
    </row>
    <row r="49" spans="1:9" hidden="1" x14ac:dyDescent="0.3">
      <c r="A49" s="1" t="s">
        <v>106</v>
      </c>
      <c r="B49" s="6">
        <v>16</v>
      </c>
      <c r="C49" s="1" t="s">
        <v>13</v>
      </c>
      <c r="D49" s="1" t="s">
        <v>467</v>
      </c>
      <c r="E49" s="3" t="s">
        <v>24</v>
      </c>
      <c r="F49" s="1" t="s">
        <v>15</v>
      </c>
      <c r="G49" s="1"/>
      <c r="H49" s="1"/>
      <c r="I49" s="1"/>
    </row>
    <row r="50" spans="1:9" hidden="1" x14ac:dyDescent="0.3">
      <c r="A50" s="1" t="s">
        <v>17</v>
      </c>
      <c r="B50" s="6">
        <v>16</v>
      </c>
      <c r="C50" s="1" t="s">
        <v>13</v>
      </c>
      <c r="D50" s="1" t="s">
        <v>447</v>
      </c>
      <c r="E50" s="3" t="s">
        <v>28</v>
      </c>
      <c r="F50" s="1"/>
      <c r="G50" s="1"/>
      <c r="H50" s="1"/>
      <c r="I50" s="1"/>
    </row>
    <row r="51" spans="1:9" hidden="1" x14ac:dyDescent="0.3">
      <c r="A51" s="1" t="s">
        <v>105</v>
      </c>
      <c r="B51" s="6">
        <v>16</v>
      </c>
      <c r="C51" s="1" t="s">
        <v>13</v>
      </c>
      <c r="D51" s="1" t="s">
        <v>467</v>
      </c>
      <c r="E51" s="3" t="s">
        <v>24</v>
      </c>
      <c r="F51" s="1"/>
      <c r="G51" s="1"/>
      <c r="H51" s="1"/>
      <c r="I51" s="1"/>
    </row>
    <row r="52" spans="1:9" hidden="1" x14ac:dyDescent="0.3">
      <c r="A52" s="1" t="s">
        <v>107</v>
      </c>
      <c r="B52" s="6">
        <v>16</v>
      </c>
      <c r="C52" s="1" t="s">
        <v>13</v>
      </c>
      <c r="D52" s="1" t="s">
        <v>13</v>
      </c>
      <c r="E52" s="3"/>
      <c r="F52" s="1" t="s">
        <v>108</v>
      </c>
      <c r="G52" s="1"/>
      <c r="H52" s="1"/>
      <c r="I52" s="1"/>
    </row>
    <row r="53" spans="1:9" hidden="1" x14ac:dyDescent="0.3">
      <c r="A53" s="1" t="s">
        <v>109</v>
      </c>
      <c r="B53" s="6">
        <v>16</v>
      </c>
      <c r="C53" s="1" t="s">
        <v>447</v>
      </c>
      <c r="D53" s="1"/>
      <c r="E53" s="3" t="s">
        <v>110</v>
      </c>
      <c r="F53" s="1" t="s">
        <v>111</v>
      </c>
      <c r="G53" s="1"/>
      <c r="H53" s="1"/>
      <c r="I53" s="1"/>
    </row>
    <row r="54" spans="1:9" hidden="1" x14ac:dyDescent="0.3">
      <c r="A54" s="1" t="s">
        <v>112</v>
      </c>
      <c r="B54" s="6">
        <v>16</v>
      </c>
      <c r="C54" s="1" t="s">
        <v>448</v>
      </c>
      <c r="D54" s="1" t="s">
        <v>797</v>
      </c>
      <c r="E54" s="3" t="s">
        <v>47</v>
      </c>
      <c r="F54" s="1" t="s">
        <v>457</v>
      </c>
      <c r="G54" s="1"/>
      <c r="H54" s="1"/>
      <c r="I54" s="1"/>
    </row>
    <row r="55" spans="1:9" hidden="1" x14ac:dyDescent="0.3">
      <c r="A55" s="1" t="s">
        <v>101</v>
      </c>
      <c r="B55" s="6">
        <v>16</v>
      </c>
      <c r="C55" s="1" t="s">
        <v>448</v>
      </c>
      <c r="D55" s="1" t="s">
        <v>467</v>
      </c>
      <c r="E55" s="3" t="s">
        <v>28</v>
      </c>
      <c r="F55" s="1"/>
      <c r="G55" s="1"/>
      <c r="H55" s="1"/>
      <c r="I55" s="1"/>
    </row>
    <row r="56" spans="1:9" hidden="1" x14ac:dyDescent="0.3">
      <c r="A56" s="1" t="s">
        <v>104</v>
      </c>
      <c r="B56" s="6">
        <v>16</v>
      </c>
      <c r="C56" s="1" t="s">
        <v>448</v>
      </c>
      <c r="D56" s="1" t="s">
        <v>447</v>
      </c>
      <c r="E56" s="3" t="s">
        <v>24</v>
      </c>
      <c r="F56" s="1"/>
      <c r="G56" s="1"/>
      <c r="H56" s="1"/>
      <c r="I56" s="1"/>
    </row>
    <row r="57" spans="1:9" hidden="1" x14ac:dyDescent="0.3">
      <c r="A57" s="1" t="s">
        <v>365</v>
      </c>
      <c r="B57" s="6">
        <v>17</v>
      </c>
      <c r="C57" s="1" t="s">
        <v>13</v>
      </c>
      <c r="D57" s="1" t="s">
        <v>797</v>
      </c>
      <c r="E57" s="3" t="s">
        <v>35</v>
      </c>
      <c r="F57" s="1"/>
      <c r="G57" s="1"/>
      <c r="H57" s="1"/>
      <c r="I57" s="1"/>
    </row>
    <row r="58" spans="1:9" hidden="1" x14ac:dyDescent="0.3">
      <c r="A58" s="1" t="s">
        <v>114</v>
      </c>
      <c r="B58" s="3">
        <v>17</v>
      </c>
      <c r="C58" s="1" t="s">
        <v>447</v>
      </c>
      <c r="D58" s="1" t="s">
        <v>447</v>
      </c>
      <c r="E58" s="3" t="s">
        <v>24</v>
      </c>
      <c r="F58" s="1"/>
      <c r="G58" s="1"/>
      <c r="H58" s="1"/>
      <c r="I58" s="1"/>
    </row>
    <row r="59" spans="1:9" hidden="1" x14ac:dyDescent="0.3">
      <c r="A59" s="193" t="s">
        <v>120</v>
      </c>
      <c r="B59" s="6">
        <v>17</v>
      </c>
      <c r="C59" s="1" t="s">
        <v>447</v>
      </c>
      <c r="D59" s="1" t="s">
        <v>13</v>
      </c>
      <c r="E59" s="8" t="s">
        <v>24</v>
      </c>
      <c r="F59" s="1"/>
      <c r="G59" s="1"/>
      <c r="H59" s="1"/>
      <c r="I59" s="1"/>
    </row>
    <row r="60" spans="1:9" hidden="1" x14ac:dyDescent="0.3">
      <c r="A60" s="1" t="s">
        <v>121</v>
      </c>
      <c r="B60" s="3">
        <v>17</v>
      </c>
      <c r="C60" s="1" t="s">
        <v>13</v>
      </c>
      <c r="D60" s="1" t="s">
        <v>797</v>
      </c>
      <c r="E60" s="3" t="s">
        <v>28</v>
      </c>
      <c r="F60" s="1"/>
      <c r="G60" s="1"/>
      <c r="H60" s="1"/>
      <c r="I60" s="1"/>
    </row>
    <row r="61" spans="1:9" hidden="1" x14ac:dyDescent="0.3">
      <c r="A61" s="1" t="s">
        <v>122</v>
      </c>
      <c r="B61" s="3">
        <v>17</v>
      </c>
      <c r="C61" s="1" t="s">
        <v>13</v>
      </c>
      <c r="D61" s="1" t="s">
        <v>467</v>
      </c>
      <c r="E61" s="3" t="s">
        <v>24</v>
      </c>
      <c r="F61" s="1"/>
      <c r="G61" s="1"/>
      <c r="H61" s="1"/>
      <c r="I61" s="1"/>
    </row>
    <row r="62" spans="1:9" x14ac:dyDescent="0.3">
      <c r="A62" s="1" t="s">
        <v>12</v>
      </c>
      <c r="B62" s="6">
        <v>15</v>
      </c>
      <c r="C62" s="1" t="s">
        <v>13</v>
      </c>
      <c r="D62" s="1"/>
      <c r="E62" s="136" t="s">
        <v>16</v>
      </c>
      <c r="F62" s="1" t="s">
        <v>456</v>
      </c>
      <c r="G62" s="1"/>
      <c r="H62" s="1"/>
      <c r="I62" s="1" t="s">
        <v>16</v>
      </c>
    </row>
    <row r="63" spans="1:9" hidden="1" x14ac:dyDescent="0.3">
      <c r="A63" s="1" t="s">
        <v>125</v>
      </c>
      <c r="B63" s="3">
        <v>17</v>
      </c>
      <c r="C63" s="1" t="s">
        <v>447</v>
      </c>
      <c r="D63" s="1"/>
      <c r="E63" s="3" t="s">
        <v>802</v>
      </c>
      <c r="F63" s="1" t="s">
        <v>33</v>
      </c>
      <c r="G63" s="1"/>
      <c r="H63" s="1"/>
      <c r="I63" s="1"/>
    </row>
    <row r="64" spans="1:9" hidden="1" x14ac:dyDescent="0.3">
      <c r="A64" s="1" t="s">
        <v>117</v>
      </c>
      <c r="B64" s="3">
        <v>17</v>
      </c>
      <c r="C64" s="1" t="s">
        <v>448</v>
      </c>
      <c r="D64" s="1" t="s">
        <v>13</v>
      </c>
      <c r="E64" s="3" t="s">
        <v>28</v>
      </c>
      <c r="F64" s="1" t="s">
        <v>460</v>
      </c>
      <c r="G64" s="1"/>
      <c r="H64" s="1"/>
      <c r="I64" s="1"/>
    </row>
    <row r="65" spans="1:9" hidden="1" x14ac:dyDescent="0.3">
      <c r="A65" s="1" t="s">
        <v>113</v>
      </c>
      <c r="B65" s="3">
        <v>17</v>
      </c>
      <c r="C65" s="1" t="s">
        <v>448</v>
      </c>
      <c r="D65" s="1" t="s">
        <v>467</v>
      </c>
      <c r="E65" s="3" t="s">
        <v>24</v>
      </c>
      <c r="F65" s="1"/>
      <c r="G65" s="1"/>
      <c r="H65" s="1"/>
      <c r="I65" s="1"/>
    </row>
    <row r="66" spans="1:9" hidden="1" x14ac:dyDescent="0.3">
      <c r="A66" s="1" t="s">
        <v>366</v>
      </c>
      <c r="B66" s="6">
        <v>17</v>
      </c>
      <c r="C66" s="1"/>
      <c r="D66" s="1" t="s">
        <v>467</v>
      </c>
      <c r="E66" s="3" t="s">
        <v>24</v>
      </c>
      <c r="F66" s="1"/>
      <c r="G66" s="1"/>
      <c r="H66" s="1"/>
      <c r="I66" s="1"/>
    </row>
    <row r="67" spans="1:9" hidden="1" x14ac:dyDescent="0.3">
      <c r="A67" s="1" t="s">
        <v>127</v>
      </c>
      <c r="B67" s="6">
        <v>18</v>
      </c>
      <c r="C67" s="1" t="s">
        <v>447</v>
      </c>
      <c r="D67" s="1"/>
      <c r="E67" s="3" t="s">
        <v>238</v>
      </c>
      <c r="F67" s="1"/>
      <c r="G67" s="1"/>
      <c r="H67" s="1"/>
      <c r="I67" s="1"/>
    </row>
    <row r="68" spans="1:9" x14ac:dyDescent="0.3">
      <c r="A68" s="1" t="s">
        <v>347</v>
      </c>
      <c r="B68" s="6">
        <v>15</v>
      </c>
      <c r="C68" s="1" t="s">
        <v>13</v>
      </c>
      <c r="D68" s="1"/>
      <c r="E68" s="136" t="s">
        <v>16</v>
      </c>
      <c r="F68" s="1" t="s">
        <v>456</v>
      </c>
      <c r="G68" s="1"/>
      <c r="H68" s="1"/>
      <c r="I68" s="1" t="s">
        <v>16</v>
      </c>
    </row>
    <row r="69" spans="1:9" hidden="1" x14ac:dyDescent="0.3">
      <c r="A69" s="1" t="s">
        <v>134</v>
      </c>
      <c r="B69" s="6">
        <v>18</v>
      </c>
      <c r="C69" s="1" t="s">
        <v>13</v>
      </c>
      <c r="D69" s="1" t="s">
        <v>447</v>
      </c>
      <c r="E69" s="3"/>
      <c r="F69" s="28"/>
      <c r="G69" s="1"/>
      <c r="H69" s="1"/>
      <c r="I69" s="1"/>
    </row>
    <row r="70" spans="1:9" hidden="1" x14ac:dyDescent="0.3">
      <c r="A70" s="1" t="s">
        <v>135</v>
      </c>
      <c r="B70" s="6">
        <v>18</v>
      </c>
      <c r="C70" s="1" t="s">
        <v>13</v>
      </c>
      <c r="D70" s="1" t="s">
        <v>467</v>
      </c>
      <c r="E70" s="3" t="s">
        <v>28</v>
      </c>
      <c r="F70" s="1" t="s">
        <v>803</v>
      </c>
      <c r="G70" s="1"/>
      <c r="H70" s="1"/>
      <c r="I70" s="1"/>
    </row>
    <row r="71" spans="1:9" hidden="1" x14ac:dyDescent="0.3">
      <c r="A71" s="1" t="s">
        <v>138</v>
      </c>
      <c r="B71" s="6">
        <v>18</v>
      </c>
      <c r="C71" s="1" t="s">
        <v>448</v>
      </c>
      <c r="D71" s="1" t="s">
        <v>447</v>
      </c>
      <c r="E71" s="3" t="s">
        <v>24</v>
      </c>
      <c r="F71" s="1"/>
      <c r="G71" s="1"/>
      <c r="H71" s="1"/>
      <c r="I71" s="1"/>
    </row>
    <row r="72" spans="1:9" hidden="1" x14ac:dyDescent="0.3">
      <c r="A72" s="1" t="s">
        <v>137</v>
      </c>
      <c r="B72" s="6">
        <v>18</v>
      </c>
      <c r="C72" s="1" t="s">
        <v>448</v>
      </c>
      <c r="D72" s="1"/>
      <c r="E72" s="3" t="s">
        <v>28</v>
      </c>
      <c r="F72" s="1"/>
      <c r="G72" s="1"/>
      <c r="H72" s="1"/>
      <c r="I72" s="1"/>
    </row>
    <row r="73" spans="1:9" hidden="1" x14ac:dyDescent="0.3">
      <c r="A73" s="1" t="s">
        <v>139</v>
      </c>
      <c r="B73" s="6">
        <v>18</v>
      </c>
      <c r="C73" s="1" t="s">
        <v>448</v>
      </c>
      <c r="D73" s="1"/>
      <c r="E73" s="3" t="s">
        <v>28</v>
      </c>
      <c r="F73" s="1" t="s">
        <v>463</v>
      </c>
      <c r="G73" s="1"/>
      <c r="H73" s="1"/>
      <c r="I73" s="1"/>
    </row>
    <row r="74" spans="1:9" hidden="1" x14ac:dyDescent="0.3">
      <c r="A74" s="1" t="s">
        <v>102</v>
      </c>
      <c r="B74" s="6">
        <v>18</v>
      </c>
      <c r="C74" s="1" t="s">
        <v>13</v>
      </c>
      <c r="D74" s="1" t="s">
        <v>447</v>
      </c>
      <c r="E74" s="3" t="s">
        <v>28</v>
      </c>
      <c r="F74" s="1" t="s">
        <v>804</v>
      </c>
      <c r="G74" s="1"/>
      <c r="H74" s="1"/>
      <c r="I74" s="1"/>
    </row>
    <row r="75" spans="1:9" hidden="1" x14ac:dyDescent="0.3">
      <c r="A75" s="1" t="s">
        <v>144</v>
      </c>
      <c r="B75" s="6">
        <v>19</v>
      </c>
      <c r="C75" s="1" t="s">
        <v>447</v>
      </c>
      <c r="D75" t="s">
        <v>797</v>
      </c>
      <c r="E75" s="3" t="s">
        <v>24</v>
      </c>
      <c r="F75" s="1"/>
      <c r="G75" s="1"/>
      <c r="H75" s="1"/>
      <c r="I75" s="1"/>
    </row>
    <row r="76" spans="1:9" hidden="1" x14ac:dyDescent="0.3">
      <c r="A76" s="9" t="s">
        <v>141</v>
      </c>
      <c r="B76" s="6">
        <v>19</v>
      </c>
      <c r="C76" s="1" t="s">
        <v>447</v>
      </c>
      <c r="D76" s="1" t="s">
        <v>467</v>
      </c>
      <c r="E76" s="3" t="s">
        <v>24</v>
      </c>
      <c r="F76" s="1"/>
      <c r="G76" s="1"/>
      <c r="H76" s="1"/>
      <c r="I76" s="1"/>
    </row>
    <row r="77" spans="1:9" hidden="1" x14ac:dyDescent="0.3">
      <c r="A77" s="1" t="s">
        <v>146</v>
      </c>
      <c r="B77" s="6">
        <v>19</v>
      </c>
      <c r="C77" s="1" t="s">
        <v>13</v>
      </c>
      <c r="D77" s="1" t="s">
        <v>13</v>
      </c>
      <c r="E77" s="3"/>
      <c r="F77" s="1"/>
      <c r="G77" s="1"/>
      <c r="H77" s="1"/>
      <c r="I77" s="1"/>
    </row>
    <row r="78" spans="1:9" hidden="1" x14ac:dyDescent="0.3">
      <c r="A78" s="1" t="s">
        <v>150</v>
      </c>
      <c r="B78" s="6">
        <v>19</v>
      </c>
      <c r="C78" s="1" t="s">
        <v>13</v>
      </c>
      <c r="D78" s="1" t="s">
        <v>797</v>
      </c>
      <c r="E78" s="3" t="s">
        <v>24</v>
      </c>
      <c r="F78" s="1"/>
      <c r="G78" s="1"/>
      <c r="H78" s="1"/>
      <c r="I78" s="1"/>
    </row>
    <row r="79" spans="1:9" hidden="1" x14ac:dyDescent="0.3">
      <c r="A79" s="1" t="s">
        <v>151</v>
      </c>
      <c r="B79" s="6">
        <v>19</v>
      </c>
      <c r="C79" s="1" t="s">
        <v>13</v>
      </c>
      <c r="D79" s="1" t="s">
        <v>447</v>
      </c>
      <c r="E79" s="3" t="s">
        <v>24</v>
      </c>
      <c r="F79" s="1"/>
      <c r="G79" s="1"/>
      <c r="H79" s="1"/>
      <c r="I79" s="1"/>
    </row>
    <row r="80" spans="1:9" hidden="1" x14ac:dyDescent="0.3">
      <c r="A80" s="1" t="s">
        <v>149</v>
      </c>
      <c r="B80" s="6">
        <v>19</v>
      </c>
      <c r="C80" s="1" t="s">
        <v>13</v>
      </c>
      <c r="D80" s="1" t="s">
        <v>13</v>
      </c>
      <c r="E80" s="3"/>
      <c r="F80" s="1" t="s">
        <v>48</v>
      </c>
      <c r="G80" s="1"/>
      <c r="H80" s="1"/>
      <c r="I80" s="1"/>
    </row>
    <row r="81" spans="1:9" x14ac:dyDescent="0.3">
      <c r="A81" s="1" t="s">
        <v>337</v>
      </c>
      <c r="B81" s="6">
        <v>15</v>
      </c>
      <c r="C81" s="1"/>
      <c r="D81" s="1"/>
      <c r="E81" s="136" t="s">
        <v>16</v>
      </c>
      <c r="F81" s="1"/>
      <c r="G81" s="1"/>
      <c r="H81" s="1"/>
      <c r="I81" s="1"/>
    </row>
    <row r="82" spans="1:9" hidden="1" x14ac:dyDescent="0.3">
      <c r="A82" s="1" t="s">
        <v>152</v>
      </c>
      <c r="B82" s="6">
        <v>19</v>
      </c>
      <c r="C82" s="1" t="s">
        <v>13</v>
      </c>
      <c r="D82" s="1" t="s">
        <v>467</v>
      </c>
      <c r="E82" s="3" t="s">
        <v>24</v>
      </c>
      <c r="F82" s="1" t="s">
        <v>33</v>
      </c>
      <c r="G82" s="1"/>
      <c r="H82" s="1"/>
      <c r="I82" s="1"/>
    </row>
    <row r="83" spans="1:9" hidden="1" x14ac:dyDescent="0.3">
      <c r="A83" s="1" t="s">
        <v>154</v>
      </c>
      <c r="B83" s="6">
        <v>19</v>
      </c>
      <c r="C83" s="1" t="s">
        <v>447</v>
      </c>
      <c r="D83" s="1"/>
      <c r="E83" s="3" t="s">
        <v>28</v>
      </c>
      <c r="F83" s="1" t="s">
        <v>805</v>
      </c>
      <c r="G83" s="1"/>
      <c r="H83" s="1"/>
      <c r="I83" s="1"/>
    </row>
    <row r="84" spans="1:9" x14ac:dyDescent="0.3">
      <c r="A84" s="9" t="s">
        <v>98</v>
      </c>
      <c r="B84" s="19">
        <v>15</v>
      </c>
      <c r="C84" s="1" t="s">
        <v>13</v>
      </c>
      <c r="D84" s="1"/>
      <c r="E84" s="136" t="s">
        <v>16</v>
      </c>
      <c r="F84" s="1" t="s">
        <v>493</v>
      </c>
      <c r="G84" s="1"/>
      <c r="H84" s="1"/>
      <c r="I84" s="1" t="s">
        <v>16</v>
      </c>
    </row>
    <row r="85" spans="1:9" hidden="1" x14ac:dyDescent="0.3">
      <c r="A85" s="1" t="s">
        <v>198</v>
      </c>
      <c r="B85" s="6">
        <v>19</v>
      </c>
      <c r="C85" s="1" t="s">
        <v>448</v>
      </c>
      <c r="D85" s="1" t="s">
        <v>13</v>
      </c>
      <c r="E85" s="3" t="s">
        <v>24</v>
      </c>
      <c r="F85" s="1" t="s">
        <v>89</v>
      </c>
      <c r="G85" s="1"/>
      <c r="H85" s="1"/>
      <c r="I85" s="1"/>
    </row>
    <row r="86" spans="1:9" hidden="1" x14ac:dyDescent="0.3">
      <c r="A86" s="1" t="s">
        <v>142</v>
      </c>
      <c r="B86" s="6">
        <v>19</v>
      </c>
      <c r="C86" s="1" t="s">
        <v>448</v>
      </c>
      <c r="D86" s="1" t="s">
        <v>797</v>
      </c>
      <c r="E86" s="3" t="s">
        <v>24</v>
      </c>
      <c r="F86" s="1"/>
      <c r="G86" s="1"/>
      <c r="H86" s="1"/>
      <c r="I86" s="1"/>
    </row>
    <row r="87" spans="1:9" x14ac:dyDescent="0.3">
      <c r="A87" s="1" t="s">
        <v>126</v>
      </c>
      <c r="B87" s="6">
        <v>17</v>
      </c>
      <c r="C87" s="1" t="s">
        <v>13</v>
      </c>
      <c r="D87" s="1"/>
      <c r="E87" s="136" t="s">
        <v>16</v>
      </c>
      <c r="F87" s="1" t="s">
        <v>499</v>
      </c>
      <c r="G87" s="1"/>
      <c r="H87" s="1"/>
      <c r="I87" s="1" t="s">
        <v>16</v>
      </c>
    </row>
    <row r="88" spans="1:9" hidden="1" x14ac:dyDescent="0.3">
      <c r="A88" s="1" t="s">
        <v>175</v>
      </c>
      <c r="B88" s="6">
        <v>19</v>
      </c>
      <c r="C88" s="1" t="s">
        <v>448</v>
      </c>
      <c r="D88" s="1" t="s">
        <v>467</v>
      </c>
      <c r="E88" s="3" t="s">
        <v>24</v>
      </c>
      <c r="F88" s="1" t="s">
        <v>806</v>
      </c>
      <c r="G88" s="1"/>
      <c r="H88" s="1"/>
      <c r="I88" s="1"/>
    </row>
    <row r="89" spans="1:9" hidden="1" x14ac:dyDescent="0.3">
      <c r="A89" s="1" t="s">
        <v>140</v>
      </c>
      <c r="B89" s="6">
        <v>19</v>
      </c>
      <c r="C89" s="1" t="s">
        <v>448</v>
      </c>
      <c r="D89" s="1" t="s">
        <v>447</v>
      </c>
      <c r="E89" s="3"/>
      <c r="F89" s="1"/>
      <c r="G89" s="1"/>
      <c r="H89" s="1"/>
      <c r="I89" s="1"/>
    </row>
    <row r="90" spans="1:9" x14ac:dyDescent="0.3">
      <c r="A90" s="9" t="s">
        <v>128</v>
      </c>
      <c r="B90" s="19">
        <v>18</v>
      </c>
      <c r="C90" s="1" t="s">
        <v>13</v>
      </c>
      <c r="D90" s="1"/>
      <c r="E90" s="136" t="s">
        <v>16</v>
      </c>
      <c r="F90" s="1" t="s">
        <v>496</v>
      </c>
      <c r="G90" s="1"/>
      <c r="H90" s="1"/>
      <c r="I90" s="1" t="s">
        <v>16</v>
      </c>
    </row>
    <row r="91" spans="1:9" hidden="1" x14ac:dyDescent="0.3">
      <c r="A91" s="1" t="s">
        <v>157</v>
      </c>
      <c r="B91" s="6">
        <v>20</v>
      </c>
      <c r="C91" s="1" t="s">
        <v>447</v>
      </c>
      <c r="D91" s="1" t="s">
        <v>447</v>
      </c>
      <c r="E91" s="3" t="s">
        <v>35</v>
      </c>
      <c r="F91" s="1" t="s">
        <v>456</v>
      </c>
      <c r="G91" s="1"/>
      <c r="H91" s="1"/>
      <c r="I91" s="1"/>
    </row>
    <row r="92" spans="1:9" hidden="1" x14ac:dyDescent="0.3">
      <c r="A92" s="1" t="s">
        <v>166</v>
      </c>
      <c r="B92" s="6">
        <v>20</v>
      </c>
      <c r="C92" s="1" t="s">
        <v>13</v>
      </c>
      <c r="D92" s="1" t="s">
        <v>797</v>
      </c>
      <c r="E92" s="3" t="s">
        <v>35</v>
      </c>
      <c r="F92" s="1" t="s">
        <v>456</v>
      </c>
      <c r="G92" s="1"/>
      <c r="H92" s="1"/>
      <c r="I92" s="1"/>
    </row>
    <row r="93" spans="1:9" hidden="1" x14ac:dyDescent="0.3">
      <c r="A93" s="1" t="s">
        <v>169</v>
      </c>
      <c r="B93" s="6">
        <v>20</v>
      </c>
      <c r="C93" s="1" t="s">
        <v>447</v>
      </c>
      <c r="D93" s="1" t="s">
        <v>447</v>
      </c>
      <c r="E93" s="3" t="s">
        <v>24</v>
      </c>
      <c r="F93" s="1"/>
      <c r="G93" s="1"/>
      <c r="H93" s="1"/>
      <c r="I93" s="1"/>
    </row>
    <row r="94" spans="1:9" hidden="1" x14ac:dyDescent="0.3">
      <c r="A94" s="1" t="s">
        <v>167</v>
      </c>
      <c r="B94" s="6">
        <v>20</v>
      </c>
      <c r="C94" s="1" t="s">
        <v>448</v>
      </c>
      <c r="D94" s="1" t="s">
        <v>13</v>
      </c>
      <c r="E94" s="3"/>
      <c r="F94" s="1"/>
      <c r="G94" s="1"/>
      <c r="H94" s="1"/>
      <c r="I94" s="1"/>
    </row>
    <row r="95" spans="1:9" hidden="1" x14ac:dyDescent="0.3">
      <c r="A95" s="1" t="s">
        <v>156</v>
      </c>
      <c r="B95" s="6">
        <v>20</v>
      </c>
      <c r="C95" s="1" t="s">
        <v>448</v>
      </c>
      <c r="D95" s="1"/>
      <c r="E95" s="3" t="s">
        <v>28</v>
      </c>
      <c r="F95" s="1"/>
      <c r="G95" s="1"/>
      <c r="H95" s="1"/>
      <c r="I95" s="1"/>
    </row>
    <row r="96" spans="1:9" hidden="1" x14ac:dyDescent="0.3">
      <c r="A96" s="1" t="s">
        <v>158</v>
      </c>
      <c r="B96" s="6">
        <v>20</v>
      </c>
      <c r="C96" s="1" t="s">
        <v>448</v>
      </c>
      <c r="D96" s="1" t="s">
        <v>797</v>
      </c>
      <c r="E96" s="3" t="s">
        <v>24</v>
      </c>
      <c r="F96" s="1" t="s">
        <v>466</v>
      </c>
      <c r="G96" s="1"/>
      <c r="H96" s="1"/>
      <c r="I96" s="1"/>
    </row>
    <row r="97" spans="1:9" x14ac:dyDescent="0.3">
      <c r="A97" s="1" t="s">
        <v>143</v>
      </c>
      <c r="B97" s="6">
        <v>19</v>
      </c>
      <c r="C97" s="1" t="s">
        <v>13</v>
      </c>
      <c r="D97" s="1"/>
      <c r="E97" s="136" t="s">
        <v>16</v>
      </c>
      <c r="F97" s="1" t="s">
        <v>497</v>
      </c>
      <c r="G97" s="1"/>
      <c r="H97" s="1"/>
      <c r="I97" s="1" t="s">
        <v>16</v>
      </c>
    </row>
    <row r="98" spans="1:9" hidden="1" x14ac:dyDescent="0.3">
      <c r="A98" s="1" t="s">
        <v>393</v>
      </c>
      <c r="B98" s="6">
        <v>20</v>
      </c>
      <c r="C98" s="1" t="s">
        <v>13</v>
      </c>
      <c r="D98" s="1" t="s">
        <v>467</v>
      </c>
      <c r="E98" s="3"/>
      <c r="F98" s="1"/>
      <c r="G98" s="1"/>
      <c r="H98" s="1"/>
      <c r="I98" s="1" t="s">
        <v>16</v>
      </c>
    </row>
    <row r="99" spans="1:9" hidden="1" x14ac:dyDescent="0.3">
      <c r="A99" s="1" t="s">
        <v>153</v>
      </c>
      <c r="B99" s="6">
        <v>20</v>
      </c>
      <c r="C99" s="1" t="s">
        <v>13</v>
      </c>
      <c r="D99" s="1"/>
      <c r="E99" s="136"/>
      <c r="F99" s="1" t="s">
        <v>468</v>
      </c>
      <c r="G99" s="1"/>
      <c r="H99" s="1"/>
      <c r="I99" s="1" t="s">
        <v>16</v>
      </c>
    </row>
    <row r="100" spans="1:9" hidden="1" x14ac:dyDescent="0.3">
      <c r="A100" s="1" t="s">
        <v>171</v>
      </c>
      <c r="B100" s="3">
        <v>21</v>
      </c>
      <c r="C100" s="1" t="s">
        <v>447</v>
      </c>
      <c r="D100" s="1" t="s">
        <v>13</v>
      </c>
      <c r="E100" s="3" t="s">
        <v>24</v>
      </c>
      <c r="F100" s="1" t="s">
        <v>48</v>
      </c>
      <c r="G100" s="1"/>
      <c r="H100" s="1"/>
      <c r="I100" s="1"/>
    </row>
    <row r="101" spans="1:9" hidden="1" x14ac:dyDescent="0.3">
      <c r="A101" s="1" t="s">
        <v>200</v>
      </c>
      <c r="B101" s="3">
        <v>21</v>
      </c>
      <c r="C101" s="1" t="s">
        <v>447</v>
      </c>
      <c r="D101" s="1" t="s">
        <v>797</v>
      </c>
      <c r="E101" s="3" t="s">
        <v>24</v>
      </c>
      <c r="F101" s="1"/>
      <c r="G101" s="1"/>
      <c r="H101" s="1"/>
      <c r="I101" s="1"/>
    </row>
    <row r="102" spans="1:9" x14ac:dyDescent="0.3">
      <c r="A102" s="1" t="s">
        <v>384</v>
      </c>
      <c r="B102" s="6">
        <v>19</v>
      </c>
      <c r="C102" s="1" t="s">
        <v>448</v>
      </c>
      <c r="D102" s="1"/>
      <c r="E102" s="136" t="s">
        <v>16</v>
      </c>
      <c r="F102" s="1" t="s">
        <v>493</v>
      </c>
      <c r="G102" s="1"/>
      <c r="H102" s="1"/>
      <c r="I102" s="1" t="s">
        <v>16</v>
      </c>
    </row>
    <row r="103" spans="1:9" x14ac:dyDescent="0.3">
      <c r="A103" s="1" t="s">
        <v>385</v>
      </c>
      <c r="B103" s="6">
        <v>19</v>
      </c>
      <c r="C103" s="1" t="s">
        <v>13</v>
      </c>
      <c r="D103" s="1"/>
      <c r="E103" s="136" t="s">
        <v>16</v>
      </c>
      <c r="F103" s="1" t="s">
        <v>495</v>
      </c>
      <c r="G103" s="1"/>
      <c r="H103" s="1"/>
      <c r="I103" s="1" t="s">
        <v>16</v>
      </c>
    </row>
    <row r="104" spans="1:9" hidden="1" x14ac:dyDescent="0.3">
      <c r="A104" s="1" t="s">
        <v>176</v>
      </c>
      <c r="B104" s="3">
        <v>21</v>
      </c>
      <c r="C104" s="1" t="s">
        <v>165</v>
      </c>
      <c r="D104" s="1" t="s">
        <v>797</v>
      </c>
      <c r="E104" s="3" t="s">
        <v>24</v>
      </c>
      <c r="F104" s="1" t="s">
        <v>177</v>
      </c>
      <c r="G104" s="1"/>
      <c r="H104" s="1"/>
      <c r="I104" s="1"/>
    </row>
    <row r="105" spans="1:9" hidden="1" x14ac:dyDescent="0.3">
      <c r="A105" s="1" t="s">
        <v>182</v>
      </c>
      <c r="B105" s="3">
        <v>21</v>
      </c>
      <c r="C105" s="1" t="s">
        <v>165</v>
      </c>
      <c r="D105" s="1" t="s">
        <v>467</v>
      </c>
      <c r="E105" s="3" t="s">
        <v>28</v>
      </c>
      <c r="F105" s="1"/>
      <c r="G105" s="1"/>
      <c r="H105" s="1"/>
      <c r="I105" s="1"/>
    </row>
    <row r="106" spans="1:9" hidden="1" x14ac:dyDescent="0.3">
      <c r="A106" s="1" t="s">
        <v>185</v>
      </c>
      <c r="B106" s="3">
        <v>21</v>
      </c>
      <c r="C106" s="1" t="s">
        <v>13</v>
      </c>
      <c r="D106" s="1" t="s">
        <v>447</v>
      </c>
      <c r="E106" s="3"/>
      <c r="F106" s="1" t="s">
        <v>81</v>
      </c>
      <c r="G106" s="1"/>
      <c r="H106" s="1"/>
      <c r="I106" s="1"/>
    </row>
    <row r="107" spans="1:9" hidden="1" x14ac:dyDescent="0.3">
      <c r="A107" s="1" t="s">
        <v>184</v>
      </c>
      <c r="B107" s="3">
        <v>21</v>
      </c>
      <c r="C107" s="1" t="s">
        <v>13</v>
      </c>
      <c r="D107" s="1"/>
      <c r="E107" s="3" t="s">
        <v>28</v>
      </c>
      <c r="F107" s="1" t="s">
        <v>48</v>
      </c>
      <c r="G107" s="1"/>
      <c r="H107" s="1"/>
      <c r="I107" s="1"/>
    </row>
    <row r="108" spans="1:9" hidden="1" x14ac:dyDescent="0.3">
      <c r="A108" s="1" t="s">
        <v>197</v>
      </c>
      <c r="B108" s="3">
        <v>21</v>
      </c>
      <c r="C108" s="1" t="s">
        <v>13</v>
      </c>
      <c r="D108" s="1" t="s">
        <v>447</v>
      </c>
      <c r="E108" s="3" t="s">
        <v>35</v>
      </c>
      <c r="F108" s="1" t="s">
        <v>807</v>
      </c>
      <c r="G108" s="1"/>
      <c r="H108" s="1"/>
      <c r="I108" s="1"/>
    </row>
    <row r="109" spans="1:9" hidden="1" x14ac:dyDescent="0.3">
      <c r="A109" s="1" t="s">
        <v>191</v>
      </c>
      <c r="B109" s="3">
        <v>21</v>
      </c>
      <c r="C109" s="1" t="s">
        <v>13</v>
      </c>
      <c r="D109" s="1" t="s">
        <v>13</v>
      </c>
      <c r="E109" s="3" t="s">
        <v>24</v>
      </c>
      <c r="F109" s="1"/>
      <c r="G109" s="1"/>
      <c r="H109" s="1"/>
      <c r="I109" s="1"/>
    </row>
    <row r="110" spans="1:9" hidden="1" x14ac:dyDescent="0.3">
      <c r="A110" s="1" t="s">
        <v>189</v>
      </c>
      <c r="B110" s="3">
        <v>21</v>
      </c>
      <c r="C110" s="1" t="s">
        <v>447</v>
      </c>
      <c r="D110" s="1"/>
      <c r="E110" s="3" t="s">
        <v>28</v>
      </c>
      <c r="F110" s="1" t="s">
        <v>190</v>
      </c>
      <c r="G110" s="1"/>
      <c r="H110" s="1"/>
      <c r="I110" s="1"/>
    </row>
    <row r="111" spans="1:9" hidden="1" x14ac:dyDescent="0.3">
      <c r="A111" s="1" t="s">
        <v>194</v>
      </c>
      <c r="B111" s="3">
        <v>21</v>
      </c>
      <c r="C111" s="1" t="s">
        <v>448</v>
      </c>
      <c r="D111" s="1" t="s">
        <v>797</v>
      </c>
      <c r="E111" s="3" t="s">
        <v>47</v>
      </c>
      <c r="F111" s="1" t="s">
        <v>471</v>
      </c>
      <c r="G111" s="1"/>
      <c r="H111" s="1"/>
      <c r="I111" s="1"/>
    </row>
    <row r="112" spans="1:9" hidden="1" x14ac:dyDescent="0.3">
      <c r="A112" s="1" t="s">
        <v>174</v>
      </c>
      <c r="B112" s="3">
        <v>21</v>
      </c>
      <c r="C112" s="1" t="s">
        <v>448</v>
      </c>
      <c r="D112" s="1" t="s">
        <v>467</v>
      </c>
      <c r="E112" s="3" t="s">
        <v>24</v>
      </c>
      <c r="F112" s="1"/>
      <c r="G112" s="1"/>
      <c r="H112" s="1"/>
      <c r="I112" s="1"/>
    </row>
    <row r="113" spans="1:9" hidden="1" x14ac:dyDescent="0.3">
      <c r="A113" s="1" t="s">
        <v>195</v>
      </c>
      <c r="B113" s="6">
        <v>21</v>
      </c>
      <c r="C113" s="1" t="s">
        <v>13</v>
      </c>
      <c r="D113" s="1" t="s">
        <v>13</v>
      </c>
      <c r="E113" s="136"/>
      <c r="F113" s="1" t="s">
        <v>808</v>
      </c>
      <c r="G113" s="1"/>
      <c r="H113" s="1"/>
      <c r="I113" s="1" t="s">
        <v>16</v>
      </c>
    </row>
    <row r="114" spans="1:9" hidden="1" x14ac:dyDescent="0.3">
      <c r="A114" s="1" t="s">
        <v>199</v>
      </c>
      <c r="B114" s="3">
        <v>21</v>
      </c>
      <c r="C114" s="1" t="s">
        <v>448</v>
      </c>
      <c r="D114" s="1"/>
      <c r="E114" s="3" t="s">
        <v>28</v>
      </c>
      <c r="F114" s="1" t="s">
        <v>809</v>
      </c>
      <c r="G114" s="1"/>
      <c r="H114" s="1"/>
      <c r="I114" s="1"/>
    </row>
    <row r="115" spans="1:9" hidden="1" x14ac:dyDescent="0.3">
      <c r="A115" s="1" t="s">
        <v>406</v>
      </c>
      <c r="B115" s="3">
        <v>22</v>
      </c>
      <c r="C115" s="1" t="s">
        <v>447</v>
      </c>
      <c r="D115" s="1"/>
      <c r="E115" s="3" t="s">
        <v>28</v>
      </c>
      <c r="F115" s="1"/>
      <c r="G115" s="1"/>
      <c r="H115" s="1"/>
      <c r="I115" s="1"/>
    </row>
    <row r="116" spans="1:9" hidden="1" x14ac:dyDescent="0.3">
      <c r="A116" s="1" t="s">
        <v>409</v>
      </c>
      <c r="B116" s="3">
        <v>22</v>
      </c>
      <c r="C116" s="1" t="s">
        <v>447</v>
      </c>
      <c r="D116" s="1"/>
      <c r="E116" s="136"/>
      <c r="F116" s="1" t="s">
        <v>473</v>
      </c>
      <c r="G116" s="1"/>
      <c r="H116" s="1"/>
      <c r="I116" s="1" t="s">
        <v>16</v>
      </c>
    </row>
    <row r="117" spans="1:9" x14ac:dyDescent="0.3">
      <c r="A117" s="1" t="s">
        <v>400</v>
      </c>
      <c r="B117" s="6">
        <v>20</v>
      </c>
      <c r="C117" s="1" t="s">
        <v>447</v>
      </c>
      <c r="D117" s="1"/>
      <c r="E117" s="136" t="s">
        <v>16</v>
      </c>
      <c r="F117" s="1"/>
      <c r="G117" s="1"/>
      <c r="H117" s="1"/>
      <c r="I117" s="1" t="s">
        <v>16</v>
      </c>
    </row>
    <row r="118" spans="1:9" hidden="1" x14ac:dyDescent="0.3">
      <c r="A118" s="1" t="s">
        <v>415</v>
      </c>
      <c r="B118" s="3">
        <v>22</v>
      </c>
      <c r="C118" s="1" t="s">
        <v>447</v>
      </c>
      <c r="D118" s="1"/>
      <c r="E118" s="3" t="s">
        <v>28</v>
      </c>
      <c r="F118" s="1" t="s">
        <v>810</v>
      </c>
      <c r="G118" s="1"/>
      <c r="H118" s="1"/>
      <c r="I118" s="1"/>
    </row>
    <row r="119" spans="1:9" hidden="1" x14ac:dyDescent="0.3">
      <c r="A119" s="1" t="s">
        <v>418</v>
      </c>
      <c r="B119" s="3">
        <v>22</v>
      </c>
      <c r="C119" s="1" t="s">
        <v>447</v>
      </c>
      <c r="D119" s="1"/>
      <c r="E119" s="136"/>
      <c r="F119" s="1" t="s">
        <v>493</v>
      </c>
      <c r="G119" s="1"/>
      <c r="H119" s="1"/>
      <c r="I119" s="1" t="s">
        <v>16</v>
      </c>
    </row>
    <row r="120" spans="1:9" hidden="1" x14ac:dyDescent="0.3">
      <c r="A120" s="1" t="s">
        <v>421</v>
      </c>
      <c r="B120" s="3">
        <v>22</v>
      </c>
      <c r="C120" s="1" t="s">
        <v>447</v>
      </c>
      <c r="D120" s="1" t="s">
        <v>467</v>
      </c>
      <c r="E120" s="3" t="s">
        <v>28</v>
      </c>
      <c r="F120" s="1"/>
      <c r="G120" s="1"/>
      <c r="H120" s="1"/>
      <c r="I120" s="1"/>
    </row>
    <row r="121" spans="1:9" hidden="1" x14ac:dyDescent="0.3">
      <c r="A121" s="1" t="s">
        <v>402</v>
      </c>
      <c r="B121" s="3">
        <v>22</v>
      </c>
      <c r="C121" s="1" t="s">
        <v>13</v>
      </c>
      <c r="D121" s="1"/>
      <c r="E121" s="136"/>
      <c r="F121" s="1"/>
      <c r="G121" s="1"/>
      <c r="H121" s="1"/>
      <c r="I121" s="1" t="s">
        <v>16</v>
      </c>
    </row>
    <row r="122" spans="1:9" hidden="1" x14ac:dyDescent="0.3">
      <c r="A122" s="1" t="s">
        <v>405</v>
      </c>
      <c r="B122" s="3">
        <v>22</v>
      </c>
      <c r="C122" s="1" t="s">
        <v>13</v>
      </c>
      <c r="D122" s="1"/>
      <c r="E122" s="136"/>
      <c r="F122" s="1" t="s">
        <v>475</v>
      </c>
      <c r="G122" s="1"/>
      <c r="H122" s="1"/>
      <c r="I122" s="1" t="s">
        <v>16</v>
      </c>
    </row>
    <row r="123" spans="1:9" x14ac:dyDescent="0.3">
      <c r="A123" s="1" t="s">
        <v>178</v>
      </c>
      <c r="B123" s="3">
        <v>21</v>
      </c>
      <c r="C123" s="1" t="s">
        <v>165</v>
      </c>
      <c r="D123" s="1"/>
      <c r="E123" s="136" t="s">
        <v>16</v>
      </c>
      <c r="F123" s="1" t="s">
        <v>179</v>
      </c>
      <c r="G123" s="1"/>
      <c r="H123" s="1"/>
      <c r="I123" s="1" t="s">
        <v>16</v>
      </c>
    </row>
    <row r="124" spans="1:9" hidden="1" x14ac:dyDescent="0.3">
      <c r="A124" s="1" t="s">
        <v>411</v>
      </c>
      <c r="B124" s="3">
        <v>22</v>
      </c>
      <c r="C124" s="1" t="s">
        <v>13</v>
      </c>
      <c r="D124" s="1"/>
      <c r="E124" s="136"/>
      <c r="F124" s="1" t="s">
        <v>476</v>
      </c>
      <c r="G124" s="1"/>
      <c r="H124" s="1"/>
      <c r="I124" s="1" t="s">
        <v>16</v>
      </c>
    </row>
    <row r="125" spans="1:9" x14ac:dyDescent="0.3">
      <c r="A125" s="1" t="s">
        <v>183</v>
      </c>
      <c r="B125" s="6">
        <v>21</v>
      </c>
      <c r="C125" s="1" t="s">
        <v>13</v>
      </c>
      <c r="D125" s="1"/>
      <c r="E125" s="136" t="s">
        <v>16</v>
      </c>
      <c r="F125" s="1"/>
      <c r="G125" s="1"/>
      <c r="H125" s="1"/>
      <c r="I125" s="1" t="s">
        <v>16</v>
      </c>
    </row>
    <row r="126" spans="1:9" hidden="1" x14ac:dyDescent="0.3">
      <c r="A126" s="1" t="s">
        <v>417</v>
      </c>
      <c r="B126" s="3">
        <v>22</v>
      </c>
      <c r="C126" s="1" t="s">
        <v>13</v>
      </c>
      <c r="D126" s="1" t="s">
        <v>13</v>
      </c>
      <c r="E126" s="3" t="s">
        <v>24</v>
      </c>
      <c r="F126" s="1"/>
      <c r="G126" s="1"/>
      <c r="H126" s="1"/>
      <c r="I126" s="1"/>
    </row>
    <row r="127" spans="1:9" hidden="1" x14ac:dyDescent="0.3">
      <c r="A127" s="1" t="s">
        <v>420</v>
      </c>
      <c r="B127" s="3">
        <v>22</v>
      </c>
      <c r="C127" s="1" t="s">
        <v>13</v>
      </c>
      <c r="D127" s="1"/>
      <c r="E127" s="3" t="s">
        <v>47</v>
      </c>
      <c r="F127" s="1" t="s">
        <v>136</v>
      </c>
      <c r="G127" s="1"/>
      <c r="H127" s="1"/>
      <c r="I127" s="1"/>
    </row>
    <row r="128" spans="1:9" hidden="1" x14ac:dyDescent="0.3">
      <c r="A128" s="1" t="s">
        <v>401</v>
      </c>
      <c r="B128" s="3">
        <v>22</v>
      </c>
      <c r="C128" s="1" t="s">
        <v>448</v>
      </c>
      <c r="D128" s="1" t="s">
        <v>467</v>
      </c>
      <c r="E128" s="3" t="s">
        <v>24</v>
      </c>
      <c r="F128" s="1"/>
      <c r="G128" s="1"/>
      <c r="H128" s="1"/>
      <c r="I128" s="1"/>
    </row>
    <row r="129" spans="1:9" x14ac:dyDescent="0.3">
      <c r="A129" s="1" t="s">
        <v>196</v>
      </c>
      <c r="B129" s="3">
        <v>21</v>
      </c>
      <c r="C129" s="1" t="s">
        <v>447</v>
      </c>
      <c r="D129" s="1"/>
      <c r="E129" s="136" t="s">
        <v>16</v>
      </c>
      <c r="F129" s="1" t="s">
        <v>811</v>
      </c>
      <c r="G129" s="1"/>
      <c r="H129" s="1"/>
      <c r="I129" s="1" t="s">
        <v>16</v>
      </c>
    </row>
    <row r="130" spans="1:9" hidden="1" x14ac:dyDescent="0.3">
      <c r="A130" s="1" t="s">
        <v>407</v>
      </c>
      <c r="B130" s="3">
        <v>22</v>
      </c>
      <c r="C130" s="1" t="s">
        <v>448</v>
      </c>
      <c r="D130" s="1" t="s">
        <v>447</v>
      </c>
      <c r="E130" s="3"/>
      <c r="F130" s="1"/>
      <c r="G130" s="1"/>
      <c r="H130" s="1"/>
      <c r="I130" s="1"/>
    </row>
    <row r="131" spans="1:9" x14ac:dyDescent="0.3">
      <c r="A131" s="1" t="s">
        <v>412</v>
      </c>
      <c r="B131" s="3">
        <v>22</v>
      </c>
      <c r="C131" s="1" t="s">
        <v>447</v>
      </c>
      <c r="D131" s="1"/>
      <c r="E131" s="136" t="s">
        <v>16</v>
      </c>
      <c r="F131" s="1" t="s">
        <v>500</v>
      </c>
      <c r="G131" s="1"/>
      <c r="H131" s="1"/>
      <c r="I131" s="1" t="s">
        <v>16</v>
      </c>
    </row>
    <row r="132" spans="1:9" hidden="1" x14ac:dyDescent="0.3">
      <c r="A132" s="1" t="s">
        <v>413</v>
      </c>
      <c r="B132" s="3">
        <v>22</v>
      </c>
      <c r="C132" s="1" t="s">
        <v>448</v>
      </c>
      <c r="D132" s="1" t="s">
        <v>797</v>
      </c>
      <c r="E132" s="3" t="s">
        <v>110</v>
      </c>
      <c r="F132" s="1"/>
      <c r="G132" s="1"/>
      <c r="H132" s="1"/>
      <c r="I132" s="1"/>
    </row>
    <row r="133" spans="1:9" hidden="1" x14ac:dyDescent="0.3">
      <c r="A133" s="1" t="s">
        <v>416</v>
      </c>
      <c r="B133" s="3">
        <v>22</v>
      </c>
      <c r="C133" s="1" t="s">
        <v>448</v>
      </c>
      <c r="D133" s="1"/>
      <c r="E133" s="3" t="s">
        <v>28</v>
      </c>
      <c r="F133" s="1" t="s">
        <v>812</v>
      </c>
      <c r="G133" s="1"/>
      <c r="H133" s="1"/>
      <c r="I133" s="1"/>
    </row>
    <row r="134" spans="1:9" hidden="1" x14ac:dyDescent="0.3">
      <c r="A134" s="1" t="s">
        <v>419</v>
      </c>
      <c r="B134" s="3">
        <v>22</v>
      </c>
      <c r="C134" s="1" t="s">
        <v>448</v>
      </c>
      <c r="D134" s="1"/>
      <c r="E134" s="136"/>
      <c r="F134" s="1"/>
      <c r="G134" s="1"/>
      <c r="H134" s="1"/>
      <c r="I134" s="1" t="s">
        <v>16</v>
      </c>
    </row>
    <row r="135" spans="1:9" hidden="1" x14ac:dyDescent="0.3">
      <c r="A135" s="1" t="s">
        <v>422</v>
      </c>
      <c r="B135" s="3">
        <v>22</v>
      </c>
      <c r="C135" s="1" t="s">
        <v>448</v>
      </c>
      <c r="D135" s="1"/>
      <c r="E135" s="136"/>
      <c r="F135" s="1" t="s">
        <v>813</v>
      </c>
      <c r="G135" s="1"/>
      <c r="H135" s="1"/>
      <c r="I135" s="1" t="s">
        <v>16</v>
      </c>
    </row>
    <row r="136" spans="1:9" hidden="1" x14ac:dyDescent="0.3">
      <c r="A136" s="1" t="s">
        <v>202</v>
      </c>
      <c r="B136" s="6" t="s">
        <v>203</v>
      </c>
      <c r="C136" s="1" t="s">
        <v>447</v>
      </c>
      <c r="D136" s="1" t="s">
        <v>447</v>
      </c>
      <c r="E136" s="6" t="s">
        <v>24</v>
      </c>
      <c r="F136" s="1"/>
      <c r="G136" s="1"/>
      <c r="H136" s="1"/>
      <c r="I136" s="1"/>
    </row>
    <row r="137" spans="1:9" x14ac:dyDescent="0.3">
      <c r="A137" s="1" t="s">
        <v>408</v>
      </c>
      <c r="B137" s="3">
        <v>22</v>
      </c>
      <c r="C137" s="1" t="s">
        <v>13</v>
      </c>
      <c r="D137" s="1"/>
      <c r="E137" s="136" t="s">
        <v>16</v>
      </c>
      <c r="F137" s="1" t="s">
        <v>814</v>
      </c>
      <c r="G137" s="1"/>
      <c r="H137" s="1"/>
      <c r="I137" s="1" t="s">
        <v>16</v>
      </c>
    </row>
    <row r="138" spans="1:9" hidden="1" x14ac:dyDescent="0.3">
      <c r="A138" s="1" t="s">
        <v>209</v>
      </c>
      <c r="B138" s="3" t="s">
        <v>203</v>
      </c>
      <c r="C138" s="1" t="s">
        <v>13</v>
      </c>
      <c r="D138" s="1"/>
      <c r="E138" s="3" t="s">
        <v>28</v>
      </c>
      <c r="F138" s="1"/>
      <c r="G138" s="1"/>
      <c r="H138" s="1"/>
      <c r="I138" s="1"/>
    </row>
    <row r="139" spans="1:9" hidden="1" x14ac:dyDescent="0.3">
      <c r="A139" s="1" t="s">
        <v>210</v>
      </c>
      <c r="B139" s="6" t="s">
        <v>203</v>
      </c>
      <c r="C139" s="1" t="s">
        <v>13</v>
      </c>
      <c r="D139" s="1" t="s">
        <v>797</v>
      </c>
      <c r="E139" s="3" t="s">
        <v>24</v>
      </c>
      <c r="F139" s="1"/>
      <c r="G139" s="1"/>
      <c r="H139" s="1"/>
      <c r="I139" s="1"/>
    </row>
    <row r="140" spans="1:9" x14ac:dyDescent="0.3">
      <c r="A140" s="1" t="s">
        <v>414</v>
      </c>
      <c r="B140" s="3">
        <v>22</v>
      </c>
      <c r="C140" s="1" t="s">
        <v>13</v>
      </c>
      <c r="D140" s="1"/>
      <c r="E140" s="136" t="s">
        <v>16</v>
      </c>
      <c r="F140" s="1" t="s">
        <v>501</v>
      </c>
      <c r="G140" s="1"/>
      <c r="H140" s="1"/>
      <c r="I140" s="1" t="s">
        <v>16</v>
      </c>
    </row>
    <row r="141" spans="1:9" x14ac:dyDescent="0.3">
      <c r="A141" s="1" t="s">
        <v>404</v>
      </c>
      <c r="B141" s="3">
        <v>22</v>
      </c>
      <c r="C141" s="1" t="s">
        <v>448</v>
      </c>
      <c r="D141" s="1"/>
      <c r="E141" s="136" t="s">
        <v>16</v>
      </c>
      <c r="F141" s="1" t="s">
        <v>494</v>
      </c>
      <c r="G141" s="1"/>
      <c r="H141" s="1"/>
      <c r="I141" s="1" t="s">
        <v>16</v>
      </c>
    </row>
    <row r="142" spans="1:9" hidden="1" x14ac:dyDescent="0.3">
      <c r="A142" s="1" t="s">
        <v>204</v>
      </c>
      <c r="B142" s="3" t="s">
        <v>205</v>
      </c>
      <c r="C142" s="1" t="s">
        <v>13</v>
      </c>
      <c r="D142" s="1"/>
      <c r="E142" s="277"/>
      <c r="F142" s="1"/>
      <c r="G142" s="1"/>
      <c r="H142" s="1"/>
      <c r="I142" s="1" t="s">
        <v>16</v>
      </c>
    </row>
    <row r="143" spans="1:9" x14ac:dyDescent="0.3">
      <c r="A143" s="1" t="s">
        <v>410</v>
      </c>
      <c r="B143" s="3">
        <v>22</v>
      </c>
      <c r="C143" s="1" t="s">
        <v>448</v>
      </c>
      <c r="D143" s="1"/>
      <c r="E143" s="136" t="s">
        <v>16</v>
      </c>
      <c r="F143" s="1" t="s">
        <v>498</v>
      </c>
      <c r="G143" s="33"/>
      <c r="H143" s="33"/>
      <c r="I143" s="33" t="s">
        <v>16</v>
      </c>
    </row>
    <row r="144" spans="1:9" x14ac:dyDescent="0.3">
      <c r="A144" s="1" t="s">
        <v>207</v>
      </c>
      <c r="B144" s="3" t="s">
        <v>203</v>
      </c>
      <c r="C144" s="33" t="s">
        <v>13</v>
      </c>
      <c r="D144" s="33"/>
      <c r="E144" s="136" t="s">
        <v>16</v>
      </c>
      <c r="F144" s="33" t="s">
        <v>208</v>
      </c>
      <c r="G144" s="9"/>
      <c r="H144" s="9"/>
      <c r="I144" s="9" t="s">
        <v>16</v>
      </c>
    </row>
    <row r="155" spans="1:5" ht="21" x14ac:dyDescent="0.4">
      <c r="A155" s="128" t="s">
        <v>211</v>
      </c>
      <c r="B155" s="129"/>
      <c r="C155" s="130"/>
      <c r="D155" s="130"/>
      <c r="E155" s="260">
        <f>+COUNTIF(E3:E153,"OK")</f>
        <v>24</v>
      </c>
    </row>
  </sheetData>
  <autoFilter ref="A2:K144" xr:uid="{89F0672B-CFA8-4DFF-A494-D2844A7BF64D}">
    <filterColumn colId="4">
      <filters>
        <filter val="OK"/>
      </filters>
    </filterColumn>
    <sortState xmlns:xlrd2="http://schemas.microsoft.com/office/spreadsheetml/2017/richdata2" ref="A29:K144">
      <sortCondition ref="B2:B144"/>
    </sortState>
  </autoFilter>
  <mergeCells count="1">
    <mergeCell ref="B1:F1"/>
  </mergeCells>
  <conditionalFormatting sqref="A34 B39:B42 B44 B48:B50 A51 B52:B53 B55:B56 B59:B60">
    <cfRule type="expression" dxfId="960" priority="212">
      <formula>COUNTIF($B34:Z34, "C")</formula>
    </cfRule>
    <cfRule type="expression" dxfId="959" priority="213">
      <formula>COUNTIF($B34:Z34, "Q")</formula>
    </cfRule>
    <cfRule type="expression" dxfId="958" priority="214">
      <formula>COUNTIF($B34:Z34, "M")</formula>
    </cfRule>
    <cfRule type="expression" dxfId="957" priority="215">
      <formula>COUNTIF($B34:Z34, "A")</formula>
    </cfRule>
  </conditionalFormatting>
  <conditionalFormatting sqref="A34:A37 A38:B45 B48:B50 A48:A53 B52:B53 A55:B57 A59:B60 A4:B4 A7:B7 A47:B47 A66:B66 A74:B74 A98:B99 A141:B141 A113:B113 A103:B103 A33:B33 B36:B37 A84">
    <cfRule type="expression" dxfId="956" priority="216">
      <formula>COUNTIF($A4:Z4, "NI")</formula>
    </cfRule>
  </conditionalFormatting>
  <conditionalFormatting sqref="A76">
    <cfRule type="expression" dxfId="955" priority="120">
      <formula>COUNTIF($B76:Z76, "A")</formula>
    </cfRule>
    <cfRule type="expression" dxfId="954" priority="121">
      <formula>COUNTIF($A76:Z76, "NI")</formula>
    </cfRule>
  </conditionalFormatting>
  <conditionalFormatting sqref="A140">
    <cfRule type="expression" dxfId="953" priority="72">
      <formula>COUNTIF($A140:Z140, "NI")</formula>
    </cfRule>
  </conditionalFormatting>
  <conditionalFormatting sqref="A148:A152">
    <cfRule type="expression" dxfId="952" priority="743">
      <formula>COUNTIF($B147:Z147, "C")</formula>
    </cfRule>
    <cfRule type="expression" dxfId="951" priority="744">
      <formula>COUNTIF($B147:Z147, "Q")</formula>
    </cfRule>
    <cfRule type="expression" dxfId="950" priority="745">
      <formula>COUNTIF($B147:Z147, "M")</formula>
    </cfRule>
    <cfRule type="expression" dxfId="949" priority="746">
      <formula>COUNTIF($B147:Z147, "A")</formula>
    </cfRule>
    <cfRule type="expression" dxfId="948" priority="747">
      <formula>COUNTIF($A147:Z147, "NI")</formula>
    </cfRule>
  </conditionalFormatting>
  <conditionalFormatting sqref="A4:B4 A7:B7 A38:B38 A43:B43 A45:B45 A47:B47 A57:B57 A66:B66 A74:B74 B98 A141:B141">
    <cfRule type="expression" dxfId="947" priority="99">
      <formula>COUNTIF($B4:Z4, "Q")</formula>
    </cfRule>
    <cfRule type="expression" dxfId="946" priority="100">
      <formula>COUNTIF($B4:Z4, "M")</formula>
    </cfRule>
  </conditionalFormatting>
  <conditionalFormatting sqref="A4:B5 A10:B10 A21:B21 A54:B54 A57:B58 A66:B68 A72:B72 B142">
    <cfRule type="expression" dxfId="945" priority="54">
      <formula>COUNTIF($B4:Z4, "A")</formula>
    </cfRule>
  </conditionalFormatting>
  <conditionalFormatting sqref="A5:B5 A10:B10 A21:B21 A54:B54 A58:B58 A67:B68 A72:B72 B142">
    <cfRule type="expression" dxfId="944" priority="51">
      <formula>COUNTIF($B5:Z5, "C")</formula>
    </cfRule>
    <cfRule type="expression" dxfId="943" priority="52">
      <formula>COUNTIF($B5:Z5, "Q")</formula>
    </cfRule>
    <cfRule type="expression" dxfId="942" priority="53">
      <formula>COUNTIF($B5:Z5, "M")</formula>
    </cfRule>
    <cfRule type="expression" dxfId="941" priority="55">
      <formula>COUNTIF($A5:Z5, "NI")</formula>
    </cfRule>
  </conditionalFormatting>
  <conditionalFormatting sqref="A7:B7 A38:B38 A43:B43 A45:B45 A47:B47 A74:B74 B98 A141:B141 A4:B4 A57:B57 A66:B66">
    <cfRule type="expression" dxfId="940" priority="98">
      <formula>COUNTIF($B4:Z4, "C")</formula>
    </cfRule>
  </conditionalFormatting>
  <conditionalFormatting sqref="A13:B13">
    <cfRule type="expression" dxfId="939" priority="21">
      <formula>COUNTIF($B13:Y13, "C")</formula>
    </cfRule>
    <cfRule type="expression" dxfId="938" priority="22">
      <formula>COUNTIF($B13:Y13, "Q")</formula>
    </cfRule>
    <cfRule type="expression" dxfId="937" priority="23">
      <formula>COUNTIF($B13:Y13, "M")</formula>
    </cfRule>
    <cfRule type="expression" dxfId="936" priority="24">
      <formula>COUNTIF($B13:Y13, "A")</formula>
    </cfRule>
    <cfRule type="expression" dxfId="935" priority="25">
      <formula>COUNTIF($A13:Y13, "NI")</formula>
    </cfRule>
  </conditionalFormatting>
  <conditionalFormatting sqref="A25:B25">
    <cfRule type="expression" dxfId="934" priority="884">
      <formula>COUNTIF($A25:H25, "NI")</formula>
    </cfRule>
  </conditionalFormatting>
  <conditionalFormatting sqref="A46:B46">
    <cfRule type="expression" dxfId="933" priority="11">
      <formula>COUNTIF($B46:Y46, "C")</formula>
    </cfRule>
    <cfRule type="expression" dxfId="932" priority="12">
      <formula>COUNTIF($B46:Y46, "Q")</formula>
    </cfRule>
    <cfRule type="expression" dxfId="931" priority="13">
      <formula>COUNTIF($B46:Y46, "M")</formula>
    </cfRule>
    <cfRule type="expression" dxfId="930" priority="14">
      <formula>COUNTIF($B46:Y46, "A")</formula>
    </cfRule>
    <cfRule type="expression" dxfId="929" priority="15">
      <formula>COUNTIF($A46:Y46, "NI")</formula>
    </cfRule>
  </conditionalFormatting>
  <conditionalFormatting sqref="A81:B81">
    <cfRule type="expression" dxfId="928" priority="16">
      <formula>COUNTIF($B81:Y81, "C")</formula>
    </cfRule>
    <cfRule type="expression" dxfId="927" priority="17">
      <formula>COUNTIF($B81:Y81, "Q")</formula>
    </cfRule>
    <cfRule type="expression" dxfId="926" priority="18">
      <formula>COUNTIF($B81:Y81, "M")</formula>
    </cfRule>
    <cfRule type="expression" dxfId="925" priority="19">
      <formula>COUNTIF($B81:Y81, "A")</formula>
    </cfRule>
    <cfRule type="expression" dxfId="924" priority="20">
      <formula>COUNTIF($A81:Y81, "NI")</formula>
    </cfRule>
  </conditionalFormatting>
  <conditionalFormatting sqref="A84:B84">
    <cfRule type="expression" dxfId="923" priority="916">
      <formula>COUNTIF($C84:Z84, "A")</formula>
    </cfRule>
  </conditionalFormatting>
  <conditionalFormatting sqref="A90:B90 A97">
    <cfRule type="expression" dxfId="922" priority="826">
      <formula>COUNTIF($A89:Z89, "NI")</formula>
    </cfRule>
    <cfRule type="expression" dxfId="921" priority="828">
      <formula>COUNTIF($B89:Z89, "A")</formula>
    </cfRule>
  </conditionalFormatting>
  <conditionalFormatting sqref="A98:B99 A103:B103 A7:B7 A38:B38 A43:B43 A45:B45 A47:B47 A74:B74 A113:B113 A140 A141:B141">
    <cfRule type="expression" dxfId="920" priority="71">
      <formula>COUNTIF($B7:Z7, "A")</formula>
    </cfRule>
  </conditionalFormatting>
  <conditionalFormatting sqref="A136:B136">
    <cfRule type="expression" dxfId="919" priority="914">
      <formula>COUNTIF($B135:Z135, "A")</formula>
    </cfRule>
    <cfRule type="expression" dxfId="918" priority="915">
      <formula>COUNTIF($A135:Z135, "NI")</formula>
    </cfRule>
  </conditionalFormatting>
  <conditionalFormatting sqref="A143:B144">
    <cfRule type="expression" dxfId="917" priority="1">
      <formula>COUNTIF($B143:Y143, "C")</formula>
    </cfRule>
    <cfRule type="expression" dxfId="916" priority="2">
      <formula>COUNTIF($B143:Y143, "Q")</formula>
    </cfRule>
    <cfRule type="expression" dxfId="915" priority="3">
      <formula>COUNTIF($B143:Y143, "M")</formula>
    </cfRule>
    <cfRule type="expression" dxfId="914" priority="4">
      <formula>COUNTIF($B143:Y143, "A")</formula>
    </cfRule>
    <cfRule type="expression" dxfId="913" priority="5">
      <formula>COUNTIF($A143:Y143, "NI")</formula>
    </cfRule>
  </conditionalFormatting>
  <conditionalFormatting sqref="B25">
    <cfRule type="expression" dxfId="912" priority="233">
      <formula>COUNTIF($B25:H25, "C")</formula>
    </cfRule>
    <cfRule type="expression" dxfId="911" priority="234">
      <formula>COUNTIF($B25:H25, "Q")</formula>
    </cfRule>
    <cfRule type="expression" dxfId="910" priority="235">
      <formula>COUNTIF($B25:H25, "M")</formula>
    </cfRule>
    <cfRule type="expression" dxfId="909" priority="236">
      <formula>COUNTIF($B25:H25, "A")</formula>
    </cfRule>
  </conditionalFormatting>
  <conditionalFormatting sqref="B33">
    <cfRule type="expression" dxfId="908" priority="227">
      <formula>COUNTIF($B33:AA33, "C")</formula>
    </cfRule>
    <cfRule type="expression" dxfId="907" priority="228">
      <formula>COUNTIF($B33:AA33, "Q")</formula>
    </cfRule>
    <cfRule type="expression" dxfId="906" priority="229">
      <formula>COUNTIF($B33:AA33, "M")</formula>
    </cfRule>
    <cfRule type="expression" dxfId="905" priority="230">
      <formula>COUNTIF($B33:AA33, "A")</formula>
    </cfRule>
  </conditionalFormatting>
  <conditionalFormatting sqref="B36:B37">
    <cfRule type="expression" dxfId="904" priority="223">
      <formula>COUNTIF($B36:AA36, "C")</formula>
    </cfRule>
    <cfRule type="expression" dxfId="903" priority="224">
      <formula>COUNTIF($B36:AA36, "Q")</formula>
    </cfRule>
    <cfRule type="expression" dxfId="902" priority="225">
      <formula>COUNTIF($B36:AA36, "M")</formula>
    </cfRule>
    <cfRule type="expression" dxfId="901" priority="226">
      <formula>COUNTIF($B36:AA36, "A")</formula>
    </cfRule>
  </conditionalFormatting>
  <conditionalFormatting sqref="B84">
    <cfRule type="expression" dxfId="900" priority="772">
      <formula>COUNTIF($C84:AA84, "C")</formula>
    </cfRule>
    <cfRule type="expression" dxfId="899" priority="773">
      <formula>COUNTIF($C84:AA84, "Q")</formula>
    </cfRule>
    <cfRule type="expression" dxfId="898" priority="774">
      <formula>COUNTIF($C84:AA84, "M")</formula>
    </cfRule>
    <cfRule type="expression" dxfId="897" priority="775">
      <formula>COUNTIF($A84:AA84, "NI")</formula>
    </cfRule>
  </conditionalFormatting>
  <conditionalFormatting sqref="B90 B136">
    <cfRule type="expression" dxfId="896" priority="833">
      <formula>COUNTIF($B89:AA89, "C")</formula>
    </cfRule>
    <cfRule type="expression" dxfId="895" priority="834">
      <formula>COUNTIF($B89:AA89, "Q")</formula>
    </cfRule>
    <cfRule type="expression" dxfId="894" priority="835">
      <formula>COUNTIF($B89:AA89, "M")</formula>
    </cfRule>
  </conditionalFormatting>
  <conditionalFormatting sqref="B99">
    <cfRule type="expression" dxfId="893" priority="66">
      <formula>COUNTIF($B99:AA99, "C")</formula>
    </cfRule>
    <cfRule type="expression" dxfId="892" priority="67">
      <formula>COUNTIF($B99:AA99, "Q")</formula>
    </cfRule>
    <cfRule type="expression" dxfId="891" priority="68">
      <formula>COUNTIF($B99:AA99, "M")</formula>
    </cfRule>
  </conditionalFormatting>
  <conditionalFormatting sqref="B103">
    <cfRule type="expression" dxfId="890" priority="41">
      <formula>COUNTIF($B103:AA103, "C")</formula>
    </cfRule>
    <cfRule type="expression" dxfId="889" priority="42">
      <formula>COUNTIF($B103:AA103, "Q")</formula>
    </cfRule>
    <cfRule type="expression" dxfId="888" priority="43">
      <formula>COUNTIF($B103:AA103, "M")</formula>
    </cfRule>
  </conditionalFormatting>
  <conditionalFormatting sqref="B113">
    <cfRule type="expression" dxfId="887" priority="88">
      <formula>COUNTIF($B113:AA113, "C")</formula>
    </cfRule>
    <cfRule type="expression" dxfId="886" priority="89">
      <formula>COUNTIF($B113:AA113, "Q")</formula>
    </cfRule>
    <cfRule type="expression" dxfId="885" priority="90">
      <formula>COUNTIF($B113:AA113, "M")</formula>
    </cfRule>
  </conditionalFormatting>
  <pageMargins left="0.7" right="0.7" top="0.75" bottom="0.75" header="0.3" footer="0.3"/>
  <pageSetup orientation="portrait" horizontalDpi="360" verticalDpi="36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24EA-4CEA-4500-AC53-ACFEB1A5F9D9}">
  <dimension ref="A1:G38"/>
  <sheetViews>
    <sheetView workbookViewId="0"/>
  </sheetViews>
  <sheetFormatPr baseColWidth="10" defaultColWidth="8.88671875" defaultRowHeight="14.4" x14ac:dyDescent="0.3"/>
  <cols>
    <col min="2" max="2" width="45.109375" bestFit="1" customWidth="1"/>
    <col min="8" max="8" width="9.109375" bestFit="1" customWidth="1"/>
  </cols>
  <sheetData>
    <row r="1" spans="1:7" x14ac:dyDescent="0.3">
      <c r="A1" t="s">
        <v>598</v>
      </c>
      <c r="B1" s="30" t="s">
        <v>2</v>
      </c>
    </row>
    <row r="2" spans="1:7" x14ac:dyDescent="0.3">
      <c r="A2">
        <v>10</v>
      </c>
      <c r="B2" s="30" t="s">
        <v>815</v>
      </c>
      <c r="D2" s="1" t="s">
        <v>207</v>
      </c>
      <c r="E2" s="1" t="s">
        <v>410</v>
      </c>
    </row>
    <row r="3" spans="1:7" x14ac:dyDescent="0.3">
      <c r="A3">
        <v>8</v>
      </c>
      <c r="B3" s="1" t="s">
        <v>272</v>
      </c>
      <c r="D3" s="1" t="s">
        <v>63</v>
      </c>
      <c r="E3" s="1" t="s">
        <v>411</v>
      </c>
    </row>
    <row r="4" spans="1:7" x14ac:dyDescent="0.3">
      <c r="A4">
        <v>8</v>
      </c>
      <c r="B4" s="1" t="s">
        <v>41</v>
      </c>
      <c r="D4" s="1" t="s">
        <v>196</v>
      </c>
      <c r="E4" s="1" t="s">
        <v>98</v>
      </c>
    </row>
    <row r="5" spans="1:7" x14ac:dyDescent="0.3">
      <c r="A5">
        <v>6</v>
      </c>
      <c r="B5" s="1" t="s">
        <v>63</v>
      </c>
      <c r="D5" s="1" t="s">
        <v>404</v>
      </c>
      <c r="E5" s="1" t="s">
        <v>400</v>
      </c>
    </row>
    <row r="6" spans="1:7" x14ac:dyDescent="0.3">
      <c r="A6">
        <v>5</v>
      </c>
      <c r="B6" s="1" t="s">
        <v>330</v>
      </c>
      <c r="D6" s="1" t="s">
        <v>12</v>
      </c>
      <c r="E6" s="1" t="s">
        <v>183</v>
      </c>
    </row>
    <row r="7" spans="1:7" x14ac:dyDescent="0.3">
      <c r="A7">
        <v>7</v>
      </c>
      <c r="B7" s="135" t="s">
        <v>12</v>
      </c>
      <c r="D7" s="1" t="s">
        <v>408</v>
      </c>
      <c r="E7" s="1" t="s">
        <v>412</v>
      </c>
    </row>
    <row r="8" spans="1:7" x14ac:dyDescent="0.3">
      <c r="A8">
        <v>4</v>
      </c>
      <c r="B8" s="135" t="s">
        <v>347</v>
      </c>
      <c r="C8" t="s">
        <v>16</v>
      </c>
      <c r="D8" s="1" t="s">
        <v>126</v>
      </c>
      <c r="E8" s="1" t="s">
        <v>414</v>
      </c>
    </row>
    <row r="9" spans="1:7" x14ac:dyDescent="0.3">
      <c r="A9">
        <v>5</v>
      </c>
      <c r="B9" s="1" t="s">
        <v>82</v>
      </c>
      <c r="C9" t="s">
        <v>16</v>
      </c>
      <c r="D9" s="1" t="s">
        <v>68</v>
      </c>
      <c r="E9" s="1" t="s">
        <v>347</v>
      </c>
      <c r="G9">
        <f>37/2</f>
        <v>18.5</v>
      </c>
    </row>
    <row r="10" spans="1:7" x14ac:dyDescent="0.3">
      <c r="A10">
        <v>7</v>
      </c>
      <c r="B10" s="135" t="s">
        <v>126</v>
      </c>
      <c r="C10" t="s">
        <v>16</v>
      </c>
      <c r="D10" s="1" t="s">
        <v>178</v>
      </c>
      <c r="E10" s="1" t="s">
        <v>405</v>
      </c>
    </row>
    <row r="11" spans="1:7" x14ac:dyDescent="0.3">
      <c r="A11">
        <v>5</v>
      </c>
      <c r="B11" s="135" t="s">
        <v>128</v>
      </c>
      <c r="C11" t="s">
        <v>16</v>
      </c>
      <c r="D11" s="1" t="s">
        <v>418</v>
      </c>
      <c r="E11" s="1" t="s">
        <v>204</v>
      </c>
    </row>
    <row r="12" spans="1:7" x14ac:dyDescent="0.3">
      <c r="A12">
        <v>3</v>
      </c>
      <c r="B12" s="1" t="s">
        <v>98</v>
      </c>
      <c r="C12" t="s">
        <v>16</v>
      </c>
      <c r="D12" s="1" t="s">
        <v>422</v>
      </c>
      <c r="E12" s="1" t="s">
        <v>128</v>
      </c>
    </row>
    <row r="13" spans="1:7" x14ac:dyDescent="0.3">
      <c r="A13">
        <v>6</v>
      </c>
      <c r="B13" s="153" t="s">
        <v>143</v>
      </c>
      <c r="C13" t="s">
        <v>16</v>
      </c>
      <c r="D13" s="1" t="s">
        <v>41</v>
      </c>
      <c r="E13" s="9" t="s">
        <v>82</v>
      </c>
    </row>
    <row r="14" spans="1:7" x14ac:dyDescent="0.3">
      <c r="A14">
        <v>6</v>
      </c>
      <c r="B14" s="135" t="s">
        <v>384</v>
      </c>
      <c r="D14" s="1" t="s">
        <v>385</v>
      </c>
      <c r="E14" s="1" t="s">
        <v>330</v>
      </c>
    </row>
    <row r="15" spans="1:7" x14ac:dyDescent="0.3">
      <c r="A15">
        <v>8</v>
      </c>
      <c r="B15" s="153" t="s">
        <v>385</v>
      </c>
      <c r="D15" s="1" t="s">
        <v>195</v>
      </c>
      <c r="E15" s="9" t="s">
        <v>419</v>
      </c>
    </row>
    <row r="16" spans="1:7" x14ac:dyDescent="0.3">
      <c r="A16">
        <v>3</v>
      </c>
      <c r="B16" s="135" t="s">
        <v>400</v>
      </c>
      <c r="D16" s="1" t="s">
        <v>272</v>
      </c>
      <c r="E16" s="1" t="s">
        <v>393</v>
      </c>
    </row>
    <row r="17" spans="1:5" x14ac:dyDescent="0.3">
      <c r="A17">
        <v>6</v>
      </c>
      <c r="B17" s="1" t="s">
        <v>393</v>
      </c>
      <c r="D17" s="1" t="s">
        <v>402</v>
      </c>
      <c r="E17" s="1" t="s">
        <v>384</v>
      </c>
    </row>
    <row r="18" spans="1:5" x14ac:dyDescent="0.3">
      <c r="A18">
        <v>9</v>
      </c>
      <c r="B18" s="135" t="s">
        <v>153</v>
      </c>
      <c r="C18" t="s">
        <v>16</v>
      </c>
      <c r="D18" s="1" t="s">
        <v>153</v>
      </c>
      <c r="E18" s="1" t="s">
        <v>143</v>
      </c>
    </row>
    <row r="19" spans="1:5" x14ac:dyDescent="0.3">
      <c r="A19">
        <v>7</v>
      </c>
      <c r="B19" s="1" t="s">
        <v>178</v>
      </c>
      <c r="D19" s="1" t="s">
        <v>337</v>
      </c>
      <c r="E19" s="1" t="s">
        <v>409</v>
      </c>
    </row>
    <row r="20" spans="1:5" x14ac:dyDescent="0.3">
      <c r="A20">
        <v>3</v>
      </c>
      <c r="B20" s="1" t="s">
        <v>183</v>
      </c>
      <c r="D20" s="30" t="s">
        <v>815</v>
      </c>
    </row>
    <row r="21" spans="1:5" x14ac:dyDescent="0.3">
      <c r="A21">
        <v>8</v>
      </c>
      <c r="B21" s="1" t="s">
        <v>195</v>
      </c>
    </row>
    <row r="22" spans="1:5" x14ac:dyDescent="0.3">
      <c r="A22">
        <v>6</v>
      </c>
      <c r="B22" s="1" t="s">
        <v>409</v>
      </c>
      <c r="C22" t="s">
        <v>16</v>
      </c>
    </row>
    <row r="23" spans="1:5" x14ac:dyDescent="0.3">
      <c r="A23">
        <v>4</v>
      </c>
      <c r="B23" s="1" t="s">
        <v>412</v>
      </c>
    </row>
    <row r="24" spans="1:5" x14ac:dyDescent="0.3">
      <c r="A24">
        <v>7</v>
      </c>
      <c r="B24" s="135" t="s">
        <v>418</v>
      </c>
    </row>
    <row r="25" spans="1:5" x14ac:dyDescent="0.3">
      <c r="A25">
        <v>9</v>
      </c>
      <c r="B25" s="135" t="s">
        <v>402</v>
      </c>
      <c r="C25" t="s">
        <v>16</v>
      </c>
    </row>
    <row r="26" spans="1:5" x14ac:dyDescent="0.3">
      <c r="A26">
        <v>5</v>
      </c>
      <c r="B26" s="1" t="s">
        <v>405</v>
      </c>
    </row>
    <row r="27" spans="1:5" x14ac:dyDescent="0.3">
      <c r="A27">
        <v>7</v>
      </c>
      <c r="B27" s="1" t="s">
        <v>408</v>
      </c>
    </row>
    <row r="28" spans="1:5" x14ac:dyDescent="0.3">
      <c r="A28">
        <v>3</v>
      </c>
      <c r="B28" s="1" t="s">
        <v>411</v>
      </c>
      <c r="C28" t="s">
        <v>16</v>
      </c>
    </row>
    <row r="29" spans="1:5" x14ac:dyDescent="0.3">
      <c r="A29">
        <v>4</v>
      </c>
      <c r="B29" s="1" t="s">
        <v>414</v>
      </c>
    </row>
    <row r="30" spans="1:5" x14ac:dyDescent="0.3">
      <c r="A30">
        <v>7</v>
      </c>
      <c r="B30" s="1" t="s">
        <v>404</v>
      </c>
    </row>
    <row r="31" spans="1:5" x14ac:dyDescent="0.3">
      <c r="A31">
        <v>2</v>
      </c>
      <c r="B31" s="1" t="s">
        <v>410</v>
      </c>
    </row>
    <row r="32" spans="1:5" x14ac:dyDescent="0.3">
      <c r="A32">
        <v>5</v>
      </c>
      <c r="B32" s="1" t="s">
        <v>419</v>
      </c>
    </row>
    <row r="33" spans="1:3" x14ac:dyDescent="0.3">
      <c r="A33">
        <v>7</v>
      </c>
      <c r="B33" s="1" t="s">
        <v>422</v>
      </c>
    </row>
    <row r="34" spans="1:3" x14ac:dyDescent="0.3">
      <c r="A34">
        <v>6</v>
      </c>
      <c r="B34" s="1" t="s">
        <v>207</v>
      </c>
    </row>
    <row r="35" spans="1:3" x14ac:dyDescent="0.3">
      <c r="A35">
        <v>6</v>
      </c>
      <c r="B35" s="1" t="s">
        <v>196</v>
      </c>
    </row>
    <row r="36" spans="1:3" x14ac:dyDescent="0.3">
      <c r="A36">
        <v>7</v>
      </c>
      <c r="B36" s="1" t="s">
        <v>68</v>
      </c>
    </row>
    <row r="37" spans="1:3" x14ac:dyDescent="0.3">
      <c r="A37">
        <v>5</v>
      </c>
      <c r="B37" s="1" t="s">
        <v>204</v>
      </c>
      <c r="C37" t="s">
        <v>16</v>
      </c>
    </row>
    <row r="38" spans="1:3" x14ac:dyDescent="0.3">
      <c r="A38">
        <v>9</v>
      </c>
      <c r="B38" s="1" t="s">
        <v>337</v>
      </c>
      <c r="C38" s="6"/>
    </row>
  </sheetData>
  <autoFilter ref="A1:B1" xr:uid="{4E8224EA-4CEA-4500-AC53-ACFEB1A5F9D9}"/>
  <conditionalFormatting sqref="B3 B6 B8:B9 B36">
    <cfRule type="expression" dxfId="884" priority="50">
      <formula>COUNTIF($B3:AA3, "C")</formula>
    </cfRule>
    <cfRule type="expression" dxfId="883" priority="51">
      <formula>COUNTIF($B3:AA3, "Q")</formula>
    </cfRule>
    <cfRule type="expression" dxfId="882" priority="52">
      <formula>COUNTIF($B3:AA3, "M")</formula>
    </cfRule>
  </conditionalFormatting>
  <conditionalFormatting sqref="B3 B6:B9 B36 B17:B18 B20:B21 B13">
    <cfRule type="expression" dxfId="881" priority="53">
      <formula>COUNTIF($A3:AA3, "NI")</formula>
    </cfRule>
  </conditionalFormatting>
  <conditionalFormatting sqref="B11">
    <cfRule type="expression" dxfId="880" priority="44">
      <formula>COUNTIF($B11:AA11, "C")</formula>
    </cfRule>
    <cfRule type="expression" dxfId="879" priority="45">
      <formula>COUNTIF($B11:AA11, "Q")</formula>
    </cfRule>
    <cfRule type="expression" dxfId="878" priority="46">
      <formula>COUNTIF($B11:AA11, "M")</formula>
    </cfRule>
    <cfRule type="expression" dxfId="877" priority="47">
      <formula>COUNTIF($B11:AA11, "A")</formula>
    </cfRule>
    <cfRule type="expression" dxfId="876" priority="48">
      <formula>COUNTIF($A11:AA11, "NI")</formula>
    </cfRule>
  </conditionalFormatting>
  <conditionalFormatting sqref="B12">
    <cfRule type="expression" dxfId="875" priority="39">
      <formula>COUNTIF($B12:Z12, "C")</formula>
    </cfRule>
    <cfRule type="expression" dxfId="874" priority="40">
      <formula>COUNTIF($B12:Z12, "Q")</formula>
    </cfRule>
    <cfRule type="expression" dxfId="873" priority="41">
      <formula>COUNTIF($B12:Z12, "M")</formula>
    </cfRule>
    <cfRule type="expression" dxfId="872" priority="42">
      <formula>COUNTIF($B12:Z12, "A")</formula>
    </cfRule>
    <cfRule type="expression" dxfId="871" priority="43">
      <formula>COUNTIF($A12:Z12, "NI")</formula>
    </cfRule>
  </conditionalFormatting>
  <conditionalFormatting sqref="B13">
    <cfRule type="expression" dxfId="870" priority="38">
      <formula>COUNTIF($C13:AA13, "A")</formula>
    </cfRule>
  </conditionalFormatting>
  <conditionalFormatting sqref="B15:B16">
    <cfRule type="expression" dxfId="869" priority="36">
      <formula>COUNTIF($A14:AA14, "NI")</formula>
    </cfRule>
    <cfRule type="expression" dxfId="868" priority="37">
      <formula>COUNTIF($B14:AA14, "A")</formula>
    </cfRule>
  </conditionalFormatting>
  <conditionalFormatting sqref="B35">
    <cfRule type="expression" dxfId="867" priority="35">
      <formula>COUNTIF($A35:AA35, "NI")</formula>
    </cfRule>
  </conditionalFormatting>
  <conditionalFormatting sqref="B35:B36 B3 B6 B8:B9 B17:B18 B20:B21">
    <cfRule type="expression" dxfId="866" priority="49">
      <formula>COUNTIF($B3:AA3, "A")</formula>
    </cfRule>
  </conditionalFormatting>
  <conditionalFormatting sqref="B38:C38">
    <cfRule type="expression" dxfId="865" priority="30">
      <formula>COUNTIF($B38:Z38, "C")</formula>
    </cfRule>
    <cfRule type="expression" dxfId="864" priority="31">
      <formula>COUNTIF($B38:Z38, "Q")</formula>
    </cfRule>
    <cfRule type="expression" dxfId="863" priority="32">
      <formula>COUNTIF($B38:Z38, "M")</formula>
    </cfRule>
    <cfRule type="expression" dxfId="862" priority="33">
      <formula>COUNTIF($B38:Z38, "A")</formula>
    </cfRule>
    <cfRule type="expression" dxfId="861" priority="34">
      <formula>COUNTIF($A38:Z38, "NI")</formula>
    </cfRule>
  </conditionalFormatting>
  <conditionalFormatting sqref="D17">
    <cfRule type="expression" dxfId="860" priority="6">
      <formula>COUNTIF($A17:AC17, "NI")</formula>
    </cfRule>
  </conditionalFormatting>
  <conditionalFormatting sqref="D18 D2:D3">
    <cfRule type="expression" dxfId="859" priority="11">
      <formula>COUNTIF($A2:AC2, "NI")</formula>
    </cfRule>
  </conditionalFormatting>
  <conditionalFormatting sqref="D18">
    <cfRule type="expression" dxfId="858" priority="8">
      <formula>COUNTIF($B18:AC18, "C")</formula>
    </cfRule>
    <cfRule type="expression" dxfId="857" priority="9">
      <formula>COUNTIF($B18:AC18, "Q")</formula>
    </cfRule>
    <cfRule type="expression" dxfId="856" priority="10">
      <formula>COUNTIF($B18:AC18, "M")</formula>
    </cfRule>
  </conditionalFormatting>
  <conditionalFormatting sqref="D20">
    <cfRule type="expression" dxfId="855" priority="1">
      <formula>COUNTIF($B20:AB20, "C")</formula>
    </cfRule>
    <cfRule type="expression" dxfId="854" priority="2">
      <formula>COUNTIF($B20:AB20, "Q")</formula>
    </cfRule>
    <cfRule type="expression" dxfId="853" priority="3">
      <formula>COUNTIF($B20:AB20, "M")</formula>
    </cfRule>
    <cfRule type="expression" dxfId="852" priority="4">
      <formula>COUNTIF($B20:AB20, "A")</formula>
    </cfRule>
    <cfRule type="expression" dxfId="851" priority="5">
      <formula>COUNTIF($A20:AB20, "NI")</formula>
    </cfRule>
  </conditionalFormatting>
  <conditionalFormatting sqref="D17:E18 D2:D3">
    <cfRule type="expression" dxfId="850" priority="7">
      <formula>COUNTIF($B2:AC2, "A")</formula>
    </cfRule>
  </conditionalFormatting>
  <conditionalFormatting sqref="E3 E6 E8:E9">
    <cfRule type="expression" dxfId="849" priority="25">
      <formula>COUNTIF($B3:AD3, "A")</formula>
    </cfRule>
    <cfRule type="expression" dxfId="848" priority="26">
      <formula>COUNTIF($B3:AD3, "C")</formula>
    </cfRule>
    <cfRule type="expression" dxfId="847" priority="27">
      <formula>COUNTIF($B3:AD3, "Q")</formula>
    </cfRule>
    <cfRule type="expression" dxfId="846" priority="28">
      <formula>COUNTIF($B3:AD3, "M")</formula>
    </cfRule>
  </conditionalFormatting>
  <conditionalFormatting sqref="E3 E6:E9 E13 E17:E18">
    <cfRule type="expression" dxfId="845" priority="29">
      <formula>COUNTIF($A3:AD3, "NI")</formula>
    </cfRule>
  </conditionalFormatting>
  <conditionalFormatting sqref="E11">
    <cfRule type="expression" dxfId="844" priority="20">
      <formula>COUNTIF($B11:AD11, "C")</formula>
    </cfRule>
    <cfRule type="expression" dxfId="843" priority="21">
      <formula>COUNTIF($B11:AD11, "Q")</formula>
    </cfRule>
    <cfRule type="expression" dxfId="842" priority="22">
      <formula>COUNTIF($B11:AD11, "M")</formula>
    </cfRule>
    <cfRule type="expression" dxfId="841" priority="23">
      <formula>COUNTIF($B11:AD11, "A")</formula>
    </cfRule>
    <cfRule type="expression" dxfId="840" priority="24">
      <formula>COUNTIF($A11:AD11, "NI")</formula>
    </cfRule>
  </conditionalFormatting>
  <conditionalFormatting sqref="E12">
    <cfRule type="expression" dxfId="839" priority="15">
      <formula>COUNTIF($B12:AC12, "C")</formula>
    </cfRule>
    <cfRule type="expression" dxfId="838" priority="16">
      <formula>COUNTIF($B12:AC12, "Q")</formula>
    </cfRule>
    <cfRule type="expression" dxfId="837" priority="17">
      <formula>COUNTIF($B12:AC12, "M")</formula>
    </cfRule>
    <cfRule type="expression" dxfId="836" priority="18">
      <formula>COUNTIF($B12:AC12, "A")</formula>
    </cfRule>
    <cfRule type="expression" dxfId="835" priority="19">
      <formula>COUNTIF($A12:AC12, "NI")</formula>
    </cfRule>
  </conditionalFormatting>
  <conditionalFormatting sqref="E13">
    <cfRule type="expression" dxfId="834" priority="14">
      <formula>COUNTIF($C13:AD13, "A")</formula>
    </cfRule>
  </conditionalFormatting>
  <conditionalFormatting sqref="E15:E16">
    <cfRule type="expression" dxfId="833" priority="12">
      <formula>COUNTIF($A14:AD14, "NI")</formula>
    </cfRule>
    <cfRule type="expression" dxfId="832" priority="13">
      <formula>COUNTIF($B14:AD14, "A")</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BC1A4-2BAB-40B5-9041-1FF5E52E4258}">
  <sheetPr>
    <tabColor rgb="FF92D050"/>
  </sheetPr>
  <dimension ref="A1:J151"/>
  <sheetViews>
    <sheetView workbookViewId="0">
      <pane ySplit="2" topLeftCell="A3" activePane="bottomLeft" state="frozen"/>
      <selection activeCell="B1" sqref="B1"/>
      <selection pane="bottomLeft" activeCell="B1" sqref="B1"/>
    </sheetView>
  </sheetViews>
  <sheetFormatPr baseColWidth="10" defaultColWidth="57.33203125" defaultRowHeight="15" customHeight="1" x14ac:dyDescent="0.3"/>
  <cols>
    <col min="1" max="1" width="4.44140625" bestFit="1" customWidth="1"/>
    <col min="2" max="2" width="8" style="81" bestFit="1" customWidth="1"/>
    <col min="3" max="3" width="48.5546875" bestFit="1" customWidth="1"/>
    <col min="4" max="4" width="6.109375" customWidth="1"/>
    <col min="5" max="5" width="19.6640625" style="16" customWidth="1"/>
    <col min="6" max="6" width="22" style="16" customWidth="1"/>
    <col min="7" max="7" width="23.109375" style="16" hidden="1" customWidth="1"/>
    <col min="8" max="8" width="25" customWidth="1"/>
    <col min="9" max="9" width="26" bestFit="1" customWidth="1"/>
  </cols>
  <sheetData>
    <row r="1" spans="1:10" ht="32.25" customHeight="1" x14ac:dyDescent="0.35">
      <c r="A1" s="1"/>
      <c r="B1" s="350" t="s">
        <v>816</v>
      </c>
      <c r="C1" s="350"/>
      <c r="D1" s="350"/>
      <c r="E1" s="350"/>
      <c r="F1" s="350"/>
      <c r="G1" s="350"/>
      <c r="H1" s="350"/>
      <c r="I1" s="350"/>
      <c r="J1" s="102" t="s">
        <v>817</v>
      </c>
    </row>
    <row r="2" spans="1:10" ht="14.4" x14ac:dyDescent="0.3">
      <c r="A2" s="33" t="s">
        <v>818</v>
      </c>
      <c r="B2" s="200" t="s">
        <v>819</v>
      </c>
      <c r="C2" s="201" t="s">
        <v>739</v>
      </c>
      <c r="D2" s="203" t="s">
        <v>740</v>
      </c>
      <c r="E2" s="202" t="s">
        <v>820</v>
      </c>
      <c r="F2" s="202" t="s">
        <v>821</v>
      </c>
      <c r="G2" s="202" t="s">
        <v>822</v>
      </c>
      <c r="H2" s="203" t="s">
        <v>823</v>
      </c>
      <c r="I2" s="203" t="s">
        <v>824</v>
      </c>
      <c r="J2" s="33"/>
    </row>
    <row r="3" spans="1:10" ht="14.4" customHeight="1" x14ac:dyDescent="0.3">
      <c r="A3" s="76">
        <v>1</v>
      </c>
      <c r="B3" s="145" t="s">
        <v>110</v>
      </c>
      <c r="C3" s="162" t="s">
        <v>825</v>
      </c>
      <c r="D3" s="120">
        <v>9</v>
      </c>
      <c r="E3" s="15"/>
      <c r="F3" s="143"/>
      <c r="G3" s="15"/>
      <c r="H3" s="204"/>
      <c r="I3" s="204"/>
      <c r="J3" s="9"/>
    </row>
    <row r="4" spans="1:10" ht="14.4" customHeight="1" x14ac:dyDescent="0.3">
      <c r="A4" s="76">
        <v>2</v>
      </c>
      <c r="B4" s="145" t="s">
        <v>110</v>
      </c>
      <c r="C4" s="1" t="s">
        <v>278</v>
      </c>
      <c r="D4" s="28">
        <v>10</v>
      </c>
      <c r="E4" s="15"/>
      <c r="F4" s="143"/>
      <c r="G4" s="143"/>
      <c r="H4" s="204"/>
      <c r="I4" s="204"/>
      <c r="J4" s="146"/>
    </row>
    <row r="5" spans="1:10" ht="14.4" customHeight="1" x14ac:dyDescent="0.3">
      <c r="A5" s="76">
        <v>3</v>
      </c>
      <c r="B5" s="145"/>
      <c r="C5" s="126" t="s">
        <v>284</v>
      </c>
      <c r="D5" s="120">
        <f>+VLOOKUP(C5,'GRADUADOS '!$A$2:$B$230,2,0)</f>
        <v>11</v>
      </c>
      <c r="E5" s="15" t="s">
        <v>35</v>
      </c>
      <c r="F5" s="143"/>
      <c r="G5" s="143"/>
      <c r="H5" s="143"/>
      <c r="I5" s="204"/>
      <c r="J5" s="146"/>
    </row>
    <row r="6" spans="1:10" ht="14.4" customHeight="1" x14ac:dyDescent="0.3">
      <c r="A6" s="76">
        <v>4</v>
      </c>
      <c r="B6" s="145" t="s">
        <v>110</v>
      </c>
      <c r="C6" s="210" t="s">
        <v>68</v>
      </c>
      <c r="D6" s="120">
        <v>11</v>
      </c>
      <c r="E6" s="15"/>
      <c r="F6" s="143"/>
      <c r="G6" s="15"/>
      <c r="H6" s="143"/>
      <c r="I6" s="204"/>
      <c r="J6" s="146" t="s">
        <v>826</v>
      </c>
    </row>
    <row r="7" spans="1:10" ht="14.4" customHeight="1" x14ac:dyDescent="0.3">
      <c r="A7" s="76">
        <v>5</v>
      </c>
      <c r="B7" s="145"/>
      <c r="C7" s="1" t="s">
        <v>41</v>
      </c>
      <c r="D7" s="28">
        <v>11</v>
      </c>
      <c r="E7" s="15"/>
      <c r="F7" s="143"/>
      <c r="G7" s="15"/>
      <c r="H7" s="143"/>
      <c r="I7" s="204" t="s">
        <v>16</v>
      </c>
      <c r="J7" s="146"/>
    </row>
    <row r="8" spans="1:10" ht="14.4" customHeight="1" x14ac:dyDescent="0.3">
      <c r="A8" s="76"/>
      <c r="B8" s="145"/>
      <c r="C8" s="1" t="s">
        <v>34</v>
      </c>
      <c r="D8" s="28">
        <v>11</v>
      </c>
      <c r="E8" s="15"/>
      <c r="F8" s="143"/>
      <c r="G8" s="15"/>
      <c r="H8" s="143"/>
      <c r="I8" s="204"/>
      <c r="J8" s="146"/>
    </row>
    <row r="9" spans="1:10" ht="14.4" customHeight="1" x14ac:dyDescent="0.3">
      <c r="A9" s="76">
        <v>6</v>
      </c>
      <c r="B9" s="145"/>
      <c r="C9" s="9" t="s">
        <v>46</v>
      </c>
      <c r="D9" s="120">
        <f>+VLOOKUP(C9,'GRADUADOS '!$A$2:$B$230,2,0)</f>
        <v>12</v>
      </c>
      <c r="E9" s="67"/>
      <c r="F9" s="143"/>
      <c r="G9" s="15"/>
      <c r="H9" s="204"/>
      <c r="I9" s="204" t="s">
        <v>16</v>
      </c>
      <c r="J9" s="9"/>
    </row>
    <row r="10" spans="1:10" ht="14.4" customHeight="1" x14ac:dyDescent="0.3">
      <c r="A10" s="76">
        <v>7</v>
      </c>
      <c r="B10" s="145" t="s">
        <v>110</v>
      </c>
      <c r="C10" s="126" t="s">
        <v>293</v>
      </c>
      <c r="D10" s="120">
        <f>+VLOOKUP(C10,'GRADUADOS '!$A$2:$B$230,2,0)</f>
        <v>12</v>
      </c>
      <c r="E10" s="15"/>
      <c r="F10" s="143"/>
      <c r="G10" s="15"/>
      <c r="H10" s="143"/>
      <c r="I10" s="204"/>
      <c r="J10" s="146"/>
    </row>
    <row r="11" spans="1:10" ht="14.4" customHeight="1" x14ac:dyDescent="0.3">
      <c r="A11" s="76">
        <v>8</v>
      </c>
      <c r="B11" s="145"/>
      <c r="C11" s="9" t="s">
        <v>300</v>
      </c>
      <c r="D11" s="239">
        <v>12</v>
      </c>
      <c r="E11" s="15"/>
      <c r="F11" s="143"/>
      <c r="G11" s="15"/>
      <c r="H11" s="204"/>
      <c r="I11" s="204"/>
      <c r="J11" s="9"/>
    </row>
    <row r="12" spans="1:10" ht="14.4" customHeight="1" x14ac:dyDescent="0.3">
      <c r="A12" s="76">
        <v>9</v>
      </c>
      <c r="B12" s="145"/>
      <c r="C12" s="9" t="s">
        <v>314</v>
      </c>
      <c r="D12" s="120">
        <f>+VLOOKUP(C12,'GRADUADOS '!$A$2:$B$230,2,0)</f>
        <v>13</v>
      </c>
      <c r="E12" s="15"/>
      <c r="F12" s="143"/>
      <c r="G12" s="15"/>
      <c r="H12" s="143"/>
      <c r="I12" s="143"/>
      <c r="J12" s="9"/>
    </row>
    <row r="13" spans="1:10" ht="14.4" customHeight="1" x14ac:dyDescent="0.3">
      <c r="A13" s="76"/>
      <c r="B13" s="145"/>
      <c r="C13" s="1" t="s">
        <v>62</v>
      </c>
      <c r="D13" s="28">
        <v>13</v>
      </c>
      <c r="E13" s="80" t="s">
        <v>28</v>
      </c>
      <c r="F13" s="143" t="s">
        <v>16</v>
      </c>
      <c r="G13" s="15"/>
      <c r="H13" s="143" t="s">
        <v>28</v>
      </c>
      <c r="I13" s="143" t="s">
        <v>28</v>
      </c>
    </row>
    <row r="14" spans="1:10" ht="14.4" customHeight="1" x14ac:dyDescent="0.3">
      <c r="A14" s="76">
        <v>10</v>
      </c>
      <c r="B14" s="145"/>
      <c r="C14" s="9" t="s">
        <v>58</v>
      </c>
      <c r="D14" s="120">
        <f>+VLOOKUP(C14,'GRADUADOS '!$A$2:$B$230,2,0)</f>
        <v>13</v>
      </c>
      <c r="E14" s="80"/>
      <c r="F14" s="143"/>
      <c r="G14" s="15"/>
      <c r="H14" s="143"/>
      <c r="I14" s="143"/>
    </row>
    <row r="15" spans="1:10" ht="14.4" customHeight="1" x14ac:dyDescent="0.3">
      <c r="A15" s="76">
        <v>11</v>
      </c>
      <c r="B15" s="145" t="s">
        <v>110</v>
      </c>
      <c r="C15" s="9" t="s">
        <v>328</v>
      </c>
      <c r="D15" s="120">
        <f>+VLOOKUP(C15,'GRADUADOS '!$A$2:$B$230,2,0)</f>
        <v>14</v>
      </c>
      <c r="E15" s="15"/>
      <c r="F15" s="143"/>
      <c r="G15" s="15"/>
      <c r="H15" s="204"/>
      <c r="I15" s="204"/>
      <c r="J15" s="9"/>
    </row>
    <row r="16" spans="1:10" ht="14.4" customHeight="1" x14ac:dyDescent="0.3">
      <c r="A16" s="76">
        <v>12</v>
      </c>
      <c r="B16" s="145"/>
      <c r="C16" s="9" t="s">
        <v>332</v>
      </c>
      <c r="D16" s="120">
        <f>+VLOOKUP(C16,'GRADUADOS '!$A$2:$B$230,2,0)</f>
        <v>15</v>
      </c>
      <c r="E16" s="15"/>
      <c r="F16" s="143"/>
      <c r="G16" s="15"/>
      <c r="H16" s="143"/>
      <c r="I16" s="143"/>
      <c r="J16" s="9"/>
    </row>
    <row r="17" spans="1:10" ht="14.4" customHeight="1" x14ac:dyDescent="0.3">
      <c r="A17" s="76">
        <v>13</v>
      </c>
      <c r="B17" s="145"/>
      <c r="C17" s="9" t="s">
        <v>96</v>
      </c>
      <c r="D17" s="120">
        <f>+VLOOKUP(C17,'GRADUADOS '!$A$2:$B$230,2,0)</f>
        <v>15</v>
      </c>
      <c r="E17" s="15"/>
      <c r="F17" s="143"/>
      <c r="G17" s="15"/>
      <c r="H17" s="143"/>
      <c r="I17" s="204"/>
      <c r="J17" s="9"/>
    </row>
    <row r="18" spans="1:10" ht="14.4" customHeight="1" x14ac:dyDescent="0.3">
      <c r="A18" s="76">
        <v>14</v>
      </c>
      <c r="B18" s="145"/>
      <c r="C18" s="9" t="s">
        <v>348</v>
      </c>
      <c r="D18" s="120">
        <f>+VLOOKUP(C18,'GRADUADOS '!$A$2:$B$230,2,0)</f>
        <v>15</v>
      </c>
      <c r="E18" s="15"/>
      <c r="F18" s="143"/>
      <c r="G18" s="15"/>
      <c r="H18" s="143"/>
      <c r="I18" s="204"/>
      <c r="J18" s="9"/>
    </row>
    <row r="19" spans="1:10" ht="14.4" customHeight="1" x14ac:dyDescent="0.3">
      <c r="A19" s="76">
        <v>15</v>
      </c>
      <c r="B19" s="145"/>
      <c r="C19" s="9" t="s">
        <v>363</v>
      </c>
      <c r="D19" s="120">
        <f>+VLOOKUP(C19,'GRADUADOS '!$A$2:$B$230,2,0)</f>
        <v>16</v>
      </c>
      <c r="E19" s="15"/>
      <c r="F19" s="143"/>
      <c r="G19" s="15"/>
      <c r="H19" s="143"/>
      <c r="I19" s="143"/>
      <c r="J19" s="9"/>
    </row>
    <row r="20" spans="1:10" ht="14.4" customHeight="1" x14ac:dyDescent="0.3">
      <c r="A20" s="76">
        <v>16</v>
      </c>
      <c r="B20" s="145"/>
      <c r="C20" s="9" t="s">
        <v>359</v>
      </c>
      <c r="D20" s="120">
        <f>+VLOOKUP(C20,'GRADUADOS '!$A$2:$B$230,2,0)</f>
        <v>16</v>
      </c>
      <c r="E20" s="15"/>
      <c r="F20" s="143"/>
      <c r="G20" s="15"/>
      <c r="H20" s="143"/>
      <c r="I20" s="204"/>
      <c r="J20" s="9"/>
    </row>
    <row r="21" spans="1:10" ht="14.4" customHeight="1" x14ac:dyDescent="0.3">
      <c r="A21" s="76">
        <v>17</v>
      </c>
      <c r="B21" s="145" t="s">
        <v>110</v>
      </c>
      <c r="C21" s="9" t="s">
        <v>186</v>
      </c>
      <c r="D21" s="120">
        <f>+VLOOKUP(C21,'GRADUADOS '!$A$2:$B$230,2,0)</f>
        <v>16</v>
      </c>
      <c r="E21" s="15"/>
      <c r="F21" s="143"/>
      <c r="G21" s="15"/>
      <c r="H21" s="143"/>
      <c r="I21" s="204"/>
      <c r="J21" s="9"/>
    </row>
    <row r="22" spans="1:10" ht="14.4" customHeight="1" x14ac:dyDescent="0.3">
      <c r="A22" s="76">
        <v>18</v>
      </c>
      <c r="B22" s="145"/>
      <c r="C22" s="9" t="s">
        <v>112</v>
      </c>
      <c r="D22" s="120">
        <f>+VLOOKUP(C22,'GRADUADOS '!$A$2:$B$230,2,0)</f>
        <v>16</v>
      </c>
      <c r="E22" s="15" t="s">
        <v>28</v>
      </c>
      <c r="F22" s="15" t="s">
        <v>28</v>
      </c>
      <c r="G22" s="15" t="s">
        <v>28</v>
      </c>
      <c r="H22" s="15" t="s">
        <v>28</v>
      </c>
      <c r="I22" s="15" t="s">
        <v>28</v>
      </c>
      <c r="J22" s="9"/>
    </row>
    <row r="23" spans="1:10" ht="14.4" customHeight="1" x14ac:dyDescent="0.3">
      <c r="A23" s="76">
        <v>19</v>
      </c>
      <c r="B23" s="145"/>
      <c r="C23" s="9" t="s">
        <v>827</v>
      </c>
      <c r="D23" s="239">
        <v>16</v>
      </c>
      <c r="E23" s="15"/>
      <c r="F23" s="143" t="s">
        <v>28</v>
      </c>
      <c r="G23" s="15"/>
      <c r="H23" s="143"/>
      <c r="I23" s="204"/>
      <c r="J23" s="9"/>
    </row>
    <row r="24" spans="1:10" ht="14.4" customHeight="1" x14ac:dyDescent="0.3">
      <c r="A24" s="76">
        <v>20</v>
      </c>
      <c r="B24" s="145"/>
      <c r="C24" s="126" t="s">
        <v>102</v>
      </c>
      <c r="D24" s="146">
        <f>+VLOOKUP(C24,'GRADUADOS '!$A$2:$B$230,2,0)</f>
        <v>18</v>
      </c>
      <c r="E24" s="142" t="s">
        <v>16</v>
      </c>
      <c r="F24" s="142"/>
      <c r="G24" s="142"/>
      <c r="H24" s="146"/>
      <c r="I24" s="229"/>
      <c r="J24" s="9"/>
    </row>
    <row r="25" spans="1:10" ht="14.4" customHeight="1" x14ac:dyDescent="0.3">
      <c r="A25" s="76">
        <v>21</v>
      </c>
      <c r="B25" s="145"/>
      <c r="C25" s="126" t="s">
        <v>138</v>
      </c>
      <c r="D25" s="146">
        <f>+VLOOKUP(C25,'GRADUADOS '!$A$2:$B$230,2,0)</f>
        <v>18</v>
      </c>
      <c r="E25" s="142"/>
      <c r="F25" s="143"/>
      <c r="G25" s="15"/>
      <c r="H25" s="143"/>
      <c r="I25" s="204"/>
      <c r="J25" s="79"/>
    </row>
    <row r="26" spans="1:10" ht="14.4" customHeight="1" x14ac:dyDescent="0.3">
      <c r="A26" s="76"/>
      <c r="B26" s="145"/>
      <c r="C26" s="1" t="s">
        <v>379</v>
      </c>
      <c r="D26" s="28">
        <v>18</v>
      </c>
      <c r="E26" s="16" t="s">
        <v>16</v>
      </c>
      <c r="F26" s="143"/>
      <c r="G26" s="15"/>
      <c r="H26" s="143"/>
      <c r="I26" s="204"/>
      <c r="J26" s="79"/>
    </row>
    <row r="27" spans="1:10" ht="14.4" customHeight="1" x14ac:dyDescent="0.3">
      <c r="A27" s="76">
        <v>22</v>
      </c>
      <c r="B27" s="145"/>
      <c r="C27" s="9" t="s">
        <v>135</v>
      </c>
      <c r="D27" s="142">
        <v>18</v>
      </c>
      <c r="E27" s="141"/>
      <c r="F27" s="143"/>
      <c r="G27" s="15"/>
      <c r="H27" s="143"/>
      <c r="I27" s="143"/>
      <c r="J27" s="9"/>
    </row>
    <row r="28" spans="1:10" ht="14.4" customHeight="1" x14ac:dyDescent="0.3">
      <c r="A28" s="76">
        <v>23</v>
      </c>
      <c r="B28" s="145"/>
      <c r="C28" s="9" t="s">
        <v>134</v>
      </c>
      <c r="D28" s="142">
        <v>18</v>
      </c>
      <c r="E28" s="142"/>
      <c r="F28" s="143"/>
      <c r="G28" s="15"/>
      <c r="H28" s="143"/>
      <c r="I28" s="143"/>
      <c r="J28" s="9"/>
    </row>
    <row r="29" spans="1:10" ht="14.4" customHeight="1" x14ac:dyDescent="0.3">
      <c r="A29" s="76">
        <v>24</v>
      </c>
      <c r="B29" s="145" t="s">
        <v>110</v>
      </c>
      <c r="C29" s="9" t="s">
        <v>385</v>
      </c>
      <c r="D29" s="146">
        <f>+VLOOKUP(C29,'GRADUADOS '!$A$2:$B$230,2,0)</f>
        <v>19</v>
      </c>
      <c r="E29" s="142"/>
      <c r="F29" s="143"/>
      <c r="G29" s="15"/>
      <c r="H29" s="204"/>
      <c r="I29" s="204"/>
      <c r="J29" s="9"/>
    </row>
    <row r="30" spans="1:10" ht="14.4" x14ac:dyDescent="0.3">
      <c r="A30" s="76">
        <v>25</v>
      </c>
      <c r="B30" s="145"/>
      <c r="C30" s="9" t="s">
        <v>154</v>
      </c>
      <c r="D30" s="146">
        <f>+VLOOKUP(C30,'GRADUADOS '!$A$2:$B$230,2,0)</f>
        <v>19</v>
      </c>
      <c r="E30" s="142"/>
      <c r="F30" s="143"/>
      <c r="G30" s="15"/>
      <c r="H30" s="204"/>
      <c r="I30" s="204"/>
      <c r="J30" s="9"/>
    </row>
    <row r="31" spans="1:10" ht="14.4" x14ac:dyDescent="0.3">
      <c r="A31" s="76">
        <v>26</v>
      </c>
      <c r="B31" s="145" t="s">
        <v>110</v>
      </c>
      <c r="C31" s="9" t="s">
        <v>175</v>
      </c>
      <c r="D31" s="146">
        <f>+VLOOKUP(C31,'GRADUADOS '!$A$2:$B$230,2,0)</f>
        <v>19</v>
      </c>
      <c r="E31" s="141"/>
      <c r="F31" s="28"/>
      <c r="G31" s="28"/>
      <c r="H31" s="1"/>
      <c r="I31" s="1"/>
      <c r="J31" s="79"/>
    </row>
    <row r="32" spans="1:10" ht="14.4" x14ac:dyDescent="0.3">
      <c r="A32" s="76">
        <v>27</v>
      </c>
      <c r="B32" s="145"/>
      <c r="C32" s="9" t="s">
        <v>828</v>
      </c>
      <c r="D32" s="146">
        <v>19</v>
      </c>
      <c r="E32" s="141"/>
      <c r="F32" s="141"/>
      <c r="G32" s="141"/>
      <c r="H32" s="141"/>
      <c r="I32" s="141"/>
      <c r="J32" s="79"/>
    </row>
    <row r="33" spans="1:10" ht="14.4" x14ac:dyDescent="0.3">
      <c r="A33" s="76">
        <v>28</v>
      </c>
      <c r="B33" s="145"/>
      <c r="C33" s="9" t="s">
        <v>144</v>
      </c>
      <c r="D33" s="146">
        <f>+VLOOKUP(C33,'GRADUADOS '!$A$2:$B$230,2,0)</f>
        <v>19</v>
      </c>
      <c r="E33" s="141"/>
      <c r="F33" s="141"/>
      <c r="G33" s="141"/>
      <c r="H33" s="56"/>
      <c r="I33" s="56"/>
      <c r="J33" s="79"/>
    </row>
    <row r="34" spans="1:10" ht="14.4" x14ac:dyDescent="0.3">
      <c r="A34" s="76">
        <v>29</v>
      </c>
      <c r="B34" s="145"/>
      <c r="C34" s="1" t="s">
        <v>393</v>
      </c>
      <c r="D34" s="146">
        <v>20</v>
      </c>
      <c r="E34" s="143" t="s">
        <v>28</v>
      </c>
      <c r="F34" s="143" t="s">
        <v>28</v>
      </c>
      <c r="G34" s="143" t="s">
        <v>28</v>
      </c>
      <c r="H34" s="143" t="s">
        <v>28</v>
      </c>
      <c r="I34" s="143" t="s">
        <v>28</v>
      </c>
      <c r="J34" s="79"/>
    </row>
    <row r="35" spans="1:10" ht="14.4" x14ac:dyDescent="0.3">
      <c r="A35" s="76">
        <v>30</v>
      </c>
      <c r="B35" s="145"/>
      <c r="C35" s="1" t="s">
        <v>394</v>
      </c>
      <c r="D35" s="146">
        <v>20</v>
      </c>
      <c r="E35" s="143" t="s">
        <v>28</v>
      </c>
      <c r="F35" s="143" t="s">
        <v>28</v>
      </c>
      <c r="G35" s="143" t="s">
        <v>28</v>
      </c>
      <c r="H35" s="143" t="s">
        <v>28</v>
      </c>
      <c r="I35" s="143" t="s">
        <v>28</v>
      </c>
      <c r="J35" s="79"/>
    </row>
    <row r="36" spans="1:10" ht="14.4" x14ac:dyDescent="0.3">
      <c r="A36" s="76">
        <v>31</v>
      </c>
      <c r="B36" s="145" t="s">
        <v>110</v>
      </c>
      <c r="C36" s="1" t="s">
        <v>145</v>
      </c>
      <c r="D36" s="146">
        <v>20</v>
      </c>
      <c r="E36" s="143"/>
      <c r="F36" s="143"/>
      <c r="G36" s="143"/>
      <c r="H36" s="143"/>
      <c r="I36" s="239"/>
      <c r="J36" s="79"/>
    </row>
    <row r="37" spans="1:10" ht="14.4" x14ac:dyDescent="0.3">
      <c r="A37" s="76">
        <v>32</v>
      </c>
      <c r="B37" s="145"/>
      <c r="C37" s="1" t="s">
        <v>395</v>
      </c>
      <c r="D37" s="146">
        <v>20</v>
      </c>
      <c r="E37" s="143"/>
      <c r="F37" s="143"/>
      <c r="G37" s="143"/>
      <c r="H37" s="143"/>
      <c r="I37" s="239"/>
      <c r="J37" s="79"/>
    </row>
    <row r="38" spans="1:10" ht="14.4" x14ac:dyDescent="0.3">
      <c r="A38" s="76">
        <v>33</v>
      </c>
      <c r="B38" s="145" t="s">
        <v>110</v>
      </c>
      <c r="C38" s="1" t="s">
        <v>147</v>
      </c>
      <c r="D38" s="146">
        <v>20</v>
      </c>
      <c r="E38" s="143"/>
      <c r="F38" s="143"/>
      <c r="G38" s="143"/>
      <c r="H38" s="143"/>
      <c r="I38" s="239"/>
      <c r="J38" s="79"/>
    </row>
    <row r="39" spans="1:10" ht="14.4" x14ac:dyDescent="0.3">
      <c r="A39" s="76">
        <v>34</v>
      </c>
      <c r="B39" s="145"/>
      <c r="C39" s="1" t="s">
        <v>396</v>
      </c>
      <c r="D39" s="146">
        <v>20</v>
      </c>
      <c r="E39" s="143"/>
      <c r="F39" s="143"/>
      <c r="G39" s="143"/>
      <c r="H39" s="143"/>
      <c r="I39" s="239"/>
      <c r="J39" s="79"/>
    </row>
    <row r="40" spans="1:10" ht="14.4" x14ac:dyDescent="0.3">
      <c r="A40" s="76">
        <v>35</v>
      </c>
      <c r="B40" s="145"/>
      <c r="C40" s="1" t="s">
        <v>397</v>
      </c>
      <c r="D40" s="146">
        <v>20</v>
      </c>
      <c r="E40" s="143"/>
      <c r="F40" s="143"/>
      <c r="G40" s="143"/>
      <c r="H40" s="143"/>
      <c r="I40" s="239"/>
      <c r="J40" s="79"/>
    </row>
    <row r="41" spans="1:10" ht="14.4" x14ac:dyDescent="0.3">
      <c r="A41" s="76">
        <v>36</v>
      </c>
      <c r="B41" s="145"/>
      <c r="C41" s="1" t="s">
        <v>153</v>
      </c>
      <c r="D41" s="146">
        <v>20</v>
      </c>
      <c r="E41" s="143"/>
      <c r="F41" s="143"/>
      <c r="G41" s="143"/>
      <c r="H41" s="143"/>
      <c r="I41" s="239"/>
      <c r="J41" s="79"/>
    </row>
    <row r="42" spans="1:10" ht="14.4" x14ac:dyDescent="0.3">
      <c r="A42" s="76">
        <v>37</v>
      </c>
      <c r="B42" s="145"/>
      <c r="C42" s="1" t="s">
        <v>398</v>
      </c>
      <c r="D42" s="146">
        <v>20</v>
      </c>
      <c r="E42" s="143"/>
      <c r="F42" s="143"/>
      <c r="G42" s="143"/>
      <c r="H42" s="143"/>
      <c r="I42" s="239"/>
      <c r="J42" s="79"/>
    </row>
    <row r="43" spans="1:10" ht="14.4" x14ac:dyDescent="0.3">
      <c r="A43" s="76">
        <v>38</v>
      </c>
      <c r="B43" s="145" t="s">
        <v>110</v>
      </c>
      <c r="C43" s="1" t="s">
        <v>399</v>
      </c>
      <c r="D43" s="146">
        <v>20</v>
      </c>
      <c r="E43" s="143"/>
      <c r="F43" s="143"/>
      <c r="G43" s="143"/>
      <c r="H43" s="143"/>
      <c r="I43" s="239"/>
      <c r="J43" s="79"/>
    </row>
    <row r="44" spans="1:10" ht="14.4" x14ac:dyDescent="0.3">
      <c r="A44" s="76">
        <v>39</v>
      </c>
      <c r="B44" s="145" t="s">
        <v>110</v>
      </c>
      <c r="C44" s="1" t="s">
        <v>161</v>
      </c>
      <c r="D44" s="146">
        <v>20</v>
      </c>
      <c r="E44" s="143"/>
      <c r="F44" s="143"/>
      <c r="G44" s="143"/>
      <c r="H44" s="143"/>
      <c r="I44" s="239"/>
      <c r="J44" s="79"/>
    </row>
    <row r="45" spans="1:10" ht="14.4" x14ac:dyDescent="0.3">
      <c r="A45" s="76">
        <v>40</v>
      </c>
      <c r="B45" s="145"/>
      <c r="C45" s="1" t="s">
        <v>400</v>
      </c>
      <c r="D45" s="146">
        <v>20</v>
      </c>
      <c r="E45" s="143"/>
      <c r="F45" s="143" t="s">
        <v>16</v>
      </c>
      <c r="G45" s="143"/>
      <c r="H45" s="143"/>
      <c r="I45" s="239"/>
      <c r="J45" s="79"/>
    </row>
    <row r="46" spans="1:10" ht="14.4" x14ac:dyDescent="0.3">
      <c r="A46" s="76">
        <v>41</v>
      </c>
      <c r="B46" s="145"/>
      <c r="C46" s="1" t="s">
        <v>158</v>
      </c>
      <c r="D46" s="146">
        <v>20</v>
      </c>
      <c r="E46" s="143"/>
      <c r="F46" s="143"/>
      <c r="G46" s="143"/>
      <c r="H46" s="143"/>
      <c r="I46" s="239"/>
      <c r="J46" s="79"/>
    </row>
    <row r="47" spans="1:10" ht="14.4" x14ac:dyDescent="0.3">
      <c r="A47" s="76">
        <v>42</v>
      </c>
      <c r="B47" s="145"/>
      <c r="C47" s="1" t="s">
        <v>169</v>
      </c>
      <c r="D47" s="146">
        <v>20</v>
      </c>
      <c r="E47" s="143"/>
      <c r="F47" s="143"/>
      <c r="G47" s="143"/>
      <c r="H47" s="143"/>
      <c r="I47" s="239"/>
      <c r="J47" s="79"/>
    </row>
    <row r="48" spans="1:10" ht="14.4" x14ac:dyDescent="0.3">
      <c r="A48" s="76">
        <v>43</v>
      </c>
      <c r="B48" s="145"/>
      <c r="C48" s="1" t="s">
        <v>162</v>
      </c>
      <c r="D48" s="146">
        <v>20</v>
      </c>
      <c r="E48" s="143"/>
      <c r="F48" s="143"/>
      <c r="G48" s="143"/>
      <c r="H48" s="143"/>
      <c r="I48" s="239"/>
      <c r="J48" s="79"/>
    </row>
    <row r="49" spans="1:10" ht="14.4" x14ac:dyDescent="0.3">
      <c r="A49" s="76">
        <v>44</v>
      </c>
      <c r="B49" s="145"/>
      <c r="C49" s="33" t="s">
        <v>157</v>
      </c>
      <c r="D49" s="146">
        <v>20</v>
      </c>
      <c r="E49" s="143"/>
      <c r="F49" s="143"/>
      <c r="G49" s="143"/>
      <c r="H49" s="143"/>
      <c r="I49" s="239"/>
      <c r="J49" s="79"/>
    </row>
    <row r="50" spans="1:10" ht="14.4" x14ac:dyDescent="0.3">
      <c r="A50" s="76">
        <v>45</v>
      </c>
      <c r="B50" s="145"/>
      <c r="C50" s="1" t="s">
        <v>167</v>
      </c>
      <c r="D50" s="146">
        <v>20</v>
      </c>
      <c r="E50" s="143"/>
      <c r="F50" s="143"/>
      <c r="G50" s="143"/>
      <c r="H50" s="143"/>
      <c r="I50" s="239"/>
      <c r="J50" s="79"/>
    </row>
    <row r="51" spans="1:10" ht="14.4" x14ac:dyDescent="0.3">
      <c r="A51" s="76">
        <v>46</v>
      </c>
      <c r="B51" s="145"/>
      <c r="C51" s="162" t="s">
        <v>829</v>
      </c>
      <c r="D51" s="146">
        <v>21</v>
      </c>
      <c r="E51" s="143"/>
      <c r="F51" s="80"/>
      <c r="G51" s="80"/>
      <c r="H51" s="80"/>
      <c r="I51" s="251"/>
      <c r="J51" s="9"/>
    </row>
    <row r="52" spans="1:10" ht="14.4" x14ac:dyDescent="0.3">
      <c r="A52" s="76">
        <v>47</v>
      </c>
      <c r="B52" s="145" t="s">
        <v>830</v>
      </c>
      <c r="C52" s="9" t="s">
        <v>831</v>
      </c>
      <c r="D52" s="146">
        <v>21</v>
      </c>
      <c r="E52" s="141"/>
      <c r="F52" s="15"/>
      <c r="G52" s="15"/>
      <c r="H52" s="9"/>
      <c r="I52" s="76"/>
      <c r="J52" s="79"/>
    </row>
    <row r="53" spans="1:10" ht="15.6" x14ac:dyDescent="0.3">
      <c r="A53" s="76">
        <v>48</v>
      </c>
      <c r="B53" s="145" t="s">
        <v>110</v>
      </c>
      <c r="C53" s="210" t="s">
        <v>832</v>
      </c>
      <c r="D53" s="146">
        <v>21</v>
      </c>
      <c r="E53" s="142"/>
      <c r="F53" s="143"/>
      <c r="G53" s="15"/>
      <c r="H53" s="204"/>
      <c r="I53" s="204"/>
      <c r="J53" s="96"/>
    </row>
    <row r="54" spans="1:10" ht="15.6" x14ac:dyDescent="0.3">
      <c r="A54" s="76">
        <v>49</v>
      </c>
      <c r="B54" s="145"/>
      <c r="C54" s="210" t="s">
        <v>833</v>
      </c>
      <c r="D54" s="146">
        <v>21</v>
      </c>
      <c r="E54" s="141"/>
      <c r="F54" s="141"/>
      <c r="G54" s="141"/>
      <c r="H54" s="56"/>
      <c r="I54" s="56"/>
      <c r="J54" s="68"/>
    </row>
    <row r="55" spans="1:10" ht="15.6" x14ac:dyDescent="0.3">
      <c r="A55" s="76">
        <v>50</v>
      </c>
      <c r="B55" s="145"/>
      <c r="C55" s="210" t="s">
        <v>834</v>
      </c>
      <c r="D55" s="146">
        <v>21</v>
      </c>
      <c r="E55" s="142"/>
      <c r="F55" s="15"/>
      <c r="G55" s="15"/>
      <c r="H55" s="15"/>
      <c r="I55" s="91"/>
      <c r="J55" s="9"/>
    </row>
    <row r="56" spans="1:10" ht="15.6" x14ac:dyDescent="0.3">
      <c r="A56" s="76">
        <v>51</v>
      </c>
      <c r="B56" s="145" t="s">
        <v>110</v>
      </c>
      <c r="C56" s="210" t="s">
        <v>835</v>
      </c>
      <c r="D56" s="229">
        <v>21</v>
      </c>
      <c r="E56" s="15"/>
      <c r="F56" s="143"/>
      <c r="G56" s="15"/>
      <c r="H56" s="143"/>
      <c r="I56" s="143"/>
      <c r="J56" s="9"/>
    </row>
    <row r="57" spans="1:10" ht="14.4" customHeight="1" x14ac:dyDescent="0.3">
      <c r="A57" s="76">
        <v>52</v>
      </c>
      <c r="B57" s="145"/>
      <c r="C57" s="210" t="s">
        <v>836</v>
      </c>
      <c r="D57" s="229">
        <v>21</v>
      </c>
      <c r="E57" s="15"/>
      <c r="F57" s="143"/>
      <c r="G57" s="15"/>
      <c r="H57" s="143"/>
      <c r="I57" s="204"/>
      <c r="J57" s="9"/>
    </row>
    <row r="58" spans="1:10" ht="15.6" x14ac:dyDescent="0.3">
      <c r="A58" s="76">
        <v>53</v>
      </c>
      <c r="B58" s="145"/>
      <c r="C58" s="210" t="s">
        <v>837</v>
      </c>
      <c r="D58" s="229">
        <v>21</v>
      </c>
      <c r="E58" s="15"/>
      <c r="F58" s="143"/>
      <c r="G58" s="15"/>
      <c r="H58" s="204"/>
      <c r="I58" s="204"/>
      <c r="J58" s="9"/>
    </row>
    <row r="59" spans="1:10" ht="14.4" x14ac:dyDescent="0.3">
      <c r="A59" s="76">
        <v>54</v>
      </c>
      <c r="B59" s="145"/>
      <c r="C59" s="126" t="s">
        <v>280</v>
      </c>
      <c r="D59" s="229">
        <v>22</v>
      </c>
      <c r="E59" s="15" t="s">
        <v>16</v>
      </c>
      <c r="F59" s="143"/>
      <c r="G59" s="15"/>
      <c r="H59" s="143"/>
      <c r="I59" s="143"/>
      <c r="J59" s="9"/>
    </row>
    <row r="60" spans="1:10" ht="15.6" x14ac:dyDescent="0.3">
      <c r="A60" s="76">
        <v>55</v>
      </c>
      <c r="B60" s="145"/>
      <c r="C60" s="210" t="s">
        <v>838</v>
      </c>
      <c r="D60" s="229">
        <v>21</v>
      </c>
      <c r="E60" s="15"/>
      <c r="F60" s="15"/>
      <c r="G60" s="15"/>
      <c r="H60" s="15"/>
      <c r="I60" s="9"/>
      <c r="J60" s="9"/>
    </row>
    <row r="61" spans="1:10" ht="15.6" x14ac:dyDescent="0.3">
      <c r="A61" s="76">
        <v>56</v>
      </c>
      <c r="B61" s="145"/>
      <c r="C61" s="210" t="s">
        <v>839</v>
      </c>
      <c r="D61" s="229">
        <v>21</v>
      </c>
      <c r="E61" s="15"/>
      <c r="F61" s="15"/>
      <c r="G61" s="15"/>
      <c r="H61" s="15"/>
      <c r="I61" s="9"/>
      <c r="J61" s="9"/>
    </row>
    <row r="62" spans="1:10" ht="14.4" x14ac:dyDescent="0.3">
      <c r="A62" s="76">
        <v>57</v>
      </c>
      <c r="B62" s="145" t="s">
        <v>110</v>
      </c>
      <c r="C62" s="9" t="s">
        <v>182</v>
      </c>
      <c r="D62" s="229">
        <v>21</v>
      </c>
      <c r="E62" s="15"/>
      <c r="F62" s="15"/>
      <c r="G62" s="15"/>
      <c r="H62" s="15"/>
      <c r="I62" s="15"/>
      <c r="J62" s="9"/>
    </row>
    <row r="63" spans="1:10" ht="15.6" x14ac:dyDescent="0.3">
      <c r="A63" s="76">
        <v>58</v>
      </c>
      <c r="B63" s="145"/>
      <c r="C63" s="210" t="s">
        <v>840</v>
      </c>
      <c r="D63" s="229">
        <v>22</v>
      </c>
      <c r="E63" s="15"/>
      <c r="F63" s="15"/>
      <c r="G63" s="15"/>
      <c r="H63" s="9"/>
      <c r="I63" s="9"/>
      <c r="J63" s="9"/>
    </row>
    <row r="64" spans="1:10" ht="15.6" x14ac:dyDescent="0.3">
      <c r="A64" s="76">
        <v>59</v>
      </c>
      <c r="B64" s="145"/>
      <c r="C64" s="210" t="s">
        <v>841</v>
      </c>
      <c r="D64" s="229">
        <v>22</v>
      </c>
      <c r="E64" s="15" t="s">
        <v>16</v>
      </c>
      <c r="F64" s="15"/>
      <c r="G64" s="15"/>
      <c r="H64" s="9"/>
      <c r="I64" s="9"/>
      <c r="J64" s="9"/>
    </row>
    <row r="65" spans="1:10" ht="15.6" x14ac:dyDescent="0.3">
      <c r="A65" s="76">
        <v>60</v>
      </c>
      <c r="B65" s="145"/>
      <c r="C65" s="210" t="s">
        <v>842</v>
      </c>
      <c r="D65" s="229">
        <v>22</v>
      </c>
      <c r="E65" s="15" t="s">
        <v>16</v>
      </c>
      <c r="F65" s="143"/>
      <c r="G65" s="15"/>
      <c r="H65" s="143"/>
      <c r="I65" s="143"/>
      <c r="J65" s="9"/>
    </row>
    <row r="66" spans="1:10" ht="15.6" x14ac:dyDescent="0.3">
      <c r="A66" s="76">
        <v>61</v>
      </c>
      <c r="B66" s="145"/>
      <c r="C66" s="210" t="s">
        <v>843</v>
      </c>
      <c r="D66" s="179">
        <v>22</v>
      </c>
      <c r="E66" s="15"/>
      <c r="F66" s="143"/>
      <c r="G66" s="15"/>
      <c r="H66" s="204"/>
      <c r="I66" s="204"/>
      <c r="J66" s="146"/>
    </row>
    <row r="67" spans="1:10" ht="15.6" x14ac:dyDescent="0.3">
      <c r="A67" s="76">
        <v>62</v>
      </c>
      <c r="B67" s="145"/>
      <c r="C67" s="210" t="s">
        <v>844</v>
      </c>
      <c r="D67" s="146">
        <v>22</v>
      </c>
      <c r="E67" s="142"/>
      <c r="F67" s="143"/>
      <c r="G67" s="15"/>
      <c r="H67" s="204"/>
      <c r="I67" s="204"/>
      <c r="J67" s="146"/>
    </row>
    <row r="68" spans="1:10" ht="15.6" x14ac:dyDescent="0.3">
      <c r="A68" s="76">
        <v>63</v>
      </c>
      <c r="B68" s="145"/>
      <c r="C68" s="210" t="s">
        <v>845</v>
      </c>
      <c r="D68" s="204">
        <v>22</v>
      </c>
      <c r="E68" s="15" t="s">
        <v>16</v>
      </c>
      <c r="F68" s="15"/>
      <c r="G68" s="15"/>
      <c r="H68" s="9"/>
      <c r="I68" s="9"/>
      <c r="J68" s="146"/>
    </row>
    <row r="69" spans="1:10" ht="15.6" x14ac:dyDescent="0.3">
      <c r="A69" s="76">
        <v>64</v>
      </c>
      <c r="B69" s="145"/>
      <c r="C69" s="210" t="s">
        <v>846</v>
      </c>
      <c r="D69" s="146">
        <v>22</v>
      </c>
      <c r="E69" s="15"/>
      <c r="F69" s="15"/>
      <c r="G69" s="15"/>
      <c r="H69" s="9"/>
      <c r="I69" s="9"/>
      <c r="J69" s="146"/>
    </row>
    <row r="70" spans="1:10" ht="15.6" x14ac:dyDescent="0.3">
      <c r="A70" s="76">
        <v>65</v>
      </c>
      <c r="B70" s="145"/>
      <c r="C70" s="210" t="s">
        <v>847</v>
      </c>
      <c r="D70" s="146">
        <v>22</v>
      </c>
      <c r="E70" s="15"/>
      <c r="F70" s="15"/>
      <c r="G70" s="15"/>
      <c r="H70" s="15"/>
      <c r="I70" s="9"/>
      <c r="J70" s="146"/>
    </row>
    <row r="71" spans="1:10" ht="15.6" x14ac:dyDescent="0.3">
      <c r="A71" s="76">
        <v>66</v>
      </c>
      <c r="B71" s="145"/>
      <c r="C71" s="210" t="s">
        <v>848</v>
      </c>
      <c r="D71" s="146">
        <v>22</v>
      </c>
      <c r="E71" s="15" t="s">
        <v>16</v>
      </c>
      <c r="F71" s="15"/>
      <c r="G71" s="15"/>
      <c r="H71" s="15"/>
      <c r="I71" s="9"/>
      <c r="J71" s="146"/>
    </row>
    <row r="72" spans="1:10" ht="15.6" x14ac:dyDescent="0.3">
      <c r="A72" s="76">
        <v>67</v>
      </c>
      <c r="B72" s="145"/>
      <c r="C72" s="210" t="s">
        <v>849</v>
      </c>
      <c r="D72" s="146">
        <v>22</v>
      </c>
      <c r="E72" s="15"/>
      <c r="F72" s="15"/>
      <c r="G72" s="15"/>
      <c r="H72" s="15"/>
      <c r="I72" s="9"/>
      <c r="J72" s="146"/>
    </row>
    <row r="73" spans="1:10" ht="15.6" x14ac:dyDescent="0.3">
      <c r="A73" s="76">
        <v>68</v>
      </c>
      <c r="B73" s="145"/>
      <c r="C73" s="210" t="s">
        <v>850</v>
      </c>
      <c r="D73" s="146">
        <v>22</v>
      </c>
      <c r="E73" s="15"/>
      <c r="F73" s="143"/>
      <c r="G73" s="15"/>
      <c r="H73" s="143"/>
      <c r="I73" s="204"/>
      <c r="J73" s="146"/>
    </row>
    <row r="74" spans="1:10" ht="15.6" x14ac:dyDescent="0.3">
      <c r="A74" s="76">
        <v>69</v>
      </c>
      <c r="B74" s="145"/>
      <c r="C74" s="210" t="s">
        <v>851</v>
      </c>
      <c r="D74" s="146">
        <v>22</v>
      </c>
      <c r="E74" s="15" t="s">
        <v>16</v>
      </c>
      <c r="F74" s="143"/>
      <c r="G74" s="15"/>
      <c r="H74" s="143"/>
      <c r="I74" s="204"/>
      <c r="J74" s="146"/>
    </row>
    <row r="75" spans="1:10" ht="15.6" x14ac:dyDescent="0.3">
      <c r="A75" s="76">
        <v>70</v>
      </c>
      <c r="B75" s="145"/>
      <c r="C75" s="210" t="s">
        <v>852</v>
      </c>
      <c r="D75" s="146">
        <v>22</v>
      </c>
      <c r="E75" s="15"/>
      <c r="F75" s="15"/>
      <c r="G75" s="15"/>
      <c r="H75" s="15"/>
      <c r="I75" s="9"/>
      <c r="J75" s="146"/>
    </row>
    <row r="76" spans="1:10" ht="15.6" x14ac:dyDescent="0.3">
      <c r="A76" s="76">
        <v>71</v>
      </c>
      <c r="B76" s="145"/>
      <c r="C76" s="210" t="s">
        <v>853</v>
      </c>
      <c r="D76" s="146">
        <v>22</v>
      </c>
      <c r="E76" s="82"/>
      <c r="F76" s="82"/>
      <c r="G76" s="82"/>
      <c r="H76" s="82"/>
      <c r="I76" s="68"/>
      <c r="J76" s="146"/>
    </row>
    <row r="77" spans="1:10" ht="15.6" x14ac:dyDescent="0.3">
      <c r="A77" s="76">
        <v>72</v>
      </c>
      <c r="B77" s="145"/>
      <c r="C77" s="210" t="s">
        <v>854</v>
      </c>
      <c r="D77" s="229">
        <v>22</v>
      </c>
      <c r="E77" s="15" t="s">
        <v>16</v>
      </c>
      <c r="F77" s="15"/>
      <c r="G77" s="15"/>
      <c r="H77" s="15"/>
      <c r="I77" s="15"/>
      <c r="J77" s="146"/>
    </row>
    <row r="78" spans="1:10" ht="15.6" x14ac:dyDescent="0.3">
      <c r="A78" s="76">
        <v>73</v>
      </c>
      <c r="B78" s="145"/>
      <c r="C78" s="210" t="s">
        <v>855</v>
      </c>
      <c r="D78" s="229">
        <v>22</v>
      </c>
      <c r="E78" s="15" t="s">
        <v>16</v>
      </c>
      <c r="F78" s="15"/>
      <c r="G78" s="15"/>
      <c r="H78" s="9"/>
      <c r="I78" s="9"/>
      <c r="J78" s="146"/>
    </row>
    <row r="79" spans="1:10" ht="15.6" x14ac:dyDescent="0.3">
      <c r="A79" s="76">
        <v>74</v>
      </c>
      <c r="B79" s="145"/>
      <c r="C79" s="210" t="s">
        <v>856</v>
      </c>
      <c r="D79" s="146">
        <v>22</v>
      </c>
      <c r="E79" s="242" t="s">
        <v>16</v>
      </c>
      <c r="F79" s="242"/>
      <c r="G79" s="242"/>
      <c r="H79" s="241"/>
      <c r="I79" s="241"/>
      <c r="J79" s="146"/>
    </row>
    <row r="80" spans="1:10" ht="15.6" x14ac:dyDescent="0.3">
      <c r="A80" s="76">
        <v>75</v>
      </c>
      <c r="B80" s="145"/>
      <c r="C80" s="210" t="s">
        <v>857</v>
      </c>
      <c r="D80" s="146">
        <v>22</v>
      </c>
      <c r="E80" s="15"/>
      <c r="F80" s="15"/>
      <c r="G80" s="15"/>
      <c r="H80" s="9"/>
      <c r="I80" s="9"/>
      <c r="J80" s="146"/>
    </row>
    <row r="81" spans="1:10" ht="15.6" x14ac:dyDescent="0.3">
      <c r="A81" s="76">
        <v>76</v>
      </c>
      <c r="B81" s="145"/>
      <c r="C81" s="210" t="s">
        <v>858</v>
      </c>
      <c r="D81" s="146">
        <v>22</v>
      </c>
      <c r="E81" s="15"/>
      <c r="F81" s="15"/>
      <c r="G81" s="15"/>
      <c r="H81" s="15"/>
      <c r="I81" s="15"/>
      <c r="J81" s="146"/>
    </row>
    <row r="82" spans="1:10" ht="15.6" x14ac:dyDescent="0.3">
      <c r="A82" s="76">
        <v>77</v>
      </c>
      <c r="B82" s="145"/>
      <c r="C82" s="210" t="s">
        <v>859</v>
      </c>
      <c r="D82" s="146">
        <v>22</v>
      </c>
      <c r="E82" s="15" t="s">
        <v>16</v>
      </c>
      <c r="F82" s="143"/>
      <c r="G82" s="15"/>
      <c r="H82" s="143"/>
      <c r="I82" s="143"/>
      <c r="J82" s="146"/>
    </row>
    <row r="83" spans="1:10" ht="15.6" x14ac:dyDescent="0.3">
      <c r="A83" s="76">
        <v>78</v>
      </c>
      <c r="B83" s="145"/>
      <c r="C83" s="279" t="s">
        <v>860</v>
      </c>
      <c r="D83" s="171">
        <v>22</v>
      </c>
      <c r="E83" s="15" t="s">
        <v>16</v>
      </c>
      <c r="F83" s="143"/>
      <c r="G83" s="15"/>
      <c r="H83" s="204"/>
      <c r="I83" s="204"/>
      <c r="J83" s="199"/>
    </row>
    <row r="84" spans="1:10" ht="14.4" x14ac:dyDescent="0.3">
      <c r="A84" s="76">
        <v>79</v>
      </c>
      <c r="B84" s="278"/>
      <c r="C84" s="9" t="s">
        <v>415</v>
      </c>
      <c r="D84" s="9">
        <v>22</v>
      </c>
      <c r="E84" s="142" t="s">
        <v>16</v>
      </c>
      <c r="F84" s="143"/>
      <c r="G84" s="15"/>
      <c r="H84" s="143"/>
      <c r="I84" s="143"/>
      <c r="J84" s="146"/>
    </row>
    <row r="85" spans="1:10" ht="15.6" x14ac:dyDescent="0.3">
      <c r="A85" s="76">
        <v>80</v>
      </c>
      <c r="B85" s="278"/>
      <c r="C85" s="182" t="s">
        <v>861</v>
      </c>
      <c r="D85" s="182">
        <v>22</v>
      </c>
      <c r="E85" s="142" t="s">
        <v>16</v>
      </c>
      <c r="F85" s="143"/>
      <c r="G85" s="15"/>
      <c r="H85" s="143"/>
      <c r="I85" s="143"/>
      <c r="J85" s="146"/>
    </row>
    <row r="86" spans="1:10" ht="14.4" x14ac:dyDescent="0.3">
      <c r="A86" s="76">
        <v>81</v>
      </c>
      <c r="B86" s="278"/>
      <c r="C86" s="126" t="s">
        <v>389</v>
      </c>
      <c r="D86" s="9">
        <v>23</v>
      </c>
      <c r="E86" s="142" t="s">
        <v>16</v>
      </c>
      <c r="F86" s="15" t="s">
        <v>28</v>
      </c>
      <c r="G86" s="15"/>
      <c r="H86" s="9" t="s">
        <v>16</v>
      </c>
      <c r="I86" s="9" t="s">
        <v>28</v>
      </c>
      <c r="J86" s="146"/>
    </row>
    <row r="87" spans="1:10" ht="14.4" x14ac:dyDescent="0.3">
      <c r="A87" s="76">
        <v>82</v>
      </c>
      <c r="B87" s="145"/>
      <c r="C87" s="79" t="s">
        <v>392</v>
      </c>
      <c r="D87" s="204">
        <v>23</v>
      </c>
      <c r="E87" s="15" t="s">
        <v>110</v>
      </c>
      <c r="F87" s="15" t="s">
        <v>110</v>
      </c>
      <c r="G87" s="15" t="s">
        <v>110</v>
      </c>
      <c r="H87" s="15" t="s">
        <v>110</v>
      </c>
      <c r="I87" s="15" t="s">
        <v>110</v>
      </c>
      <c r="J87" s="146"/>
    </row>
    <row r="88" spans="1:10" ht="14.4" x14ac:dyDescent="0.3">
      <c r="A88" s="76">
        <v>83</v>
      </c>
      <c r="B88" s="145"/>
      <c r="C88" s="207" t="s">
        <v>862</v>
      </c>
      <c r="D88" s="146">
        <v>23</v>
      </c>
      <c r="E88" s="15" t="s">
        <v>16</v>
      </c>
      <c r="F88" s="15" t="s">
        <v>16</v>
      </c>
      <c r="G88" s="15" t="s">
        <v>110</v>
      </c>
      <c r="H88" s="15" t="s">
        <v>110</v>
      </c>
      <c r="I88" s="15" t="s">
        <v>110</v>
      </c>
      <c r="J88" s="146"/>
    </row>
    <row r="89" spans="1:10" ht="14.4" x14ac:dyDescent="0.3">
      <c r="A89" s="76">
        <v>84</v>
      </c>
      <c r="B89" s="145"/>
      <c r="C89" s="207" t="s">
        <v>863</v>
      </c>
      <c r="D89" s="146">
        <v>23</v>
      </c>
      <c r="E89" s="15" t="s">
        <v>16</v>
      </c>
      <c r="F89" s="15" t="s">
        <v>16</v>
      </c>
      <c r="G89" s="15" t="s">
        <v>110</v>
      </c>
      <c r="H89" s="15" t="s">
        <v>110</v>
      </c>
      <c r="I89" s="15" t="s">
        <v>110</v>
      </c>
      <c r="J89" s="199"/>
    </row>
    <row r="90" spans="1:10" ht="14.4" x14ac:dyDescent="0.3">
      <c r="A90" s="76">
        <v>85</v>
      </c>
      <c r="B90" s="145"/>
      <c r="C90" s="207" t="s">
        <v>864</v>
      </c>
      <c r="D90" s="146">
        <v>23</v>
      </c>
      <c r="E90" s="15" t="s">
        <v>16</v>
      </c>
      <c r="F90" s="15" t="s">
        <v>110</v>
      </c>
      <c r="G90" s="15" t="s">
        <v>110</v>
      </c>
      <c r="H90" s="15" t="s">
        <v>110</v>
      </c>
      <c r="I90" s="15" t="s">
        <v>110</v>
      </c>
      <c r="J90" s="146"/>
    </row>
    <row r="91" spans="1:10" ht="14.4" x14ac:dyDescent="0.3">
      <c r="A91" s="76">
        <v>86</v>
      </c>
      <c r="B91" s="145"/>
      <c r="C91" s="207" t="s">
        <v>865</v>
      </c>
      <c r="D91" s="146">
        <v>23</v>
      </c>
      <c r="E91" s="15"/>
      <c r="F91" s="15" t="s">
        <v>16</v>
      </c>
      <c r="G91" s="15" t="s">
        <v>110</v>
      </c>
      <c r="H91" s="15" t="s">
        <v>110</v>
      </c>
      <c r="I91" s="15" t="s">
        <v>110</v>
      </c>
      <c r="J91" s="146"/>
    </row>
    <row r="92" spans="1:10" ht="14.4" x14ac:dyDescent="0.3">
      <c r="A92" s="76">
        <v>87</v>
      </c>
      <c r="B92" s="145"/>
      <c r="C92" s="207" t="s">
        <v>866</v>
      </c>
      <c r="D92" s="146">
        <v>23</v>
      </c>
      <c r="E92" s="15" t="s">
        <v>16</v>
      </c>
      <c r="F92" s="15" t="s">
        <v>28</v>
      </c>
      <c r="G92" s="15" t="s">
        <v>110</v>
      </c>
      <c r="H92" s="15" t="s">
        <v>110</v>
      </c>
      <c r="I92" s="15" t="s">
        <v>110</v>
      </c>
      <c r="J92" s="146"/>
    </row>
    <row r="93" spans="1:10" ht="14.4" x14ac:dyDescent="0.3">
      <c r="A93" s="76">
        <v>88</v>
      </c>
      <c r="B93" s="145"/>
      <c r="C93" s="207" t="s">
        <v>435</v>
      </c>
      <c r="D93" s="146">
        <v>23</v>
      </c>
      <c r="E93" s="15" t="s">
        <v>110</v>
      </c>
      <c r="F93" s="15" t="s">
        <v>110</v>
      </c>
      <c r="G93" s="15" t="s">
        <v>110</v>
      </c>
      <c r="H93" s="15" t="s">
        <v>110</v>
      </c>
      <c r="I93" s="15" t="s">
        <v>110</v>
      </c>
      <c r="J93" s="146"/>
    </row>
    <row r="94" spans="1:10" ht="14.4" x14ac:dyDescent="0.3">
      <c r="A94" s="76">
        <v>89</v>
      </c>
      <c r="B94" s="145"/>
      <c r="C94" s="207" t="s">
        <v>867</v>
      </c>
      <c r="D94" s="146">
        <v>23</v>
      </c>
      <c r="E94" s="15" t="s">
        <v>16</v>
      </c>
      <c r="F94" s="143" t="s">
        <v>16</v>
      </c>
      <c r="G94" s="15" t="s">
        <v>110</v>
      </c>
      <c r="H94" s="15" t="s">
        <v>110</v>
      </c>
      <c r="I94" s="15" t="s">
        <v>110</v>
      </c>
      <c r="J94" s="146"/>
    </row>
    <row r="95" spans="1:10" ht="14.4" x14ac:dyDescent="0.3">
      <c r="A95" s="76">
        <v>90</v>
      </c>
      <c r="B95" s="145"/>
      <c r="C95" s="207" t="s">
        <v>868</v>
      </c>
      <c r="D95" s="146">
        <v>23</v>
      </c>
      <c r="E95" s="15"/>
      <c r="F95" s="143"/>
      <c r="G95" s="15" t="s">
        <v>110</v>
      </c>
      <c r="H95" s="15" t="s">
        <v>110</v>
      </c>
      <c r="I95" s="15" t="s">
        <v>110</v>
      </c>
      <c r="J95" s="146"/>
    </row>
    <row r="96" spans="1:10" ht="14.4" x14ac:dyDescent="0.3">
      <c r="A96" s="76">
        <v>91</v>
      </c>
      <c r="B96" s="145"/>
      <c r="C96" s="214" t="s">
        <v>869</v>
      </c>
      <c r="D96" s="146">
        <v>23</v>
      </c>
      <c r="E96" s="15"/>
      <c r="F96" s="143"/>
      <c r="G96" s="15" t="s">
        <v>110</v>
      </c>
      <c r="H96" s="15" t="s">
        <v>110</v>
      </c>
      <c r="I96" s="15" t="s">
        <v>110</v>
      </c>
      <c r="J96" s="146"/>
    </row>
    <row r="97" spans="1:10" ht="14.4" x14ac:dyDescent="0.3">
      <c r="A97" s="76">
        <v>92</v>
      </c>
      <c r="B97" s="145"/>
      <c r="C97" s="126" t="s">
        <v>130</v>
      </c>
      <c r="D97" s="146">
        <v>23</v>
      </c>
      <c r="E97" s="15" t="s">
        <v>28</v>
      </c>
      <c r="F97" s="15" t="s">
        <v>28</v>
      </c>
      <c r="G97" s="15" t="s">
        <v>28</v>
      </c>
      <c r="H97" s="15" t="s">
        <v>28</v>
      </c>
      <c r="I97" s="15" t="s">
        <v>28</v>
      </c>
      <c r="J97" s="146"/>
    </row>
    <row r="98" spans="1:10" ht="14.4" x14ac:dyDescent="0.3">
      <c r="A98" s="76">
        <v>93</v>
      </c>
      <c r="B98" s="145"/>
      <c r="C98" s="126" t="s">
        <v>387</v>
      </c>
      <c r="D98" s="146">
        <v>23</v>
      </c>
      <c r="E98" s="15" t="s">
        <v>28</v>
      </c>
      <c r="F98" s="15" t="s">
        <v>28</v>
      </c>
      <c r="G98" s="15" t="s">
        <v>28</v>
      </c>
      <c r="H98" s="15" t="s">
        <v>28</v>
      </c>
      <c r="I98" s="15" t="s">
        <v>28</v>
      </c>
      <c r="J98" s="146"/>
    </row>
    <row r="99" spans="1:10" ht="14.4" x14ac:dyDescent="0.3">
      <c r="A99" s="76">
        <v>94</v>
      </c>
      <c r="B99" s="145"/>
      <c r="C99" s="205" t="s">
        <v>870</v>
      </c>
      <c r="D99" s="146">
        <v>23</v>
      </c>
      <c r="E99" s="15" t="s">
        <v>16</v>
      </c>
      <c r="F99" s="143"/>
      <c r="G99" s="15" t="s">
        <v>110</v>
      </c>
      <c r="H99" s="15" t="s">
        <v>110</v>
      </c>
      <c r="I99" s="15" t="s">
        <v>110</v>
      </c>
      <c r="J99" s="146"/>
    </row>
    <row r="100" spans="1:10" ht="14.4" x14ac:dyDescent="0.3">
      <c r="A100" s="76">
        <v>95</v>
      </c>
      <c r="B100" s="145"/>
      <c r="C100" s="207" t="s">
        <v>871</v>
      </c>
      <c r="D100" s="179">
        <v>23</v>
      </c>
      <c r="E100" s="15"/>
      <c r="F100" s="15"/>
      <c r="G100" s="15" t="s">
        <v>110</v>
      </c>
      <c r="H100" s="15" t="s">
        <v>110</v>
      </c>
      <c r="I100" s="15" t="s">
        <v>110</v>
      </c>
      <c r="J100" s="146"/>
    </row>
    <row r="101" spans="1:10" ht="14.4" x14ac:dyDescent="0.3">
      <c r="A101" s="76">
        <v>96</v>
      </c>
      <c r="B101" s="145"/>
      <c r="C101" s="207" t="s">
        <v>872</v>
      </c>
      <c r="D101" s="146">
        <v>23</v>
      </c>
      <c r="E101" s="142"/>
      <c r="F101" s="15"/>
      <c r="G101" s="15" t="s">
        <v>110</v>
      </c>
      <c r="H101" s="15" t="s">
        <v>110</v>
      </c>
      <c r="I101" s="15" t="s">
        <v>110</v>
      </c>
      <c r="J101" s="146"/>
    </row>
    <row r="102" spans="1:10" ht="14.4" x14ac:dyDescent="0.3">
      <c r="A102" s="76">
        <v>97</v>
      </c>
      <c r="B102" s="145"/>
      <c r="C102" s="207" t="s">
        <v>873</v>
      </c>
      <c r="D102" s="204">
        <v>23</v>
      </c>
      <c r="E102" s="15"/>
      <c r="F102" s="143"/>
      <c r="G102" s="15" t="s">
        <v>110</v>
      </c>
      <c r="H102" s="15" t="s">
        <v>110</v>
      </c>
      <c r="I102" s="15" t="s">
        <v>110</v>
      </c>
      <c r="J102" s="146"/>
    </row>
    <row r="103" spans="1:10" ht="14.4" x14ac:dyDescent="0.3">
      <c r="A103" s="76">
        <v>98</v>
      </c>
      <c r="B103" s="145"/>
      <c r="C103" s="207" t="s">
        <v>434</v>
      </c>
      <c r="D103" s="146">
        <v>23</v>
      </c>
      <c r="E103" s="15" t="s">
        <v>16</v>
      </c>
      <c r="F103" s="15"/>
      <c r="G103" s="15" t="s">
        <v>110</v>
      </c>
      <c r="H103" s="15" t="s">
        <v>110</v>
      </c>
      <c r="I103" s="15" t="s">
        <v>110</v>
      </c>
      <c r="J103" s="146"/>
    </row>
    <row r="104" spans="1:10" ht="14.4" x14ac:dyDescent="0.3">
      <c r="A104" s="76">
        <v>99</v>
      </c>
      <c r="B104" s="145"/>
      <c r="C104" s="207" t="s">
        <v>874</v>
      </c>
      <c r="D104" s="146">
        <v>23</v>
      </c>
      <c r="E104" s="15"/>
      <c r="F104" s="15"/>
      <c r="G104" s="15" t="s">
        <v>110</v>
      </c>
      <c r="H104" s="15" t="s">
        <v>110</v>
      </c>
      <c r="I104" s="15" t="s">
        <v>110</v>
      </c>
      <c r="J104" s="146"/>
    </row>
    <row r="105" spans="1:10" ht="14.4" x14ac:dyDescent="0.3">
      <c r="A105" s="76">
        <v>100</v>
      </c>
      <c r="B105" s="145"/>
      <c r="C105" s="207" t="s">
        <v>423</v>
      </c>
      <c r="D105" s="146">
        <v>23</v>
      </c>
      <c r="E105" s="15" t="s">
        <v>110</v>
      </c>
      <c r="F105" s="15" t="s">
        <v>110</v>
      </c>
      <c r="G105" s="15" t="s">
        <v>110</v>
      </c>
      <c r="H105" s="15" t="s">
        <v>110</v>
      </c>
      <c r="I105" s="15" t="s">
        <v>110</v>
      </c>
      <c r="J105" s="146"/>
    </row>
    <row r="106" spans="1:10" ht="14.4" x14ac:dyDescent="0.3">
      <c r="A106" s="76">
        <v>101</v>
      </c>
      <c r="B106" s="145"/>
      <c r="C106" s="207" t="s">
        <v>875</v>
      </c>
      <c r="D106" s="146">
        <v>23</v>
      </c>
      <c r="E106" s="15" t="s">
        <v>16</v>
      </c>
      <c r="F106" s="143"/>
      <c r="G106" s="15" t="s">
        <v>110</v>
      </c>
      <c r="H106" s="15" t="s">
        <v>110</v>
      </c>
      <c r="I106" s="15" t="s">
        <v>110</v>
      </c>
      <c r="J106" s="146"/>
    </row>
    <row r="107" spans="1:10" ht="14.4" x14ac:dyDescent="0.3">
      <c r="A107" s="76">
        <v>102</v>
      </c>
      <c r="B107" s="145"/>
      <c r="C107" s="207" t="s">
        <v>876</v>
      </c>
      <c r="D107" s="146">
        <v>23</v>
      </c>
      <c r="E107" s="15" t="s">
        <v>16</v>
      </c>
      <c r="F107" s="143"/>
      <c r="G107" s="15" t="s">
        <v>110</v>
      </c>
      <c r="H107" s="15" t="s">
        <v>110</v>
      </c>
      <c r="I107" s="15" t="s">
        <v>110</v>
      </c>
      <c r="J107" s="146"/>
    </row>
    <row r="108" spans="1:10" ht="14.4" x14ac:dyDescent="0.3">
      <c r="A108" s="76">
        <v>103</v>
      </c>
      <c r="B108" s="145"/>
      <c r="C108" s="9" t="s">
        <v>877</v>
      </c>
      <c r="D108" s="146">
        <v>23</v>
      </c>
      <c r="E108" s="80" t="s">
        <v>110</v>
      </c>
      <c r="F108" s="15" t="s">
        <v>110</v>
      </c>
      <c r="G108" s="15" t="s">
        <v>110</v>
      </c>
      <c r="H108" s="15" t="s">
        <v>110</v>
      </c>
      <c r="I108" s="15" t="s">
        <v>110</v>
      </c>
      <c r="J108" s="146"/>
    </row>
    <row r="109" spans="1:10" ht="14.4" x14ac:dyDescent="0.3">
      <c r="A109" s="76">
        <v>104</v>
      </c>
      <c r="B109" s="145"/>
      <c r="C109" s="126" t="s">
        <v>109</v>
      </c>
      <c r="D109" s="146">
        <v>23</v>
      </c>
      <c r="E109" s="15" t="s">
        <v>16</v>
      </c>
      <c r="F109" s="15" t="s">
        <v>28</v>
      </c>
      <c r="G109" s="15" t="s">
        <v>28</v>
      </c>
      <c r="H109" s="9" t="s">
        <v>28</v>
      </c>
      <c r="I109" s="9" t="s">
        <v>28</v>
      </c>
    </row>
    <row r="110" spans="1:10" ht="14.4" x14ac:dyDescent="0.3">
      <c r="A110" s="76">
        <v>105</v>
      </c>
      <c r="B110" s="145"/>
      <c r="C110" s="126" t="s">
        <v>355</v>
      </c>
      <c r="D110" s="272">
        <v>23</v>
      </c>
      <c r="E110" s="15" t="s">
        <v>28</v>
      </c>
      <c r="F110" s="15" t="s">
        <v>28</v>
      </c>
      <c r="G110" s="15" t="s">
        <v>28</v>
      </c>
      <c r="H110" s="15" t="s">
        <v>28</v>
      </c>
      <c r="I110" s="15" t="s">
        <v>28</v>
      </c>
      <c r="J110" s="146"/>
    </row>
    <row r="111" spans="1:10" ht="14.4" x14ac:dyDescent="0.3">
      <c r="A111" s="76">
        <v>106</v>
      </c>
      <c r="B111" s="145"/>
      <c r="C111" s="207" t="s">
        <v>878</v>
      </c>
      <c r="D111" s="204">
        <v>23</v>
      </c>
      <c r="E111" s="171"/>
      <c r="F111" s="82"/>
      <c r="G111" s="15" t="s">
        <v>110</v>
      </c>
      <c r="H111" s="15" t="s">
        <v>110</v>
      </c>
      <c r="I111" s="15" t="s">
        <v>110</v>
      </c>
      <c r="J111" s="146"/>
    </row>
    <row r="112" spans="1:10" ht="14.4" x14ac:dyDescent="0.3">
      <c r="A112" s="76">
        <v>107</v>
      </c>
      <c r="B112" s="145"/>
      <c r="C112" s="207" t="s">
        <v>879</v>
      </c>
      <c r="D112" s="229">
        <v>23</v>
      </c>
      <c r="E112" s="15"/>
      <c r="F112" s="15"/>
      <c r="G112" s="15" t="s">
        <v>110</v>
      </c>
      <c r="H112" s="15" t="s">
        <v>110</v>
      </c>
      <c r="I112" s="15" t="s">
        <v>110</v>
      </c>
      <c r="J112" s="146"/>
    </row>
    <row r="113" spans="1:10" ht="14.4" x14ac:dyDescent="0.3">
      <c r="A113" s="76">
        <v>108</v>
      </c>
      <c r="B113" s="145"/>
      <c r="C113" s="236" t="s">
        <v>880</v>
      </c>
      <c r="D113" s="305">
        <v>23</v>
      </c>
      <c r="E113" s="80" t="s">
        <v>28</v>
      </c>
      <c r="F113" s="80" t="s">
        <v>28</v>
      </c>
      <c r="G113" s="15" t="s">
        <v>110</v>
      </c>
      <c r="H113" s="15" t="s">
        <v>110</v>
      </c>
      <c r="I113" s="15" t="s">
        <v>110</v>
      </c>
      <c r="J113" s="146"/>
    </row>
    <row r="114" spans="1:10" ht="14.4" x14ac:dyDescent="0.3">
      <c r="A114" s="76">
        <v>109</v>
      </c>
      <c r="B114" s="226"/>
      <c r="C114" s="236" t="s">
        <v>881</v>
      </c>
      <c r="D114" s="127">
        <v>23</v>
      </c>
      <c r="E114" s="15"/>
      <c r="F114" s="15"/>
      <c r="G114" s="15" t="s">
        <v>110</v>
      </c>
      <c r="H114" s="15" t="s">
        <v>110</v>
      </c>
      <c r="I114" s="15" t="s">
        <v>110</v>
      </c>
      <c r="J114" s="146"/>
    </row>
    <row r="115" spans="1:10" ht="14.4" x14ac:dyDescent="0.3">
      <c r="A115" s="76">
        <v>110</v>
      </c>
      <c r="B115" s="227"/>
      <c r="C115" s="207" t="s">
        <v>882</v>
      </c>
      <c r="D115" s="76">
        <v>23</v>
      </c>
      <c r="E115" s="15"/>
      <c r="F115" s="15"/>
      <c r="G115" s="15" t="s">
        <v>110</v>
      </c>
      <c r="H115" s="15" t="s">
        <v>110</v>
      </c>
      <c r="I115" s="15" t="s">
        <v>110</v>
      </c>
      <c r="J115" s="146"/>
    </row>
    <row r="116" spans="1:10" ht="14.4" x14ac:dyDescent="0.3">
      <c r="A116" s="76">
        <v>111</v>
      </c>
      <c r="B116" s="227"/>
      <c r="C116" s="234" t="s">
        <v>883</v>
      </c>
      <c r="D116" s="1">
        <v>23</v>
      </c>
      <c r="E116" s="80"/>
      <c r="F116" s="80"/>
      <c r="G116" s="15" t="s">
        <v>110</v>
      </c>
      <c r="H116" s="15" t="s">
        <v>110</v>
      </c>
      <c r="I116" s="15" t="s">
        <v>110</v>
      </c>
      <c r="J116" s="146"/>
    </row>
    <row r="117" spans="1:10" ht="14.4" x14ac:dyDescent="0.3">
      <c r="A117" s="76">
        <v>112</v>
      </c>
      <c r="B117" s="218"/>
      <c r="C117" s="236" t="s">
        <v>128</v>
      </c>
      <c r="D117" s="233">
        <v>18</v>
      </c>
      <c r="E117" s="80" t="s">
        <v>16</v>
      </c>
      <c r="F117" s="80" t="s">
        <v>16</v>
      </c>
      <c r="G117" s="80" t="s">
        <v>16</v>
      </c>
      <c r="H117" s="80" t="s">
        <v>16</v>
      </c>
      <c r="I117" s="80" t="s">
        <v>16</v>
      </c>
      <c r="J117" s="146"/>
    </row>
    <row r="118" spans="1:10" ht="15.6" x14ac:dyDescent="0.3">
      <c r="A118" s="76">
        <v>113</v>
      </c>
      <c r="B118" s="145"/>
      <c r="C118" s="182" t="s">
        <v>884</v>
      </c>
      <c r="D118" s="182">
        <v>24</v>
      </c>
      <c r="E118" s="143" t="s">
        <v>16</v>
      </c>
      <c r="F118" s="80" t="s">
        <v>110</v>
      </c>
      <c r="G118" s="15" t="s">
        <v>110</v>
      </c>
      <c r="H118" s="80" t="s">
        <v>110</v>
      </c>
      <c r="I118" s="80" t="s">
        <v>110</v>
      </c>
      <c r="J118" s="146"/>
    </row>
    <row r="119" spans="1:10" ht="15.6" x14ac:dyDescent="0.3">
      <c r="A119" s="76">
        <v>114</v>
      </c>
      <c r="B119" s="145"/>
      <c r="C119" s="182" t="s">
        <v>885</v>
      </c>
      <c r="D119" s="182">
        <v>24</v>
      </c>
      <c r="E119" s="143" t="s">
        <v>16</v>
      </c>
      <c r="F119" s="80" t="s">
        <v>110</v>
      </c>
      <c r="G119" s="15" t="s">
        <v>110</v>
      </c>
      <c r="H119" s="80" t="s">
        <v>110</v>
      </c>
      <c r="I119" s="80" t="s">
        <v>110</v>
      </c>
      <c r="J119" s="146"/>
    </row>
    <row r="120" spans="1:10" ht="15.6" x14ac:dyDescent="0.3">
      <c r="A120" s="76">
        <v>115</v>
      </c>
      <c r="B120" s="145"/>
      <c r="C120" s="182" t="s">
        <v>886</v>
      </c>
      <c r="D120" s="182">
        <v>24</v>
      </c>
      <c r="E120" s="143"/>
      <c r="F120" s="80" t="s">
        <v>110</v>
      </c>
      <c r="G120" s="15" t="s">
        <v>110</v>
      </c>
      <c r="H120" s="80" t="s">
        <v>16</v>
      </c>
      <c r="I120" s="80" t="s">
        <v>110</v>
      </c>
      <c r="J120" s="146"/>
    </row>
    <row r="121" spans="1:10" ht="15.6" x14ac:dyDescent="0.3">
      <c r="A121" s="76">
        <v>116</v>
      </c>
      <c r="B121" s="145"/>
      <c r="C121" s="182" t="s">
        <v>887</v>
      </c>
      <c r="D121" s="182">
        <v>24</v>
      </c>
      <c r="E121" s="80" t="s">
        <v>28</v>
      </c>
      <c r="F121" s="80" t="s">
        <v>110</v>
      </c>
      <c r="G121" s="15" t="s">
        <v>110</v>
      </c>
      <c r="H121" s="80" t="s">
        <v>28</v>
      </c>
      <c r="I121" s="80" t="s">
        <v>110</v>
      </c>
      <c r="J121" s="146"/>
    </row>
    <row r="122" spans="1:10" ht="15.6" x14ac:dyDescent="0.3">
      <c r="A122" s="76">
        <v>117</v>
      </c>
      <c r="B122" s="145"/>
      <c r="C122" s="182" t="s">
        <v>888</v>
      </c>
      <c r="D122" s="182">
        <v>24</v>
      </c>
      <c r="E122" s="143"/>
      <c r="F122" s="80" t="s">
        <v>110</v>
      </c>
      <c r="G122" s="15" t="s">
        <v>110</v>
      </c>
      <c r="H122" s="80" t="s">
        <v>16</v>
      </c>
      <c r="I122" s="80" t="s">
        <v>110</v>
      </c>
      <c r="J122" s="146"/>
    </row>
    <row r="123" spans="1:10" ht="15.6" x14ac:dyDescent="0.3">
      <c r="A123" s="76">
        <v>118</v>
      </c>
      <c r="B123" s="145"/>
      <c r="C123" s="182" t="s">
        <v>889</v>
      </c>
      <c r="D123" s="182">
        <v>24</v>
      </c>
      <c r="E123" s="143"/>
      <c r="F123" s="80" t="s">
        <v>110</v>
      </c>
      <c r="G123" s="15" t="s">
        <v>110</v>
      </c>
      <c r="H123" s="15" t="s">
        <v>110</v>
      </c>
      <c r="I123" s="80" t="s">
        <v>110</v>
      </c>
      <c r="J123" s="146"/>
    </row>
    <row r="124" spans="1:10" ht="15.6" x14ac:dyDescent="0.3">
      <c r="A124" s="76">
        <v>119</v>
      </c>
      <c r="B124" s="145"/>
      <c r="C124" s="182" t="s">
        <v>890</v>
      </c>
      <c r="D124" s="182">
        <v>24</v>
      </c>
      <c r="E124" s="143"/>
      <c r="F124" s="80" t="s">
        <v>110</v>
      </c>
      <c r="G124" s="15" t="s">
        <v>110</v>
      </c>
      <c r="H124" s="15" t="s">
        <v>110</v>
      </c>
      <c r="I124" s="80" t="s">
        <v>110</v>
      </c>
      <c r="J124" s="146"/>
    </row>
    <row r="125" spans="1:10" ht="15.6" x14ac:dyDescent="0.3">
      <c r="A125" s="76">
        <v>120</v>
      </c>
      <c r="B125" s="145"/>
      <c r="C125" s="182" t="s">
        <v>891</v>
      </c>
      <c r="D125" s="182">
        <v>24</v>
      </c>
      <c r="E125" s="232"/>
      <c r="F125" s="80" t="s">
        <v>110</v>
      </c>
      <c r="G125" s="15" t="s">
        <v>110</v>
      </c>
      <c r="H125" s="15"/>
      <c r="I125" s="80" t="s">
        <v>110</v>
      </c>
      <c r="J125" s="146"/>
    </row>
    <row r="126" spans="1:10" ht="15.6" x14ac:dyDescent="0.3">
      <c r="A126" s="76">
        <v>121</v>
      </c>
      <c r="B126" s="145"/>
      <c r="C126" s="182" t="s">
        <v>892</v>
      </c>
      <c r="D126" s="306">
        <v>24</v>
      </c>
      <c r="E126" s="15" t="s">
        <v>16</v>
      </c>
      <c r="F126" s="80" t="s">
        <v>110</v>
      </c>
      <c r="G126" s="15" t="s">
        <v>110</v>
      </c>
      <c r="H126" s="143" t="s">
        <v>16</v>
      </c>
      <c r="I126" s="80" t="s">
        <v>110</v>
      </c>
      <c r="J126" s="146"/>
    </row>
    <row r="127" spans="1:10" ht="15.6" x14ac:dyDescent="0.3">
      <c r="A127" s="76">
        <v>122</v>
      </c>
      <c r="B127" s="145"/>
      <c r="C127" s="182" t="s">
        <v>893</v>
      </c>
      <c r="D127" s="182">
        <v>24</v>
      </c>
      <c r="E127" s="143"/>
      <c r="F127" s="15" t="s">
        <v>110</v>
      </c>
      <c r="G127" s="15" t="s">
        <v>110</v>
      </c>
      <c r="H127" s="80"/>
      <c r="I127" s="80" t="s">
        <v>110</v>
      </c>
      <c r="J127" s="146"/>
    </row>
    <row r="128" spans="1:10" ht="15.6" x14ac:dyDescent="0.3">
      <c r="A128" s="76">
        <v>123</v>
      </c>
      <c r="B128" s="145"/>
      <c r="C128" s="182" t="s">
        <v>894</v>
      </c>
      <c r="D128" s="182">
        <v>24</v>
      </c>
      <c r="E128" s="143" t="s">
        <v>28</v>
      </c>
      <c r="F128" s="80" t="s">
        <v>110</v>
      </c>
      <c r="G128" s="15" t="s">
        <v>110</v>
      </c>
      <c r="H128" s="80" t="s">
        <v>28</v>
      </c>
      <c r="I128" s="80" t="s">
        <v>110</v>
      </c>
      <c r="J128" s="146"/>
    </row>
    <row r="129" spans="1:10" ht="15.6" x14ac:dyDescent="0.3">
      <c r="A129" s="76">
        <v>124</v>
      </c>
      <c r="B129" s="145"/>
      <c r="C129" s="182" t="s">
        <v>895</v>
      </c>
      <c r="D129" s="182">
        <v>24</v>
      </c>
      <c r="E129" s="143"/>
      <c r="F129" s="80" t="s">
        <v>110</v>
      </c>
      <c r="G129" s="15" t="s">
        <v>110</v>
      </c>
      <c r="H129" s="15" t="s">
        <v>110</v>
      </c>
      <c r="I129" s="80" t="s">
        <v>110</v>
      </c>
      <c r="J129" s="146"/>
    </row>
    <row r="130" spans="1:10" ht="15.6" x14ac:dyDescent="0.3">
      <c r="A130" s="76">
        <v>125</v>
      </c>
      <c r="B130" s="145"/>
      <c r="C130" s="182" t="s">
        <v>896</v>
      </c>
      <c r="D130" s="182">
        <v>24</v>
      </c>
      <c r="E130" s="143" t="s">
        <v>16</v>
      </c>
      <c r="F130" s="80" t="s">
        <v>110</v>
      </c>
      <c r="G130" s="15" t="s">
        <v>110</v>
      </c>
      <c r="H130" s="15" t="s">
        <v>110</v>
      </c>
      <c r="I130" s="80" t="s">
        <v>110</v>
      </c>
      <c r="J130" s="146"/>
    </row>
    <row r="131" spans="1:10" ht="15.6" x14ac:dyDescent="0.3">
      <c r="A131" s="76">
        <v>126</v>
      </c>
      <c r="B131" s="145"/>
      <c r="C131" s="182" t="s">
        <v>897</v>
      </c>
      <c r="D131" s="182">
        <v>24</v>
      </c>
      <c r="E131" s="143" t="s">
        <v>16</v>
      </c>
      <c r="F131" s="80" t="s">
        <v>110</v>
      </c>
      <c r="G131" s="15" t="s">
        <v>110</v>
      </c>
      <c r="H131" s="80" t="s">
        <v>16</v>
      </c>
      <c r="I131" s="80" t="s">
        <v>110</v>
      </c>
      <c r="J131" s="146"/>
    </row>
    <row r="132" spans="1:10" ht="15.6" x14ac:dyDescent="0.3">
      <c r="A132" s="76">
        <v>127</v>
      </c>
      <c r="B132" s="145"/>
      <c r="C132" s="182" t="s">
        <v>898</v>
      </c>
      <c r="D132" s="182">
        <v>24</v>
      </c>
      <c r="E132" s="143" t="s">
        <v>16</v>
      </c>
      <c r="F132" s="80" t="s">
        <v>110</v>
      </c>
      <c r="G132" s="15" t="s">
        <v>110</v>
      </c>
      <c r="H132" s="15" t="s">
        <v>110</v>
      </c>
      <c r="I132" s="80" t="s">
        <v>110</v>
      </c>
      <c r="J132" s="146"/>
    </row>
    <row r="133" spans="1:10" ht="15.6" x14ac:dyDescent="0.3">
      <c r="A133" s="76">
        <v>128</v>
      </c>
      <c r="B133" s="145"/>
      <c r="C133" s="182" t="s">
        <v>899</v>
      </c>
      <c r="D133" s="182">
        <v>24</v>
      </c>
      <c r="E133" s="143"/>
      <c r="F133" s="80" t="s">
        <v>110</v>
      </c>
      <c r="G133" s="15" t="s">
        <v>110</v>
      </c>
      <c r="H133" s="15" t="s">
        <v>110</v>
      </c>
      <c r="I133" s="80" t="s">
        <v>110</v>
      </c>
      <c r="J133" s="146"/>
    </row>
    <row r="134" spans="1:10" ht="15.6" x14ac:dyDescent="0.3">
      <c r="A134" s="76">
        <v>129</v>
      </c>
      <c r="B134" s="145"/>
      <c r="C134" s="182" t="s">
        <v>900</v>
      </c>
      <c r="D134" s="182">
        <v>24</v>
      </c>
      <c r="E134" s="143"/>
      <c r="F134" s="80" t="s">
        <v>110</v>
      </c>
      <c r="G134" s="15" t="s">
        <v>110</v>
      </c>
      <c r="H134" s="15" t="s">
        <v>110</v>
      </c>
      <c r="I134" s="80" t="s">
        <v>110</v>
      </c>
    </row>
    <row r="135" spans="1:10" ht="15.6" x14ac:dyDescent="0.3">
      <c r="A135" s="76">
        <v>130</v>
      </c>
      <c r="B135" s="145"/>
      <c r="C135" s="182" t="s">
        <v>901</v>
      </c>
      <c r="D135" s="279">
        <v>24</v>
      </c>
      <c r="E135" s="232" t="s">
        <v>16</v>
      </c>
      <c r="F135" s="80" t="s">
        <v>110</v>
      </c>
      <c r="G135" s="15" t="s">
        <v>110</v>
      </c>
      <c r="H135" s="15" t="s">
        <v>110</v>
      </c>
      <c r="I135" s="80" t="s">
        <v>110</v>
      </c>
    </row>
    <row r="136" spans="1:10" ht="14.4" x14ac:dyDescent="0.3">
      <c r="D136" s="197" t="s">
        <v>902</v>
      </c>
      <c r="E136" s="84">
        <f>COUNTIF(E3:E135,"OK")</f>
        <v>34</v>
      </c>
      <c r="F136" s="273">
        <f t="shared" ref="F136:I136" si="0">COUNTIF(F3:F135,"OK")</f>
        <v>7</v>
      </c>
      <c r="G136" s="273">
        <f t="shared" si="0"/>
        <v>1</v>
      </c>
      <c r="H136" s="273">
        <f t="shared" si="0"/>
        <v>6</v>
      </c>
      <c r="I136" s="273">
        <f t="shared" si="0"/>
        <v>3</v>
      </c>
    </row>
    <row r="137" spans="1:10" ht="14.4" x14ac:dyDescent="0.3">
      <c r="D137" s="307"/>
      <c r="E137" s="55"/>
      <c r="F137" s="55"/>
      <c r="G137" s="55"/>
      <c r="H137" s="55"/>
      <c r="I137" s="55"/>
    </row>
    <row r="138" spans="1:10" ht="14.4" x14ac:dyDescent="0.3">
      <c r="B138"/>
      <c r="J138" s="53" t="s">
        <v>903</v>
      </c>
    </row>
    <row r="139" spans="1:10" ht="15.6" x14ac:dyDescent="0.3">
      <c r="B139"/>
      <c r="C139" s="351" t="s">
        <v>904</v>
      </c>
      <c r="D139" s="352"/>
      <c r="E139" s="84">
        <v>30</v>
      </c>
      <c r="F139" s="84">
        <v>5</v>
      </c>
      <c r="G139" s="84">
        <v>4</v>
      </c>
      <c r="H139" s="13">
        <v>8</v>
      </c>
      <c r="I139" s="13">
        <v>8</v>
      </c>
    </row>
    <row r="140" spans="1:10" ht="14.4" x14ac:dyDescent="0.3">
      <c r="B140"/>
      <c r="E140" s="353" t="s">
        <v>905</v>
      </c>
      <c r="F140" s="353"/>
      <c r="G140" s="353"/>
      <c r="H140" s="353"/>
      <c r="I140" s="353"/>
    </row>
    <row r="141" spans="1:10" ht="14.4" x14ac:dyDescent="0.3">
      <c r="B141"/>
      <c r="E141" s="84">
        <f>COUNTIF(E3:E117,"OK")</f>
        <v>27</v>
      </c>
      <c r="F141" s="84">
        <f>COUNTIF(F3:F117,"OK")</f>
        <v>7</v>
      </c>
      <c r="G141" s="84">
        <f>COUNTIF(G3:G117,"OK")</f>
        <v>1</v>
      </c>
      <c r="H141" s="84">
        <f>COUNTIF(H3:H117,"OK")</f>
        <v>2</v>
      </c>
      <c r="I141" s="84">
        <f>COUNTIF(I3:I117,"OK")</f>
        <v>3</v>
      </c>
      <c r="J141" s="5"/>
    </row>
    <row r="142" spans="1:10" ht="15" customHeight="1" x14ac:dyDescent="0.3">
      <c r="E142" s="225" t="s">
        <v>820</v>
      </c>
      <c r="F142" s="225" t="s">
        <v>906</v>
      </c>
      <c r="G142" s="225" t="s">
        <v>907</v>
      </c>
      <c r="H142" s="225" t="s">
        <v>908</v>
      </c>
      <c r="I142" s="225" t="s">
        <v>909</v>
      </c>
    </row>
    <row r="143" spans="1:10" ht="14.4" x14ac:dyDescent="0.3">
      <c r="E143" s="354" t="s">
        <v>910</v>
      </c>
      <c r="F143" s="355"/>
      <c r="G143" s="355"/>
      <c r="H143" s="355"/>
      <c r="I143" s="356"/>
    </row>
    <row r="147" spans="5:5" ht="15" customHeight="1" x14ac:dyDescent="0.3">
      <c r="E147" s="16" t="s">
        <v>911</v>
      </c>
    </row>
    <row r="148" spans="5:5" ht="15" customHeight="1" x14ac:dyDescent="0.3">
      <c r="E148" s="16" t="s">
        <v>912</v>
      </c>
    </row>
    <row r="149" spans="5:5" ht="15" customHeight="1" x14ac:dyDescent="0.3">
      <c r="E149" s="16" t="s">
        <v>913</v>
      </c>
    </row>
    <row r="150" spans="5:5" ht="15" customHeight="1" x14ac:dyDescent="0.3">
      <c r="E150" s="16" t="s">
        <v>914</v>
      </c>
    </row>
    <row r="151" spans="5:5" ht="15" customHeight="1" x14ac:dyDescent="0.3">
      <c r="E151" s="16" t="s">
        <v>797</v>
      </c>
    </row>
  </sheetData>
  <autoFilter ref="A2:I136" xr:uid="{C353B099-8DF6-49F1-A501-522FCEA9C512}"/>
  <mergeCells count="4">
    <mergeCell ref="B1:I1"/>
    <mergeCell ref="C139:D139"/>
    <mergeCell ref="E140:I140"/>
    <mergeCell ref="E143:I143"/>
  </mergeCells>
  <conditionalFormatting sqref="C11">
    <cfRule type="expression" dxfId="831" priority="48">
      <formula>COUNTIF($A12:AB12, "NI")</formula>
    </cfRule>
  </conditionalFormatting>
  <conditionalFormatting sqref="C24:C25 C27:C33 C51:C54 C57:C58">
    <cfRule type="expression" dxfId="830" priority="28">
      <formula>COUNTIF($A24:AB24, "NI")</formula>
    </cfRule>
  </conditionalFormatting>
  <conditionalFormatting sqref="C34:C50">
    <cfRule type="expression" dxfId="829" priority="11">
      <formula>COUNTIF($B34:AA34, "A")</formula>
    </cfRule>
  </conditionalFormatting>
  <conditionalFormatting sqref="C55 C67:C69 C71:C72 C76:C81 C114 C133:C134 C34:C50 D111:D113">
    <cfRule type="expression" dxfId="828" priority="26">
      <formula>COUNTIF($A34:AA34, "NI")</formula>
    </cfRule>
  </conditionalFormatting>
  <conditionalFormatting sqref="C55 D111:D113 C133:C134">
    <cfRule type="expression" dxfId="827" priority="39">
      <formula>COUNTIF($B55:AA55, "C")</formula>
    </cfRule>
    <cfRule type="expression" dxfId="826" priority="40">
      <formula>COUNTIF($B55:AA55, "Q")</formula>
    </cfRule>
    <cfRule type="expression" dxfId="825" priority="41">
      <formula>COUNTIF($B55:AA55, "M")</formula>
    </cfRule>
    <cfRule type="expression" dxfId="824" priority="42">
      <formula>COUNTIF($B55:AA55, "A")</formula>
    </cfRule>
  </conditionalFormatting>
  <conditionalFormatting sqref="C64:C65 C115:D116 D117:D132">
    <cfRule type="expression" dxfId="823" priority="29">
      <formula>COUNTIF($B64:AA64, "C")</formula>
    </cfRule>
    <cfRule type="expression" dxfId="822" priority="30">
      <formula>COUNTIF($B64:AA64, "Q")</formula>
    </cfRule>
    <cfRule type="expression" dxfId="821" priority="31">
      <formula>COUNTIF($B64:AA64, "M")</formula>
    </cfRule>
    <cfRule type="expression" dxfId="820" priority="32">
      <formula>COUNTIF($B64:AA64, "A")</formula>
    </cfRule>
    <cfRule type="expression" dxfId="819" priority="33">
      <formula>COUNTIF($A64:AA64, "NI")</formula>
    </cfRule>
  </conditionalFormatting>
  <conditionalFormatting sqref="C142:C1048576 C133:C137 C1:C2 C14:C25 C11 C51:C114 C27:C33">
    <cfRule type="duplicateValues" dxfId="818" priority="21"/>
  </conditionalFormatting>
  <conditionalFormatting sqref="C4:D4">
    <cfRule type="expression" dxfId="817" priority="12">
      <formula>COUNTIF($B4:AA4, "C")</formula>
    </cfRule>
    <cfRule type="expression" dxfId="816" priority="13">
      <formula>COUNTIF($B4:AA4, "Q")</formula>
    </cfRule>
    <cfRule type="expression" dxfId="815" priority="14">
      <formula>COUNTIF($B4:AA4, "M")</formula>
    </cfRule>
    <cfRule type="expression" dxfId="814" priority="15">
      <formula>COUNTIF($B4:AA4, "A")</formula>
    </cfRule>
    <cfRule type="expression" dxfId="813" priority="16">
      <formula>COUNTIF($A4:AA4, "NI")</formula>
    </cfRule>
  </conditionalFormatting>
  <conditionalFormatting sqref="C7:D7">
    <cfRule type="expression" dxfId="812" priority="6">
      <formula>COUNTIF($B7:AA7, "C")</formula>
    </cfRule>
    <cfRule type="expression" dxfId="811" priority="7">
      <formula>COUNTIF($B7:AA7, "Q")</formula>
    </cfRule>
    <cfRule type="expression" dxfId="810" priority="8">
      <formula>COUNTIF($B7:AA7, "M")</formula>
    </cfRule>
    <cfRule type="expression" dxfId="809" priority="9">
      <formula>COUNTIF($B7:AA7, "A")</formula>
    </cfRule>
    <cfRule type="expression" dxfId="808" priority="10">
      <formula>COUNTIF($A7:AA7, "NI")</formula>
    </cfRule>
  </conditionalFormatting>
  <conditionalFormatting sqref="C26:D26">
    <cfRule type="expression" dxfId="807" priority="1">
      <formula>COUNTIF($B26:AA26, "C")</formula>
    </cfRule>
    <cfRule type="expression" dxfId="806" priority="2">
      <formula>COUNTIF($B26:AA26, "Q")</formula>
    </cfRule>
    <cfRule type="expression" dxfId="805" priority="3">
      <formula>COUNTIF($B26:AA26, "M")</formula>
    </cfRule>
    <cfRule type="expression" dxfId="804" priority="4">
      <formula>COUNTIF($B26:AA26, "A")</formula>
    </cfRule>
    <cfRule type="expression" dxfId="803" priority="5">
      <formula>COUNTIF($A26:AA26, "NI")</formula>
    </cfRule>
  </conditionalFormatting>
  <conditionalFormatting sqref="C110:D110">
    <cfRule type="expression" dxfId="802" priority="22">
      <formula>COUNTIF($B110:AA110, "C")</formula>
    </cfRule>
    <cfRule type="expression" dxfId="801" priority="23">
      <formula>COUNTIF($B110:AA110, "Q")</formula>
    </cfRule>
    <cfRule type="expression" dxfId="800" priority="24">
      <formula>COUNTIF($B110:AA110, "M")</formula>
    </cfRule>
    <cfRule type="expression" dxfId="799" priority="25">
      <formula>COUNTIF($B110:AA110, "A")</formula>
    </cfRule>
    <cfRule type="expression" dxfId="798" priority="27">
      <formula>COUNTIF($A110:AA110, "NI")</formula>
    </cfRule>
  </conditionalFormatting>
  <conditionalFormatting sqref="D3 J3:J5 D5:D6 D9:D12 D14:D25 D27:D102 D114">
    <cfRule type="expression" dxfId="797" priority="34">
      <formula>COUNTIF($B3:AD3, "C")</formula>
    </cfRule>
    <cfRule type="expression" dxfId="796" priority="35">
      <formula>COUNTIF($B3:AD3, "Q")</formula>
    </cfRule>
    <cfRule type="expression" dxfId="795" priority="36">
      <formula>COUNTIF($B3:AD3, "M")</formula>
    </cfRule>
    <cfRule type="expression" dxfId="794" priority="37">
      <formula>COUNTIF($B3:AD3, "A")</formula>
    </cfRule>
    <cfRule type="expression" dxfId="793" priority="38">
      <formula>COUNTIF($A3:AD3, "NI")</formula>
    </cfRule>
  </conditionalFormatting>
  <conditionalFormatting sqref="D103:D104">
    <cfRule type="expression" dxfId="792" priority="43">
      <formula>COUNTIF($B135:AD135, "C")</formula>
    </cfRule>
    <cfRule type="expression" dxfId="791" priority="44">
      <formula>COUNTIF($B135:AD135, "Q")</formula>
    </cfRule>
    <cfRule type="expression" dxfId="790" priority="45">
      <formula>COUNTIF($B135:AD135, "M")</formula>
    </cfRule>
    <cfRule type="expression" dxfId="789" priority="46">
      <formula>COUNTIF($B135:AD135, "A")</formula>
    </cfRule>
    <cfRule type="expression" dxfId="788" priority="47">
      <formula>COUNTIF($A135:AD135, "NI")</formula>
    </cfRule>
  </conditionalFormatting>
  <conditionalFormatting sqref="D105:D109">
    <cfRule type="expression" dxfId="787" priority="49">
      <formula>COUNTIF($B138:AD138, "C")</formula>
    </cfRule>
    <cfRule type="expression" dxfId="786" priority="50">
      <formula>COUNTIF($B138:AD138, "Q")</formula>
    </cfRule>
    <cfRule type="expression" dxfId="785" priority="51">
      <formula>COUNTIF($B138:AD138, "M")</formula>
    </cfRule>
    <cfRule type="expression" dxfId="784" priority="52">
      <formula>COUNTIF($B138:AD138, "A")</formula>
    </cfRule>
    <cfRule type="expression" dxfId="783" priority="53">
      <formula>COUNTIF($A138:AD138, "NI")</formula>
    </cfRule>
  </conditionalFormatting>
  <conditionalFormatting sqref="E141">
    <cfRule type="cellIs" dxfId="782" priority="18" operator="lessThan">
      <formula>$E$139</formula>
    </cfRule>
  </conditionalFormatting>
  <conditionalFormatting sqref="F141">
    <cfRule type="cellIs" dxfId="781" priority="20" operator="lessThan">
      <formula>$F$139</formula>
    </cfRule>
  </conditionalFormatting>
  <conditionalFormatting sqref="G141">
    <cfRule type="cellIs" dxfId="780" priority="19" operator="lessThan">
      <formula>$G$139</formula>
    </cfRule>
  </conditionalFormatting>
  <conditionalFormatting sqref="H141:I141">
    <cfRule type="cellIs" dxfId="779" priority="17" operator="lessThan">
      <formula>$H$139</formula>
    </cfRule>
  </conditionalFormatting>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A542-9BC1-4843-B300-896A1612654B}">
  <sheetPr>
    <tabColor rgb="FF92D050"/>
  </sheetPr>
  <dimension ref="A1:J180"/>
  <sheetViews>
    <sheetView workbookViewId="0">
      <pane ySplit="2" topLeftCell="A3" activePane="bottomLeft" state="frozen"/>
      <selection activeCell="B1" sqref="B1"/>
      <selection pane="bottomLeft" activeCell="I164" sqref="E3:I164"/>
    </sheetView>
  </sheetViews>
  <sheetFormatPr baseColWidth="10" defaultColWidth="57.33203125" defaultRowHeight="15" customHeight="1" x14ac:dyDescent="0.3"/>
  <cols>
    <col min="1" max="1" width="4.44140625" bestFit="1" customWidth="1"/>
    <col min="2" max="2" width="8" style="81" bestFit="1" customWidth="1"/>
    <col min="3" max="3" width="48.5546875" bestFit="1" customWidth="1"/>
    <col min="4" max="4" width="6.109375" customWidth="1"/>
    <col min="5" max="5" width="19.6640625" style="16" customWidth="1"/>
    <col min="6" max="6" width="22" style="16" customWidth="1"/>
    <col min="7" max="7" width="23.109375" style="16" hidden="1" customWidth="1"/>
    <col min="8" max="8" width="25" customWidth="1"/>
    <col min="9" max="9" width="26" bestFit="1" customWidth="1"/>
  </cols>
  <sheetData>
    <row r="1" spans="1:10" ht="32.25" customHeight="1" x14ac:dyDescent="0.35">
      <c r="A1" s="1"/>
      <c r="B1" s="350" t="s">
        <v>816</v>
      </c>
      <c r="C1" s="350"/>
      <c r="D1" s="350"/>
      <c r="E1" s="350"/>
      <c r="F1" s="350"/>
      <c r="G1" s="350"/>
      <c r="H1" s="350"/>
      <c r="I1" s="350"/>
      <c r="J1" s="102" t="s">
        <v>817</v>
      </c>
    </row>
    <row r="2" spans="1:10" ht="14.4" x14ac:dyDescent="0.3">
      <c r="A2" s="33" t="s">
        <v>818</v>
      </c>
      <c r="B2" s="200" t="s">
        <v>819</v>
      </c>
      <c r="C2" s="201" t="s">
        <v>739</v>
      </c>
      <c r="D2" s="203" t="s">
        <v>740</v>
      </c>
      <c r="E2" s="202" t="s">
        <v>820</v>
      </c>
      <c r="F2" s="202" t="s">
        <v>821</v>
      </c>
      <c r="G2" s="202" t="s">
        <v>822</v>
      </c>
      <c r="H2" s="203" t="s">
        <v>823</v>
      </c>
      <c r="I2" s="203" t="s">
        <v>824</v>
      </c>
      <c r="J2" s="33"/>
    </row>
    <row r="3" spans="1:10" ht="14.4" customHeight="1" x14ac:dyDescent="0.3">
      <c r="A3" s="76"/>
      <c r="B3" s="145" t="s">
        <v>241</v>
      </c>
      <c r="C3" s="9" t="s">
        <v>831</v>
      </c>
      <c r="D3" s="120">
        <v>21</v>
      </c>
      <c r="E3" s="15"/>
      <c r="F3" s="143"/>
      <c r="G3" s="15"/>
      <c r="H3" s="204"/>
      <c r="I3" s="204"/>
      <c r="J3" s="9"/>
    </row>
    <row r="4" spans="1:10" ht="14.4" customHeight="1" x14ac:dyDescent="0.3">
      <c r="A4" s="76"/>
      <c r="B4" s="145" t="s">
        <v>241</v>
      </c>
      <c r="C4" s="1" t="s">
        <v>393</v>
      </c>
      <c r="D4" s="1">
        <v>20</v>
      </c>
      <c r="E4" s="15"/>
      <c r="F4" s="143"/>
      <c r="G4" s="143"/>
      <c r="H4" s="143"/>
      <c r="I4" s="143"/>
      <c r="J4" s="146"/>
    </row>
    <row r="5" spans="1:10" ht="14.4" customHeight="1" x14ac:dyDescent="0.3">
      <c r="A5" s="76"/>
      <c r="B5" s="145" t="s">
        <v>915</v>
      </c>
      <c r="C5" s="210" t="s">
        <v>916</v>
      </c>
      <c r="D5" s="318">
        <v>25</v>
      </c>
      <c r="E5" s="15"/>
      <c r="F5" s="143"/>
      <c r="G5" s="143"/>
      <c r="H5" s="143"/>
      <c r="I5" s="143"/>
      <c r="J5" s="146"/>
    </row>
    <row r="6" spans="1:10" ht="14.4" customHeight="1" x14ac:dyDescent="0.3">
      <c r="A6" s="76"/>
      <c r="B6" s="145" t="s">
        <v>917</v>
      </c>
      <c r="C6" s="314" t="s">
        <v>891</v>
      </c>
      <c r="D6" s="314">
        <v>24</v>
      </c>
      <c r="E6" s="15"/>
      <c r="F6" s="143"/>
      <c r="G6" s="15"/>
      <c r="H6" s="143"/>
      <c r="I6" s="143"/>
      <c r="J6" s="146"/>
    </row>
    <row r="7" spans="1:10" ht="14.4" customHeight="1" x14ac:dyDescent="0.3">
      <c r="A7" s="76"/>
      <c r="B7" s="145" t="s">
        <v>918</v>
      </c>
      <c r="C7" s="243" t="s">
        <v>893</v>
      </c>
      <c r="D7" s="243">
        <v>24</v>
      </c>
      <c r="E7" s="15"/>
      <c r="F7" s="143"/>
      <c r="G7" s="15"/>
      <c r="H7" s="143"/>
      <c r="I7" s="143"/>
      <c r="J7" s="146"/>
    </row>
    <row r="8" spans="1:10" ht="14.4" customHeight="1" x14ac:dyDescent="0.3">
      <c r="A8" s="76"/>
      <c r="B8" s="145" t="s">
        <v>917</v>
      </c>
      <c r="C8" s="1" t="s">
        <v>379</v>
      </c>
      <c r="D8" s="28">
        <v>18</v>
      </c>
      <c r="E8" s="15"/>
      <c r="F8" s="143"/>
      <c r="G8" s="15"/>
      <c r="H8" s="143"/>
      <c r="I8" s="204"/>
      <c r="J8" s="146" t="s">
        <v>919</v>
      </c>
    </row>
    <row r="9" spans="1:10" ht="14.4" customHeight="1" x14ac:dyDescent="0.3">
      <c r="A9" s="76"/>
      <c r="B9" s="145" t="s">
        <v>918</v>
      </c>
      <c r="C9" s="182" t="s">
        <v>920</v>
      </c>
      <c r="D9" s="314">
        <v>24</v>
      </c>
      <c r="E9" s="15"/>
      <c r="F9" s="143"/>
      <c r="G9" s="15"/>
      <c r="H9" s="143"/>
      <c r="I9" s="143"/>
      <c r="J9" s="9"/>
    </row>
    <row r="10" spans="1:10" ht="14.4" customHeight="1" x14ac:dyDescent="0.3">
      <c r="A10" s="76"/>
      <c r="B10" s="145" t="s">
        <v>241</v>
      </c>
      <c r="C10" s="9" t="s">
        <v>41</v>
      </c>
      <c r="D10" s="239">
        <v>11</v>
      </c>
      <c r="E10" s="15"/>
      <c r="F10" s="143"/>
      <c r="G10" s="15"/>
      <c r="H10" s="143"/>
      <c r="I10" s="204"/>
      <c r="J10" s="146"/>
    </row>
    <row r="11" spans="1:10" ht="14.4" customHeight="1" x14ac:dyDescent="0.3">
      <c r="A11" s="76"/>
      <c r="B11" s="145" t="s">
        <v>921</v>
      </c>
      <c r="C11" s="182" t="s">
        <v>895</v>
      </c>
      <c r="D11" s="314">
        <v>24</v>
      </c>
      <c r="E11" s="15"/>
      <c r="F11" s="143"/>
      <c r="G11" s="15"/>
      <c r="H11" s="143"/>
      <c r="I11" s="143"/>
      <c r="J11" s="9"/>
    </row>
    <row r="12" spans="1:10" ht="14.4" customHeight="1" x14ac:dyDescent="0.3">
      <c r="A12" s="76"/>
      <c r="B12" s="145" t="s">
        <v>917</v>
      </c>
      <c r="C12" s="9" t="s">
        <v>394</v>
      </c>
      <c r="D12" s="120">
        <v>20</v>
      </c>
      <c r="E12" s="15"/>
      <c r="F12" s="143"/>
      <c r="G12" s="15"/>
      <c r="H12" s="143"/>
      <c r="I12" s="143"/>
      <c r="J12" s="9"/>
    </row>
    <row r="13" spans="1:10" ht="14.4" customHeight="1" x14ac:dyDescent="0.3">
      <c r="A13" s="76"/>
      <c r="B13" s="145" t="s">
        <v>922</v>
      </c>
      <c r="C13" s="1" t="s">
        <v>332</v>
      </c>
      <c r="D13" s="1">
        <f>+VLOOKUP(C13,'GRADUADOS '!$A$2:$B$230,2,0)</f>
        <v>15</v>
      </c>
      <c r="E13" s="80"/>
      <c r="F13" s="143"/>
      <c r="G13" s="15"/>
      <c r="H13" s="143"/>
      <c r="I13" s="143"/>
    </row>
    <row r="14" spans="1:10" ht="14.4" customHeight="1" x14ac:dyDescent="0.3">
      <c r="A14" s="76"/>
      <c r="B14" s="145" t="s">
        <v>918</v>
      </c>
      <c r="C14" s="210" t="s">
        <v>854</v>
      </c>
      <c r="D14" s="120">
        <v>22</v>
      </c>
      <c r="E14" s="80"/>
      <c r="F14" s="143"/>
      <c r="G14" s="15"/>
      <c r="H14" s="143"/>
      <c r="I14" s="143"/>
    </row>
    <row r="15" spans="1:10" ht="14.4" customHeight="1" x14ac:dyDescent="0.3">
      <c r="A15" s="76"/>
      <c r="B15" s="145" t="s">
        <v>917</v>
      </c>
      <c r="C15" s="318" t="s">
        <v>847</v>
      </c>
      <c r="D15" s="120">
        <v>22</v>
      </c>
      <c r="E15" s="15"/>
      <c r="F15" s="143"/>
      <c r="G15" s="15"/>
      <c r="H15" s="143"/>
      <c r="I15" s="204"/>
      <c r="J15" s="9"/>
    </row>
    <row r="16" spans="1:10" ht="14.4" customHeight="1" x14ac:dyDescent="0.3">
      <c r="A16" s="76"/>
      <c r="B16" s="145" t="s">
        <v>915</v>
      </c>
      <c r="C16" s="214" t="s">
        <v>869</v>
      </c>
      <c r="D16" s="120">
        <v>23</v>
      </c>
      <c r="E16" s="15"/>
      <c r="F16" s="143"/>
      <c r="G16" s="15"/>
      <c r="H16" s="143"/>
      <c r="I16" s="143"/>
      <c r="J16" s="9"/>
    </row>
    <row r="17" spans="1:10" ht="14.4" customHeight="1" x14ac:dyDescent="0.3">
      <c r="A17" s="76"/>
      <c r="B17" s="145" t="s">
        <v>921</v>
      </c>
      <c r="C17" s="182" t="s">
        <v>885</v>
      </c>
      <c r="D17" s="314">
        <v>24</v>
      </c>
      <c r="E17" s="15"/>
      <c r="F17" s="143"/>
      <c r="G17" s="15"/>
      <c r="H17" s="143"/>
      <c r="I17" s="143"/>
      <c r="J17" s="9"/>
    </row>
    <row r="18" spans="1:10" ht="14.4" customHeight="1" x14ac:dyDescent="0.3">
      <c r="A18" s="76"/>
      <c r="B18" s="145" t="s">
        <v>915</v>
      </c>
      <c r="C18" s="210" t="s">
        <v>840</v>
      </c>
      <c r="D18" s="120">
        <v>22</v>
      </c>
      <c r="E18" s="15"/>
      <c r="F18" s="143"/>
      <c r="G18" s="15"/>
      <c r="H18" s="204"/>
      <c r="I18" s="204"/>
      <c r="J18" s="9"/>
    </row>
    <row r="19" spans="1:10" ht="14.4" customHeight="1" x14ac:dyDescent="0.3">
      <c r="A19" s="76"/>
      <c r="B19" s="145" t="s">
        <v>921</v>
      </c>
      <c r="C19" s="210" t="s">
        <v>855</v>
      </c>
      <c r="D19" s="120">
        <v>22</v>
      </c>
      <c r="E19" s="15"/>
      <c r="F19" s="143"/>
      <c r="G19" s="15"/>
      <c r="H19" s="204"/>
      <c r="I19" s="204"/>
      <c r="J19" s="9"/>
    </row>
    <row r="20" spans="1:10" ht="14.4" customHeight="1" x14ac:dyDescent="0.3">
      <c r="A20" s="76"/>
      <c r="B20" s="145" t="s">
        <v>917</v>
      </c>
      <c r="C20" s="182" t="s">
        <v>896</v>
      </c>
      <c r="D20" s="314">
        <v>24</v>
      </c>
      <c r="E20" s="15"/>
      <c r="F20" s="143"/>
      <c r="G20" s="15"/>
      <c r="H20" s="143"/>
      <c r="I20" s="143"/>
      <c r="J20" s="9"/>
    </row>
    <row r="21" spans="1:10" ht="14.4" customHeight="1" x14ac:dyDescent="0.3">
      <c r="A21" s="76"/>
      <c r="B21" s="145" t="s">
        <v>241</v>
      </c>
      <c r="C21" s="9" t="s">
        <v>385</v>
      </c>
      <c r="D21" s="120">
        <f>+VLOOKUP(C21,'GRADUADOS '!$A$2:$B$230,2,0)</f>
        <v>19</v>
      </c>
      <c r="E21" s="15"/>
      <c r="F21" s="143"/>
      <c r="G21" s="15"/>
      <c r="H21" s="204"/>
      <c r="I21" s="204"/>
      <c r="J21" s="9"/>
    </row>
    <row r="22" spans="1:10" ht="14.4" customHeight="1" x14ac:dyDescent="0.3">
      <c r="A22" s="76"/>
      <c r="B22" s="145" t="s">
        <v>922</v>
      </c>
      <c r="C22" s="182" t="s">
        <v>894</v>
      </c>
      <c r="D22" s="314">
        <v>24</v>
      </c>
      <c r="E22" s="15"/>
      <c r="F22" s="15"/>
      <c r="G22" s="15"/>
      <c r="H22" s="15"/>
      <c r="I22" s="15"/>
      <c r="J22" s="9"/>
    </row>
    <row r="23" spans="1:10" ht="14.4" customHeight="1" x14ac:dyDescent="0.3">
      <c r="A23" s="76"/>
      <c r="B23" s="145" t="s">
        <v>922</v>
      </c>
      <c r="C23" s="162" t="s">
        <v>825</v>
      </c>
      <c r="D23" s="120">
        <v>9</v>
      </c>
      <c r="E23" s="15"/>
      <c r="F23" s="143"/>
      <c r="G23" s="15"/>
      <c r="H23" s="204"/>
      <c r="I23" s="204"/>
      <c r="J23" s="9"/>
    </row>
    <row r="24" spans="1:10" ht="14.4" customHeight="1" x14ac:dyDescent="0.3">
      <c r="A24" s="76"/>
      <c r="B24" s="145" t="s">
        <v>915</v>
      </c>
      <c r="C24" s="9" t="s">
        <v>145</v>
      </c>
      <c r="D24" s="146">
        <v>20</v>
      </c>
      <c r="E24" s="142"/>
      <c r="F24" s="142"/>
      <c r="G24" s="142"/>
      <c r="H24" s="142"/>
      <c r="I24" s="326"/>
      <c r="J24" s="9"/>
    </row>
    <row r="25" spans="1:10" ht="14.4" customHeight="1" x14ac:dyDescent="0.3">
      <c r="A25" s="76"/>
      <c r="B25" s="145" t="s">
        <v>921</v>
      </c>
      <c r="C25" s="210" t="s">
        <v>923</v>
      </c>
      <c r="D25" s="319">
        <v>25</v>
      </c>
      <c r="E25" s="142"/>
      <c r="F25" s="143"/>
      <c r="G25" s="15"/>
      <c r="H25" s="143"/>
      <c r="I25" s="143"/>
      <c r="J25" s="79"/>
    </row>
    <row r="26" spans="1:10" ht="14.4" customHeight="1" x14ac:dyDescent="0.3">
      <c r="A26" s="76"/>
      <c r="B26" s="145" t="s">
        <v>915</v>
      </c>
      <c r="C26" s="315" t="s">
        <v>848</v>
      </c>
      <c r="D26" s="1">
        <v>22</v>
      </c>
      <c r="F26" s="143"/>
      <c r="G26" s="15"/>
      <c r="H26" s="143"/>
      <c r="I26" s="204"/>
      <c r="J26" s="79"/>
    </row>
    <row r="27" spans="1:10" ht="14.4" customHeight="1" x14ac:dyDescent="0.3">
      <c r="A27" s="76"/>
      <c r="B27" s="145" t="s">
        <v>917</v>
      </c>
      <c r="C27" s="182" t="s">
        <v>901</v>
      </c>
      <c r="D27" s="284">
        <v>24</v>
      </c>
      <c r="E27" s="141"/>
      <c r="F27" s="143"/>
      <c r="G27" s="15"/>
      <c r="H27" s="143"/>
      <c r="I27" s="143"/>
      <c r="J27" s="9"/>
    </row>
    <row r="28" spans="1:10" ht="14.4" customHeight="1" x14ac:dyDescent="0.3">
      <c r="A28" s="76"/>
      <c r="B28" s="145" t="s">
        <v>917</v>
      </c>
      <c r="C28" s="210" t="s">
        <v>924</v>
      </c>
      <c r="D28" s="319">
        <v>25</v>
      </c>
      <c r="E28" s="142"/>
      <c r="F28" s="143"/>
      <c r="G28" s="15"/>
      <c r="H28" s="143"/>
      <c r="I28" s="143"/>
      <c r="J28" s="9"/>
    </row>
    <row r="29" spans="1:10" ht="14.4" customHeight="1" x14ac:dyDescent="0.3">
      <c r="A29" s="76"/>
      <c r="B29" s="145" t="s">
        <v>922</v>
      </c>
      <c r="C29" s="319" t="s">
        <v>841</v>
      </c>
      <c r="D29" s="146">
        <v>22</v>
      </c>
      <c r="E29" s="142"/>
      <c r="F29" s="143"/>
      <c r="G29" s="15"/>
      <c r="H29" s="204"/>
      <c r="I29" s="204"/>
      <c r="J29" s="9"/>
    </row>
    <row r="30" spans="1:10" ht="15.6" x14ac:dyDescent="0.3">
      <c r="A30" s="76"/>
      <c r="B30" s="145" t="s">
        <v>915</v>
      </c>
      <c r="C30" s="319" t="s">
        <v>925</v>
      </c>
      <c r="D30" s="319">
        <v>25</v>
      </c>
      <c r="E30" s="142"/>
      <c r="F30" s="143"/>
      <c r="G30" s="15"/>
      <c r="H30" s="143"/>
      <c r="I30" s="143"/>
      <c r="J30" s="9"/>
    </row>
    <row r="31" spans="1:10" ht="15.6" x14ac:dyDescent="0.3">
      <c r="A31" s="76"/>
      <c r="B31" s="145" t="s">
        <v>922</v>
      </c>
      <c r="C31" s="284" t="s">
        <v>884</v>
      </c>
      <c r="D31" s="284">
        <v>24</v>
      </c>
      <c r="E31" s="141"/>
      <c r="F31" s="28"/>
      <c r="G31" s="28"/>
      <c r="H31" s="28"/>
      <c r="I31" s="28"/>
      <c r="J31" s="79"/>
    </row>
    <row r="32" spans="1:10" ht="14.4" x14ac:dyDescent="0.3">
      <c r="A32" s="76"/>
      <c r="B32" s="145" t="s">
        <v>922</v>
      </c>
      <c r="C32" s="313" t="s">
        <v>423</v>
      </c>
      <c r="D32" s="146">
        <v>23</v>
      </c>
      <c r="E32" s="141"/>
      <c r="F32" s="141"/>
      <c r="G32" s="141"/>
      <c r="H32" s="141"/>
      <c r="I32" s="141"/>
      <c r="J32" s="79"/>
    </row>
    <row r="33" spans="1:10" ht="15.6" x14ac:dyDescent="0.3">
      <c r="A33" s="76"/>
      <c r="B33" s="145" t="s">
        <v>922</v>
      </c>
      <c r="C33" s="284" t="s">
        <v>899</v>
      </c>
      <c r="D33" s="284">
        <v>24</v>
      </c>
      <c r="E33" s="141"/>
      <c r="F33" s="141"/>
      <c r="G33" s="141"/>
      <c r="H33" s="141"/>
      <c r="I33" s="141"/>
      <c r="J33" s="79"/>
    </row>
    <row r="34" spans="1:10" ht="15.6" x14ac:dyDescent="0.3">
      <c r="A34" s="76"/>
      <c r="B34" s="145" t="s">
        <v>922</v>
      </c>
      <c r="C34" s="319" t="s">
        <v>926</v>
      </c>
      <c r="D34" s="319">
        <v>25</v>
      </c>
      <c r="E34" s="143"/>
      <c r="F34" s="143"/>
      <c r="G34" s="143"/>
      <c r="H34" s="143"/>
      <c r="I34" s="143"/>
      <c r="J34" s="79"/>
    </row>
    <row r="35" spans="1:10" ht="14.4" x14ac:dyDescent="0.3">
      <c r="A35" s="76"/>
      <c r="B35" s="145" t="s">
        <v>917</v>
      </c>
      <c r="C35" s="313" t="s">
        <v>876</v>
      </c>
      <c r="D35" s="146">
        <v>23</v>
      </c>
      <c r="E35" s="143"/>
      <c r="F35" s="143"/>
      <c r="G35" s="143"/>
      <c r="H35" s="143"/>
      <c r="I35" s="143"/>
      <c r="J35" s="79"/>
    </row>
    <row r="36" spans="1:10" ht="15.6" x14ac:dyDescent="0.3">
      <c r="A36" s="76"/>
      <c r="B36" s="145" t="s">
        <v>921</v>
      </c>
      <c r="C36" s="315" t="s">
        <v>927</v>
      </c>
      <c r="D36" s="319">
        <v>25</v>
      </c>
      <c r="E36" s="143"/>
      <c r="F36" s="143"/>
      <c r="G36" s="143"/>
      <c r="H36" s="143"/>
      <c r="I36" s="239"/>
      <c r="J36" s="79"/>
    </row>
    <row r="37" spans="1:10" ht="14.4" x14ac:dyDescent="0.3">
      <c r="A37" s="76"/>
      <c r="B37" s="145" t="s">
        <v>921</v>
      </c>
      <c r="C37" s="234" t="s">
        <v>864</v>
      </c>
      <c r="D37" s="146">
        <v>23</v>
      </c>
      <c r="E37" s="143"/>
      <c r="F37" s="143"/>
      <c r="G37" s="143"/>
      <c r="H37" s="143"/>
      <c r="I37" s="239"/>
      <c r="J37" s="79"/>
    </row>
    <row r="38" spans="1:10" ht="15.6" x14ac:dyDescent="0.3">
      <c r="A38" s="76"/>
      <c r="B38" s="145" t="s">
        <v>917</v>
      </c>
      <c r="C38" s="243" t="s">
        <v>886</v>
      </c>
      <c r="D38" s="284">
        <v>24</v>
      </c>
      <c r="E38" s="143"/>
      <c r="F38" s="143"/>
      <c r="G38" s="143"/>
      <c r="H38" s="143"/>
      <c r="I38" s="239"/>
      <c r="J38" s="79"/>
    </row>
    <row r="39" spans="1:10" ht="14.4" x14ac:dyDescent="0.3">
      <c r="A39" s="76"/>
      <c r="B39" s="145" t="s">
        <v>917</v>
      </c>
      <c r="C39" s="317" t="s">
        <v>870</v>
      </c>
      <c r="D39" s="146">
        <v>23</v>
      </c>
      <c r="E39" s="143"/>
      <c r="F39" s="143"/>
      <c r="G39" s="143"/>
      <c r="H39" s="143"/>
      <c r="I39" s="239"/>
      <c r="J39" s="79"/>
    </row>
    <row r="40" spans="1:10" ht="14.4" x14ac:dyDescent="0.3">
      <c r="A40" s="76"/>
      <c r="B40" s="145" t="s">
        <v>241</v>
      </c>
      <c r="C40" s="1" t="s">
        <v>128</v>
      </c>
      <c r="D40" s="146">
        <v>18</v>
      </c>
      <c r="E40" s="143"/>
      <c r="F40" s="143"/>
      <c r="G40" s="143"/>
      <c r="H40" s="143"/>
      <c r="I40" s="239"/>
      <c r="J40" s="79"/>
    </row>
    <row r="41" spans="1:10" ht="14.4" x14ac:dyDescent="0.3">
      <c r="A41" s="76"/>
      <c r="B41" s="145" t="s">
        <v>921</v>
      </c>
      <c r="C41" s="193" t="s">
        <v>387</v>
      </c>
      <c r="D41" s="146">
        <v>23</v>
      </c>
      <c r="E41" s="143"/>
      <c r="F41" s="143"/>
      <c r="G41" s="143"/>
      <c r="H41" s="143"/>
      <c r="I41" s="239"/>
      <c r="J41" s="79"/>
    </row>
    <row r="42" spans="1:10" ht="14.4" x14ac:dyDescent="0.3">
      <c r="A42" s="76"/>
      <c r="B42" s="145" t="s">
        <v>915</v>
      </c>
      <c r="C42" s="1" t="s">
        <v>175</v>
      </c>
      <c r="D42" s="146">
        <f>+VLOOKUP(C42,'GRADUADOS '!$A$2:$B$230,2,0)</f>
        <v>19</v>
      </c>
      <c r="E42" s="143"/>
      <c r="F42" s="143"/>
      <c r="G42" s="143"/>
      <c r="H42" s="204"/>
      <c r="I42" s="120"/>
      <c r="J42" s="79"/>
    </row>
    <row r="43" spans="1:10" ht="15.6" x14ac:dyDescent="0.3">
      <c r="A43" s="76"/>
      <c r="B43" s="145" t="s">
        <v>915</v>
      </c>
      <c r="C43" s="243" t="s">
        <v>928</v>
      </c>
      <c r="D43" s="284">
        <v>24</v>
      </c>
      <c r="E43" s="143"/>
      <c r="F43" s="143"/>
      <c r="G43" s="143"/>
      <c r="H43" s="143"/>
      <c r="I43" s="239"/>
      <c r="J43" s="79"/>
    </row>
    <row r="44" spans="1:10" ht="15.6" x14ac:dyDescent="0.3">
      <c r="A44" s="76"/>
      <c r="B44" s="145" t="s">
        <v>922</v>
      </c>
      <c r="C44" s="315" t="s">
        <v>929</v>
      </c>
      <c r="D44" s="319">
        <v>25</v>
      </c>
      <c r="E44" s="143"/>
      <c r="F44" s="143"/>
      <c r="G44" s="143"/>
      <c r="H44" s="143"/>
      <c r="I44" s="239"/>
      <c r="J44" s="79"/>
    </row>
    <row r="45" spans="1:10" ht="14.4" x14ac:dyDescent="0.3">
      <c r="A45" s="76"/>
      <c r="B45" s="145" t="s">
        <v>922</v>
      </c>
      <c r="C45" s="193" t="s">
        <v>293</v>
      </c>
      <c r="D45" s="146">
        <f>+VLOOKUP(C45,'GRADUADOS '!$A$2:$B$230,2,0)</f>
        <v>12</v>
      </c>
      <c r="E45" s="143"/>
      <c r="F45" s="143"/>
      <c r="G45" s="143"/>
      <c r="H45" s="143"/>
      <c r="I45" s="120"/>
      <c r="J45" s="79"/>
    </row>
    <row r="46" spans="1:10" ht="14.4" x14ac:dyDescent="0.3">
      <c r="A46" s="76"/>
      <c r="B46" s="145" t="s">
        <v>921</v>
      </c>
      <c r="C46" s="234" t="s">
        <v>873</v>
      </c>
      <c r="D46" s="146">
        <v>23</v>
      </c>
      <c r="E46" s="143"/>
      <c r="F46" s="143"/>
      <c r="G46" s="143"/>
      <c r="H46" s="143"/>
      <c r="I46" s="239"/>
      <c r="J46" s="79"/>
    </row>
    <row r="47" spans="1:10" ht="14.4" x14ac:dyDescent="0.3">
      <c r="A47" s="76"/>
      <c r="B47" s="145" t="s">
        <v>918</v>
      </c>
      <c r="C47" s="1" t="s">
        <v>395</v>
      </c>
      <c r="D47" s="146">
        <v>20</v>
      </c>
      <c r="E47" s="143"/>
      <c r="F47" s="143"/>
      <c r="G47" s="143"/>
      <c r="H47" s="143"/>
      <c r="I47" s="239"/>
      <c r="J47" s="79"/>
    </row>
    <row r="48" spans="1:10" ht="14.4" x14ac:dyDescent="0.3">
      <c r="A48" s="76"/>
      <c r="B48" s="145" t="s">
        <v>918</v>
      </c>
      <c r="C48" s="193" t="s">
        <v>284</v>
      </c>
      <c r="D48" s="146">
        <f>+VLOOKUP(C48,'GRADUADOS '!$A$2:$B$230,2,0)</f>
        <v>11</v>
      </c>
      <c r="E48" s="143"/>
      <c r="F48" s="143"/>
      <c r="G48" s="143"/>
      <c r="H48" s="143"/>
      <c r="I48" s="120"/>
      <c r="J48" s="79"/>
    </row>
    <row r="49" spans="1:10" ht="15.6" x14ac:dyDescent="0.3">
      <c r="A49" s="76"/>
      <c r="B49" s="145" t="s">
        <v>918</v>
      </c>
      <c r="C49" s="316" t="s">
        <v>930</v>
      </c>
      <c r="D49" s="284">
        <v>25</v>
      </c>
      <c r="E49" s="143"/>
      <c r="F49" s="143"/>
      <c r="G49" s="143"/>
      <c r="H49" s="143"/>
      <c r="I49" s="239"/>
      <c r="J49" s="79"/>
    </row>
    <row r="50" spans="1:10" ht="15.6" x14ac:dyDescent="0.3">
      <c r="A50" s="76"/>
      <c r="B50" s="145" t="s">
        <v>915</v>
      </c>
      <c r="C50" s="315" t="s">
        <v>931</v>
      </c>
      <c r="D50" s="319">
        <v>25</v>
      </c>
      <c r="E50" s="143"/>
      <c r="F50" s="143"/>
      <c r="G50" s="143"/>
      <c r="H50" s="143"/>
      <c r="I50" s="239"/>
      <c r="J50" s="79"/>
    </row>
    <row r="51" spans="1:10" ht="14.4" x14ac:dyDescent="0.3">
      <c r="A51" s="76"/>
      <c r="B51" s="145" t="s">
        <v>921</v>
      </c>
      <c r="C51" s="207" t="s">
        <v>881</v>
      </c>
      <c r="D51" s="146">
        <v>23</v>
      </c>
      <c r="E51" s="143"/>
      <c r="F51" s="80"/>
      <c r="G51" s="80"/>
      <c r="H51" s="80"/>
      <c r="I51" s="251"/>
      <c r="J51" s="9"/>
    </row>
    <row r="52" spans="1:10" ht="14.4" x14ac:dyDescent="0.3">
      <c r="A52" s="76"/>
      <c r="B52" s="145" t="s">
        <v>922</v>
      </c>
      <c r="C52" s="9" t="s">
        <v>147</v>
      </c>
      <c r="D52" s="146">
        <v>20</v>
      </c>
      <c r="E52" s="141"/>
      <c r="F52" s="15"/>
      <c r="G52" s="15"/>
      <c r="H52" s="15"/>
      <c r="I52" s="91"/>
      <c r="J52" s="79"/>
    </row>
    <row r="53" spans="1:10" ht="14.4" x14ac:dyDescent="0.3">
      <c r="A53" s="76"/>
      <c r="B53" s="145" t="s">
        <v>922</v>
      </c>
      <c r="C53" s="312" t="s">
        <v>130</v>
      </c>
      <c r="D53" s="146">
        <v>23</v>
      </c>
      <c r="E53" s="142"/>
      <c r="F53" s="143"/>
      <c r="G53" s="15"/>
      <c r="H53" s="143"/>
      <c r="I53" s="143"/>
      <c r="J53" s="96"/>
    </row>
    <row r="54" spans="1:10" ht="15.6" x14ac:dyDescent="0.3">
      <c r="A54" s="76"/>
      <c r="B54" s="145" t="s">
        <v>922</v>
      </c>
      <c r="C54" s="210" t="s">
        <v>932</v>
      </c>
      <c r="D54" s="319">
        <v>25</v>
      </c>
      <c r="E54" s="141"/>
      <c r="F54" s="141"/>
      <c r="G54" s="141"/>
      <c r="H54" s="141"/>
      <c r="I54" s="141"/>
      <c r="J54" s="68"/>
    </row>
    <row r="55" spans="1:10" ht="15.6" x14ac:dyDescent="0.3">
      <c r="A55" s="76"/>
      <c r="B55" s="145" t="s">
        <v>917</v>
      </c>
      <c r="C55" s="210" t="s">
        <v>856</v>
      </c>
      <c r="D55" s="146">
        <v>22</v>
      </c>
      <c r="E55" s="142"/>
      <c r="F55" s="15"/>
      <c r="G55" s="15"/>
      <c r="H55" s="9"/>
      <c r="I55" s="76"/>
      <c r="J55" s="9"/>
    </row>
    <row r="56" spans="1:10" ht="15.6" x14ac:dyDescent="0.3">
      <c r="A56" s="76"/>
      <c r="B56" s="145" t="s">
        <v>915</v>
      </c>
      <c r="C56" s="182" t="s">
        <v>888</v>
      </c>
      <c r="D56" s="321">
        <v>24</v>
      </c>
      <c r="E56" s="15"/>
      <c r="F56" s="143"/>
      <c r="G56" s="15"/>
      <c r="H56" s="143"/>
      <c r="I56" s="143"/>
      <c r="J56" s="9"/>
    </row>
    <row r="57" spans="1:10" ht="14.4" customHeight="1" x14ac:dyDescent="0.3">
      <c r="A57" s="76"/>
      <c r="B57" s="145" t="s">
        <v>921</v>
      </c>
      <c r="C57" s="207" t="s">
        <v>867</v>
      </c>
      <c r="D57" s="229">
        <v>23</v>
      </c>
      <c r="E57" s="15"/>
      <c r="F57" s="143"/>
      <c r="G57" s="15"/>
      <c r="H57" s="143"/>
      <c r="I57" s="143"/>
      <c r="J57" s="9"/>
    </row>
    <row r="58" spans="1:10" ht="14.4" x14ac:dyDescent="0.3">
      <c r="A58" s="76"/>
      <c r="B58" s="145" t="s">
        <v>241</v>
      </c>
      <c r="C58" s="9" t="s">
        <v>849</v>
      </c>
      <c r="D58" s="229">
        <v>22</v>
      </c>
      <c r="E58" s="15"/>
      <c r="F58" s="143"/>
      <c r="G58" s="15"/>
      <c r="H58" s="143"/>
      <c r="I58" s="204"/>
      <c r="J58" s="9"/>
    </row>
    <row r="59" spans="1:10" ht="14.4" x14ac:dyDescent="0.3">
      <c r="A59" s="76"/>
      <c r="B59" s="145" t="s">
        <v>917</v>
      </c>
      <c r="C59" s="207" t="s">
        <v>865</v>
      </c>
      <c r="D59" s="229">
        <v>23</v>
      </c>
      <c r="E59" s="15"/>
      <c r="F59" s="143"/>
      <c r="G59" s="15"/>
      <c r="H59" s="143"/>
      <c r="I59" s="143"/>
      <c r="J59" s="9"/>
    </row>
    <row r="60" spans="1:10" ht="15.6" x14ac:dyDescent="0.3">
      <c r="A60" s="76"/>
      <c r="B60" s="145" t="s">
        <v>918</v>
      </c>
      <c r="C60" s="182" t="s">
        <v>933</v>
      </c>
      <c r="D60" s="321">
        <v>24</v>
      </c>
      <c r="E60" s="15"/>
      <c r="F60" s="15"/>
      <c r="G60" s="15"/>
      <c r="H60" s="15"/>
      <c r="I60" s="15"/>
      <c r="J60" s="9"/>
    </row>
    <row r="61" spans="1:10" ht="14.4" x14ac:dyDescent="0.3">
      <c r="A61" s="76"/>
      <c r="B61" s="145" t="s">
        <v>921</v>
      </c>
      <c r="C61" s="9" t="s">
        <v>396</v>
      </c>
      <c r="D61" s="229">
        <v>20</v>
      </c>
      <c r="E61" s="15"/>
      <c r="F61" s="15"/>
      <c r="G61" s="15"/>
      <c r="H61" s="15"/>
      <c r="I61" s="15"/>
      <c r="J61" s="9"/>
    </row>
    <row r="62" spans="1:10" ht="14.4" x14ac:dyDescent="0.3">
      <c r="A62" s="76"/>
      <c r="B62" s="145" t="s">
        <v>922</v>
      </c>
      <c r="C62" s="126" t="s">
        <v>109</v>
      </c>
      <c r="D62" s="229">
        <v>23</v>
      </c>
      <c r="E62" s="15"/>
      <c r="F62" s="15"/>
      <c r="G62" s="15"/>
      <c r="H62" s="9"/>
      <c r="I62" s="9"/>
      <c r="J62" s="9"/>
    </row>
    <row r="63" spans="1:10" ht="14.4" x14ac:dyDescent="0.3">
      <c r="A63" s="76"/>
      <c r="B63" s="145" t="s">
        <v>921</v>
      </c>
      <c r="C63" s="126" t="s">
        <v>389</v>
      </c>
      <c r="D63" s="229">
        <v>23</v>
      </c>
      <c r="E63" s="15"/>
      <c r="F63" s="15"/>
      <c r="G63" s="15"/>
      <c r="H63" s="9"/>
      <c r="I63" s="9"/>
      <c r="J63" s="9"/>
    </row>
    <row r="64" spans="1:10" ht="14.4" x14ac:dyDescent="0.3">
      <c r="A64" s="76"/>
      <c r="B64" s="145" t="s">
        <v>921</v>
      </c>
      <c r="C64" s="9" t="s">
        <v>96</v>
      </c>
      <c r="D64" s="229">
        <f>+VLOOKUP(C64,'GRADUADOS '!$A$2:$B$230,2,0)</f>
        <v>15</v>
      </c>
      <c r="E64" s="15"/>
      <c r="F64" s="15"/>
      <c r="G64" s="15"/>
      <c r="H64" s="15"/>
      <c r="I64" s="9"/>
      <c r="J64" s="9"/>
    </row>
    <row r="65" spans="1:10" ht="14.4" x14ac:dyDescent="0.3">
      <c r="A65" s="76"/>
      <c r="B65" s="145" t="s">
        <v>917</v>
      </c>
      <c r="C65" s="9" t="s">
        <v>397</v>
      </c>
      <c r="D65" s="229">
        <v>20</v>
      </c>
      <c r="E65" s="15"/>
      <c r="F65" s="143"/>
      <c r="G65" s="15"/>
      <c r="H65" s="143"/>
      <c r="I65" s="143"/>
      <c r="J65" s="9"/>
    </row>
    <row r="66" spans="1:10" ht="15.6" x14ac:dyDescent="0.3">
      <c r="A66" s="76"/>
      <c r="B66" s="145" t="s">
        <v>915</v>
      </c>
      <c r="C66" s="182" t="s">
        <v>892</v>
      </c>
      <c r="D66" s="322">
        <v>24</v>
      </c>
      <c r="E66" s="15"/>
      <c r="F66" s="143"/>
      <c r="G66" s="15"/>
      <c r="H66" s="143"/>
      <c r="I66" s="143"/>
      <c r="J66" s="146" t="s">
        <v>934</v>
      </c>
    </row>
    <row r="67" spans="1:10" ht="14.4" x14ac:dyDescent="0.3">
      <c r="A67" s="76"/>
      <c r="B67" s="145" t="s">
        <v>241</v>
      </c>
      <c r="C67" s="9" t="s">
        <v>153</v>
      </c>
      <c r="D67" s="146">
        <v>20</v>
      </c>
      <c r="E67" s="142"/>
      <c r="F67" s="143"/>
      <c r="G67" s="15"/>
      <c r="H67" s="143"/>
      <c r="I67" s="143"/>
      <c r="J67" s="146"/>
    </row>
    <row r="68" spans="1:10" ht="14.4" x14ac:dyDescent="0.3">
      <c r="A68" s="76"/>
      <c r="B68" s="145" t="s">
        <v>915</v>
      </c>
      <c r="C68" s="207" t="s">
        <v>883</v>
      </c>
      <c r="D68" s="204">
        <v>23</v>
      </c>
      <c r="E68" s="15"/>
      <c r="F68" s="15"/>
      <c r="G68" s="15"/>
      <c r="H68" s="15"/>
      <c r="I68" s="15"/>
      <c r="J68" s="146"/>
    </row>
    <row r="69" spans="1:10" ht="14.4" x14ac:dyDescent="0.3">
      <c r="A69" s="76"/>
      <c r="B69" s="145" t="s">
        <v>915</v>
      </c>
      <c r="C69" s="146" t="s">
        <v>398</v>
      </c>
      <c r="D69" s="146">
        <v>20</v>
      </c>
      <c r="E69" s="15"/>
      <c r="F69" s="15"/>
      <c r="G69" s="15"/>
      <c r="H69" s="15"/>
      <c r="I69" s="15"/>
      <c r="J69" s="146"/>
    </row>
    <row r="70" spans="1:10" ht="14.4" x14ac:dyDescent="0.3">
      <c r="A70" s="76"/>
      <c r="B70" s="145" t="s">
        <v>922</v>
      </c>
      <c r="C70" s="9" t="s">
        <v>134</v>
      </c>
      <c r="D70" s="142">
        <v>18</v>
      </c>
      <c r="E70" s="15"/>
      <c r="F70" s="15"/>
      <c r="G70" s="15"/>
      <c r="H70" s="15"/>
      <c r="I70" s="15"/>
      <c r="J70" s="146"/>
    </row>
    <row r="71" spans="1:10" ht="14.4" x14ac:dyDescent="0.3">
      <c r="A71" s="76"/>
      <c r="B71" s="145" t="s">
        <v>921</v>
      </c>
      <c r="C71" s="126" t="s">
        <v>355</v>
      </c>
      <c r="D71" s="146">
        <v>23</v>
      </c>
      <c r="E71" s="15"/>
      <c r="F71" s="15"/>
      <c r="G71" s="15"/>
      <c r="H71" s="15"/>
      <c r="I71" s="15"/>
      <c r="J71" s="146"/>
    </row>
    <row r="72" spans="1:10" ht="14.4" x14ac:dyDescent="0.3">
      <c r="A72" s="76"/>
      <c r="B72" s="145" t="s">
        <v>915</v>
      </c>
      <c r="C72" s="207" t="s">
        <v>866</v>
      </c>
      <c r="D72" s="146">
        <v>23</v>
      </c>
      <c r="E72" s="15"/>
      <c r="F72" s="15"/>
      <c r="G72" s="15"/>
      <c r="H72" s="15"/>
      <c r="I72" s="15"/>
      <c r="J72" s="146"/>
    </row>
    <row r="73" spans="1:10" ht="14.4" x14ac:dyDescent="0.3">
      <c r="A73" s="76"/>
      <c r="B73" s="145" t="s">
        <v>915</v>
      </c>
      <c r="C73" s="146" t="s">
        <v>827</v>
      </c>
      <c r="D73" s="142">
        <v>16</v>
      </c>
      <c r="E73" s="15"/>
      <c r="F73" s="143"/>
      <c r="G73" s="15"/>
      <c r="H73" s="143"/>
      <c r="I73" s="204"/>
      <c r="J73" s="146"/>
    </row>
    <row r="74" spans="1:10" ht="15.6" x14ac:dyDescent="0.3">
      <c r="A74" s="76"/>
      <c r="B74" s="145" t="s">
        <v>921</v>
      </c>
      <c r="C74" s="210" t="s">
        <v>842</v>
      </c>
      <c r="D74" s="146">
        <v>22</v>
      </c>
      <c r="E74" s="15"/>
      <c r="F74" s="143"/>
      <c r="G74" s="15"/>
      <c r="H74" s="143"/>
      <c r="I74" s="143"/>
      <c r="J74" s="146"/>
    </row>
    <row r="75" spans="1:10" ht="14.4" x14ac:dyDescent="0.3">
      <c r="A75" s="76"/>
      <c r="B75" s="145" t="s">
        <v>917</v>
      </c>
      <c r="C75" s="9" t="s">
        <v>112</v>
      </c>
      <c r="D75" s="146">
        <f>+VLOOKUP(C75,'GRADUADOS '!$A$2:$B$230,2,0)</f>
        <v>16</v>
      </c>
      <c r="E75" s="15"/>
      <c r="F75" s="15"/>
      <c r="G75" s="15"/>
      <c r="H75" s="15"/>
      <c r="I75" s="15"/>
      <c r="J75" s="146"/>
    </row>
    <row r="76" spans="1:10" ht="14.4" x14ac:dyDescent="0.3">
      <c r="A76" s="76"/>
      <c r="B76" s="145" t="s">
        <v>915</v>
      </c>
      <c r="C76" s="207" t="s">
        <v>879</v>
      </c>
      <c r="D76" s="146">
        <v>23</v>
      </c>
      <c r="E76" s="82"/>
      <c r="F76" s="82"/>
      <c r="G76" s="82"/>
      <c r="H76" s="82"/>
      <c r="I76" s="82"/>
      <c r="J76" s="146"/>
    </row>
    <row r="77" spans="1:10" ht="14.4" x14ac:dyDescent="0.3">
      <c r="A77" s="76"/>
      <c r="B77" s="145" t="s">
        <v>915</v>
      </c>
      <c r="C77" s="162" t="s">
        <v>829</v>
      </c>
      <c r="D77" s="229">
        <v>21</v>
      </c>
      <c r="E77" s="15"/>
      <c r="F77" s="15"/>
      <c r="G77" s="15"/>
      <c r="H77" s="15"/>
      <c r="I77" s="15"/>
      <c r="J77" s="146"/>
    </row>
    <row r="78" spans="1:10" ht="14.4" x14ac:dyDescent="0.3">
      <c r="A78" s="76"/>
      <c r="B78" s="145" t="s">
        <v>922</v>
      </c>
      <c r="C78" s="9" t="s">
        <v>399</v>
      </c>
      <c r="D78" s="229">
        <v>20</v>
      </c>
      <c r="E78" s="15"/>
      <c r="F78" s="15"/>
      <c r="G78" s="15"/>
      <c r="H78" s="15"/>
      <c r="I78" s="15"/>
      <c r="J78" s="146"/>
    </row>
    <row r="79" spans="1:10" ht="14.4" x14ac:dyDescent="0.3">
      <c r="A79" s="76"/>
      <c r="B79" s="145" t="s">
        <v>922</v>
      </c>
      <c r="C79" s="9" t="s">
        <v>359</v>
      </c>
      <c r="D79" s="146">
        <f>+VLOOKUP(C79,'GRADUADOS '!$A$2:$B$230,2,0)</f>
        <v>16</v>
      </c>
      <c r="E79" s="242"/>
      <c r="F79" s="242"/>
      <c r="G79" s="242"/>
      <c r="H79" s="242"/>
      <c r="I79" s="241"/>
      <c r="J79" s="146"/>
    </row>
    <row r="80" spans="1:10" ht="14.4" x14ac:dyDescent="0.3">
      <c r="A80" s="76"/>
      <c r="B80" s="145" t="s">
        <v>917</v>
      </c>
      <c r="C80" s="207" t="s">
        <v>434</v>
      </c>
      <c r="D80" s="146">
        <v>23</v>
      </c>
      <c r="E80" s="15"/>
      <c r="F80" s="15"/>
      <c r="G80" s="15"/>
      <c r="H80" s="15"/>
      <c r="I80" s="15"/>
      <c r="J80" s="146"/>
    </row>
    <row r="81" spans="1:10" ht="14.4" x14ac:dyDescent="0.3">
      <c r="A81" s="76"/>
      <c r="B81" s="145" t="s">
        <v>922</v>
      </c>
      <c r="C81" s="207" t="s">
        <v>435</v>
      </c>
      <c r="D81" s="146">
        <v>23</v>
      </c>
      <c r="E81" s="15"/>
      <c r="F81" s="15"/>
      <c r="G81" s="15"/>
      <c r="H81" s="15"/>
      <c r="I81" s="15"/>
      <c r="J81" s="146"/>
    </row>
    <row r="82" spans="1:10" ht="14.4" x14ac:dyDescent="0.3">
      <c r="A82" s="76"/>
      <c r="B82" s="145" t="s">
        <v>922</v>
      </c>
      <c r="C82" s="146" t="s">
        <v>828</v>
      </c>
      <c r="D82" s="146">
        <v>19</v>
      </c>
      <c r="E82" s="15"/>
      <c r="F82" s="143"/>
      <c r="G82" s="15"/>
      <c r="H82" s="143"/>
      <c r="I82" s="143"/>
      <c r="J82" s="146"/>
    </row>
    <row r="83" spans="1:10" ht="14.4" x14ac:dyDescent="0.3">
      <c r="A83" s="76"/>
      <c r="B83" s="145" t="s">
        <v>921</v>
      </c>
      <c r="C83" s="68" t="s">
        <v>161</v>
      </c>
      <c r="D83" s="179">
        <v>20</v>
      </c>
      <c r="E83" s="15"/>
      <c r="F83" s="143"/>
      <c r="G83" s="15"/>
      <c r="H83" s="143"/>
      <c r="I83" s="143"/>
      <c r="J83" s="146"/>
    </row>
    <row r="84" spans="1:10" ht="14.4" x14ac:dyDescent="0.3">
      <c r="A84" s="76"/>
      <c r="B84" s="278" t="s">
        <v>917</v>
      </c>
      <c r="C84" s="9" t="s">
        <v>314</v>
      </c>
      <c r="D84" s="9">
        <f>+VLOOKUP(C84,'GRADUADOS '!$A$2:$B$230,2,0)</f>
        <v>13</v>
      </c>
      <c r="E84" s="142"/>
      <c r="F84" s="143"/>
      <c r="G84" s="15"/>
      <c r="H84" s="143"/>
      <c r="I84" s="143"/>
      <c r="J84" s="146"/>
    </row>
    <row r="85" spans="1:10" ht="14.4" x14ac:dyDescent="0.3">
      <c r="A85" s="76"/>
      <c r="B85" s="278" t="s">
        <v>917</v>
      </c>
      <c r="C85" s="9" t="s">
        <v>154</v>
      </c>
      <c r="D85" s="9">
        <f>+VLOOKUP(C85,'GRADUADOS '!$A$2:$B$230,2,0)</f>
        <v>19</v>
      </c>
      <c r="E85" s="142"/>
      <c r="F85" s="143"/>
      <c r="G85" s="15"/>
      <c r="H85" s="204"/>
      <c r="I85" s="204"/>
      <c r="J85" s="146"/>
    </row>
    <row r="86" spans="1:10" ht="14.4" x14ac:dyDescent="0.3">
      <c r="A86" s="76"/>
      <c r="B86" s="278" t="s">
        <v>241</v>
      </c>
      <c r="C86" s="9" t="s">
        <v>68</v>
      </c>
      <c r="D86" s="9">
        <v>11</v>
      </c>
      <c r="E86" s="142"/>
      <c r="F86" s="15"/>
      <c r="G86" s="15"/>
      <c r="H86" s="15"/>
      <c r="I86" s="9"/>
      <c r="J86" s="146" t="s">
        <v>826</v>
      </c>
    </row>
    <row r="87" spans="1:10" ht="15.6" x14ac:dyDescent="0.3">
      <c r="A87" s="76"/>
      <c r="B87" s="145" t="s">
        <v>918</v>
      </c>
      <c r="C87" s="309" t="s">
        <v>935</v>
      </c>
      <c r="D87" s="325">
        <v>24</v>
      </c>
      <c r="E87" s="15"/>
      <c r="F87" s="15"/>
      <c r="G87" s="15"/>
      <c r="H87" s="15"/>
      <c r="I87" s="15"/>
      <c r="J87" s="146"/>
    </row>
    <row r="88" spans="1:10" ht="15.6" x14ac:dyDescent="0.3">
      <c r="A88" s="76"/>
      <c r="B88" s="145" t="s">
        <v>921</v>
      </c>
      <c r="C88" s="210" t="s">
        <v>836</v>
      </c>
      <c r="D88" s="146">
        <v>21</v>
      </c>
      <c r="E88" s="15"/>
      <c r="F88" s="15"/>
      <c r="G88" s="15"/>
      <c r="H88" s="15"/>
      <c r="I88" s="9"/>
      <c r="J88" s="146"/>
    </row>
    <row r="89" spans="1:10" ht="15.6" x14ac:dyDescent="0.3">
      <c r="A89" s="76"/>
      <c r="B89" s="145" t="s">
        <v>917</v>
      </c>
      <c r="C89" s="210" t="s">
        <v>833</v>
      </c>
      <c r="D89" s="146">
        <v>21</v>
      </c>
      <c r="E89" s="15"/>
      <c r="F89" s="15"/>
      <c r="G89" s="15"/>
      <c r="H89" s="9"/>
      <c r="I89" s="9"/>
      <c r="J89" s="146"/>
    </row>
    <row r="90" spans="1:10" ht="14.4" x14ac:dyDescent="0.3">
      <c r="A90" s="76"/>
      <c r="B90" s="145" t="s">
        <v>915</v>
      </c>
      <c r="C90" s="9" t="s">
        <v>877</v>
      </c>
      <c r="D90" s="146">
        <v>23</v>
      </c>
      <c r="E90" s="15"/>
      <c r="F90" s="15"/>
      <c r="G90" s="15"/>
      <c r="H90" s="15"/>
      <c r="I90" s="15"/>
      <c r="J90" s="146"/>
    </row>
    <row r="91" spans="1:10" ht="14.4" x14ac:dyDescent="0.3">
      <c r="A91" s="76"/>
      <c r="B91" s="145" t="s">
        <v>241</v>
      </c>
      <c r="C91" s="9" t="s">
        <v>400</v>
      </c>
      <c r="D91" s="146">
        <v>20</v>
      </c>
      <c r="E91" s="15"/>
      <c r="F91" s="15"/>
      <c r="G91" s="15"/>
      <c r="H91" s="15"/>
      <c r="I91" s="15"/>
      <c r="J91" s="146"/>
    </row>
    <row r="92" spans="1:10" ht="15.6" x14ac:dyDescent="0.3">
      <c r="A92" s="76"/>
      <c r="B92" s="145" t="s">
        <v>915</v>
      </c>
      <c r="C92" s="210" t="s">
        <v>857</v>
      </c>
      <c r="D92" s="146">
        <v>22</v>
      </c>
      <c r="E92" s="15"/>
      <c r="F92" s="15"/>
      <c r="G92" s="15"/>
      <c r="H92" s="9"/>
      <c r="I92" s="9"/>
      <c r="J92" s="146"/>
    </row>
    <row r="93" spans="1:10" ht="15.6" x14ac:dyDescent="0.3">
      <c r="A93" s="76"/>
      <c r="B93" s="145" t="s">
        <v>915</v>
      </c>
      <c r="C93" s="210" t="s">
        <v>936</v>
      </c>
      <c r="D93" s="319">
        <v>25</v>
      </c>
      <c r="E93" s="15"/>
      <c r="F93" s="15"/>
      <c r="G93" s="15"/>
      <c r="H93" s="15"/>
      <c r="I93" s="15"/>
      <c r="J93" s="146"/>
    </row>
    <row r="94" spans="1:10" ht="15.6" x14ac:dyDescent="0.3">
      <c r="A94" s="76"/>
      <c r="B94" s="145" t="s">
        <v>918</v>
      </c>
      <c r="C94" s="182" t="s">
        <v>937</v>
      </c>
      <c r="D94" s="284"/>
      <c r="E94" s="15"/>
      <c r="F94" s="143"/>
      <c r="G94" s="15"/>
      <c r="H94" s="15"/>
      <c r="I94" s="15"/>
      <c r="J94" s="146"/>
    </row>
    <row r="95" spans="1:10" ht="14.4" x14ac:dyDescent="0.3">
      <c r="A95" s="76"/>
      <c r="B95" s="145" t="s">
        <v>922</v>
      </c>
      <c r="C95" s="207" t="s">
        <v>863</v>
      </c>
      <c r="D95" s="146">
        <v>23</v>
      </c>
      <c r="E95" s="15"/>
      <c r="F95" s="143"/>
      <c r="G95" s="15"/>
      <c r="H95" s="15"/>
      <c r="I95" s="15"/>
      <c r="J95" s="146"/>
    </row>
    <row r="96" spans="1:10" ht="14.4" x14ac:dyDescent="0.3">
      <c r="A96" s="76"/>
      <c r="B96" s="145" t="s">
        <v>917</v>
      </c>
      <c r="C96" s="9" t="s">
        <v>34</v>
      </c>
      <c r="D96" s="142">
        <v>11</v>
      </c>
      <c r="E96" s="15"/>
      <c r="F96" s="143"/>
      <c r="G96" s="15"/>
      <c r="H96" s="15"/>
      <c r="I96" s="9"/>
      <c r="J96" s="146"/>
    </row>
    <row r="97" spans="1:10" ht="15.6" x14ac:dyDescent="0.3">
      <c r="A97" s="76"/>
      <c r="B97" s="145" t="s">
        <v>917</v>
      </c>
      <c r="C97" s="210" t="s">
        <v>938</v>
      </c>
      <c r="D97" s="319">
        <v>25</v>
      </c>
      <c r="E97" s="15"/>
      <c r="F97" s="15"/>
      <c r="G97" s="15"/>
      <c r="H97" s="15"/>
      <c r="I97" s="15"/>
      <c r="J97" s="146"/>
    </row>
    <row r="98" spans="1:10" ht="14.4" x14ac:dyDescent="0.3">
      <c r="A98" s="76"/>
      <c r="B98" s="145" t="s">
        <v>922</v>
      </c>
      <c r="C98" s="207" t="s">
        <v>872</v>
      </c>
      <c r="D98" s="146">
        <v>23</v>
      </c>
      <c r="E98" s="15"/>
      <c r="F98" s="15"/>
      <c r="G98" s="15"/>
      <c r="H98" s="15"/>
      <c r="I98" s="15"/>
      <c r="J98" s="146"/>
    </row>
    <row r="99" spans="1:10" ht="15.6" x14ac:dyDescent="0.3">
      <c r="A99" s="76"/>
      <c r="B99" s="145" t="s">
        <v>922</v>
      </c>
      <c r="C99" s="210" t="s">
        <v>939</v>
      </c>
      <c r="D99" s="319">
        <v>25</v>
      </c>
      <c r="E99" s="15"/>
      <c r="F99" s="143"/>
      <c r="G99" s="15"/>
      <c r="H99" s="15"/>
      <c r="I99" s="15"/>
      <c r="J99" s="146"/>
    </row>
    <row r="100" spans="1:10" ht="15.6" x14ac:dyDescent="0.3">
      <c r="A100" s="76"/>
      <c r="B100" s="145" t="s">
        <v>921</v>
      </c>
      <c r="C100" s="210" t="s">
        <v>850</v>
      </c>
      <c r="D100" s="179">
        <v>22</v>
      </c>
      <c r="E100" s="15"/>
      <c r="F100" s="15"/>
      <c r="G100" s="15"/>
      <c r="H100" s="15"/>
      <c r="I100" s="9"/>
      <c r="J100" s="146"/>
    </row>
    <row r="101" spans="1:10" ht="14.4" x14ac:dyDescent="0.3">
      <c r="A101" s="76"/>
      <c r="B101" s="145" t="s">
        <v>921</v>
      </c>
      <c r="C101" s="9" t="s">
        <v>278</v>
      </c>
      <c r="D101" s="142">
        <v>10</v>
      </c>
      <c r="E101" s="142"/>
      <c r="F101" s="15"/>
      <c r="G101" s="15"/>
      <c r="H101" s="9"/>
      <c r="I101" s="9"/>
      <c r="J101" s="146">
        <f>42+204</f>
        <v>246</v>
      </c>
    </row>
    <row r="102" spans="1:10" ht="14.4" x14ac:dyDescent="0.3">
      <c r="A102" s="76"/>
      <c r="B102" s="145" t="s">
        <v>917</v>
      </c>
      <c r="C102" s="9" t="s">
        <v>158</v>
      </c>
      <c r="D102" s="204">
        <v>20</v>
      </c>
      <c r="E102" s="15"/>
      <c r="F102" s="143"/>
      <c r="G102" s="15"/>
      <c r="H102" s="15"/>
      <c r="I102" s="15"/>
      <c r="J102" s="146"/>
    </row>
    <row r="103" spans="1:10" ht="15.6" x14ac:dyDescent="0.3">
      <c r="A103" s="76"/>
      <c r="B103" s="145" t="s">
        <v>922</v>
      </c>
      <c r="C103" s="210" t="s">
        <v>940</v>
      </c>
      <c r="D103" s="319">
        <v>25</v>
      </c>
      <c r="E103" s="15"/>
      <c r="F103" s="15"/>
      <c r="G103" s="15"/>
      <c r="H103" s="15"/>
      <c r="I103" s="15"/>
      <c r="J103" s="146"/>
    </row>
    <row r="104" spans="1:10" ht="15.6" x14ac:dyDescent="0.3">
      <c r="A104" s="76"/>
      <c r="B104" s="145" t="s">
        <v>917</v>
      </c>
      <c r="C104" s="210" t="s">
        <v>843</v>
      </c>
      <c r="D104" s="146">
        <v>22</v>
      </c>
      <c r="E104" s="15"/>
      <c r="F104" s="15"/>
      <c r="G104" s="15"/>
      <c r="H104" s="9"/>
      <c r="I104" s="9"/>
      <c r="J104" s="146"/>
    </row>
    <row r="105" spans="1:10" ht="15.6" x14ac:dyDescent="0.3">
      <c r="A105" s="76"/>
      <c r="B105" s="145" t="s">
        <v>915</v>
      </c>
      <c r="C105" s="210" t="s">
        <v>838</v>
      </c>
      <c r="D105" s="146">
        <v>21</v>
      </c>
      <c r="E105" s="15"/>
      <c r="F105" s="15"/>
      <c r="G105" s="15"/>
      <c r="H105" s="15"/>
      <c r="I105" s="9"/>
      <c r="J105" s="146"/>
    </row>
    <row r="106" spans="1:10" ht="15.6" x14ac:dyDescent="0.3">
      <c r="A106" s="76"/>
      <c r="B106" s="145" t="s">
        <v>921</v>
      </c>
      <c r="C106" s="182" t="s">
        <v>900</v>
      </c>
      <c r="D106" s="284">
        <v>24</v>
      </c>
      <c r="E106" s="15"/>
      <c r="F106" s="143"/>
      <c r="G106" s="15"/>
      <c r="H106" s="15"/>
      <c r="I106" s="15"/>
      <c r="J106" s="146"/>
    </row>
    <row r="107" spans="1:10" ht="15.6" x14ac:dyDescent="0.3">
      <c r="A107" s="76"/>
      <c r="B107" s="145" t="s">
        <v>921</v>
      </c>
      <c r="C107" s="210" t="s">
        <v>941</v>
      </c>
      <c r="D107" s="319">
        <v>25</v>
      </c>
      <c r="E107" s="15"/>
      <c r="F107" s="143"/>
      <c r="G107" s="15"/>
      <c r="H107" s="15"/>
      <c r="I107" s="15"/>
      <c r="J107" s="146"/>
    </row>
    <row r="108" spans="1:10" ht="15.6" x14ac:dyDescent="0.3">
      <c r="A108" s="76"/>
      <c r="B108" s="145" t="s">
        <v>915</v>
      </c>
      <c r="C108" s="210" t="s">
        <v>834</v>
      </c>
      <c r="D108" s="146">
        <v>21</v>
      </c>
      <c r="E108" s="80"/>
      <c r="F108" s="15"/>
      <c r="G108" s="15"/>
      <c r="H108" s="15"/>
      <c r="I108" s="15"/>
      <c r="J108" s="146"/>
    </row>
    <row r="109" spans="1:10" ht="15.6" x14ac:dyDescent="0.3">
      <c r="A109" s="76"/>
      <c r="B109" s="145" t="s">
        <v>921</v>
      </c>
      <c r="C109" s="210" t="s">
        <v>832</v>
      </c>
      <c r="D109" s="146">
        <v>21</v>
      </c>
      <c r="E109" s="15"/>
      <c r="F109" s="15"/>
      <c r="G109" s="15"/>
      <c r="H109" s="9"/>
      <c r="I109" s="9"/>
    </row>
    <row r="110" spans="1:10" ht="14.4" x14ac:dyDescent="0.3">
      <c r="A110" s="76"/>
      <c r="B110" s="145" t="s">
        <v>922</v>
      </c>
      <c r="C110" s="126" t="s">
        <v>102</v>
      </c>
      <c r="D110" s="272">
        <f>+VLOOKUP(C110,'GRADUADOS '!$A$2:$B$230,2,0)</f>
        <v>18</v>
      </c>
      <c r="E110" s="15"/>
      <c r="F110" s="15"/>
      <c r="G110" s="15"/>
      <c r="H110" s="9"/>
      <c r="I110" s="9"/>
      <c r="J110" s="146"/>
    </row>
    <row r="111" spans="1:10" ht="15.6" x14ac:dyDescent="0.3">
      <c r="A111" s="76"/>
      <c r="B111" s="145" t="s">
        <v>921</v>
      </c>
      <c r="C111" s="210" t="s">
        <v>942</v>
      </c>
      <c r="D111" s="323">
        <v>25</v>
      </c>
      <c r="E111" s="171"/>
      <c r="F111" s="82"/>
      <c r="G111" s="15"/>
      <c r="H111" s="15"/>
      <c r="I111" s="15"/>
      <c r="J111" s="146"/>
    </row>
    <row r="112" spans="1:10" ht="14.4" x14ac:dyDescent="0.3">
      <c r="A112" s="76"/>
      <c r="B112" s="145" t="s">
        <v>921</v>
      </c>
      <c r="C112" s="207" t="s">
        <v>875</v>
      </c>
      <c r="D112" s="305">
        <v>23</v>
      </c>
      <c r="E112" s="15"/>
      <c r="F112" s="15"/>
      <c r="G112" s="15"/>
      <c r="H112" s="15"/>
      <c r="I112" s="15"/>
      <c r="J112" s="146"/>
    </row>
    <row r="113" spans="1:10" ht="14.4" x14ac:dyDescent="0.3">
      <c r="A113" s="76"/>
      <c r="B113" s="145" t="s">
        <v>917</v>
      </c>
      <c r="C113" s="308" t="s">
        <v>878</v>
      </c>
      <c r="D113" s="9">
        <v>23</v>
      </c>
      <c r="E113" s="143"/>
      <c r="F113" s="80"/>
      <c r="G113" s="15"/>
      <c r="H113" s="15"/>
      <c r="I113" s="15"/>
      <c r="J113" s="146"/>
    </row>
    <row r="114" spans="1:10" ht="15.6" x14ac:dyDescent="0.3">
      <c r="A114" s="76"/>
      <c r="B114" s="226" t="s">
        <v>918</v>
      </c>
      <c r="C114" s="279" t="s">
        <v>943</v>
      </c>
      <c r="D114" s="320">
        <v>24</v>
      </c>
      <c r="E114" s="15"/>
      <c r="F114" s="15"/>
      <c r="G114" s="15"/>
      <c r="H114" s="15"/>
      <c r="I114" s="15"/>
      <c r="J114" s="146"/>
    </row>
    <row r="115" spans="1:10" ht="14.4" x14ac:dyDescent="0.3">
      <c r="A115" s="76"/>
      <c r="B115" s="227" t="s">
        <v>915</v>
      </c>
      <c r="C115" s="9" t="s">
        <v>169</v>
      </c>
      <c r="D115" s="76">
        <v>20</v>
      </c>
      <c r="E115" s="15"/>
      <c r="F115" s="15"/>
      <c r="G115" s="15"/>
      <c r="H115" s="15"/>
      <c r="I115" s="15"/>
      <c r="J115" s="146"/>
    </row>
    <row r="116" spans="1:10" ht="14.4" x14ac:dyDescent="0.3">
      <c r="A116" s="76"/>
      <c r="B116" s="227" t="s">
        <v>915</v>
      </c>
      <c r="C116" s="1" t="s">
        <v>415</v>
      </c>
      <c r="D116" s="33">
        <v>22</v>
      </c>
      <c r="E116" s="80"/>
      <c r="F116" s="80"/>
      <c r="G116" s="15"/>
      <c r="H116" s="15"/>
      <c r="I116" s="15"/>
      <c r="J116" s="146"/>
    </row>
    <row r="117" spans="1:10" ht="15.6" x14ac:dyDescent="0.3">
      <c r="A117" s="76"/>
      <c r="B117" s="218" t="s">
        <v>922</v>
      </c>
      <c r="C117" s="310" t="s">
        <v>839</v>
      </c>
      <c r="D117" s="9">
        <v>21</v>
      </c>
      <c r="E117" s="143"/>
      <c r="F117" s="80"/>
      <c r="G117" s="80"/>
      <c r="H117" s="80"/>
      <c r="I117" s="79"/>
      <c r="J117" s="146"/>
    </row>
    <row r="118" spans="1:10" ht="14.4" x14ac:dyDescent="0.3">
      <c r="A118" s="76"/>
      <c r="B118" s="145" t="s">
        <v>915</v>
      </c>
      <c r="C118" s="9" t="s">
        <v>363</v>
      </c>
      <c r="D118" s="79">
        <f>+VLOOKUP(C118,'GRADUADOS '!$A$2:$B$230,2,0)</f>
        <v>16</v>
      </c>
      <c r="E118" s="143"/>
      <c r="F118" s="80"/>
      <c r="G118" s="15"/>
      <c r="H118" s="80"/>
      <c r="I118" s="80"/>
      <c r="J118" s="146"/>
    </row>
    <row r="119" spans="1:10" ht="14.4" x14ac:dyDescent="0.3">
      <c r="A119" s="76" t="s">
        <v>241</v>
      </c>
      <c r="B119" s="145" t="s">
        <v>241</v>
      </c>
      <c r="C119" s="9" t="s">
        <v>858</v>
      </c>
      <c r="D119" s="9">
        <v>22</v>
      </c>
      <c r="E119" s="143"/>
      <c r="F119" s="80"/>
      <c r="G119" s="15"/>
      <c r="H119" s="80"/>
      <c r="I119" s="80"/>
      <c r="J119" s="146"/>
    </row>
    <row r="120" spans="1:10" ht="15.6" x14ac:dyDescent="0.3">
      <c r="A120" s="76"/>
      <c r="B120" s="145" t="s">
        <v>918</v>
      </c>
      <c r="C120" s="182" t="s">
        <v>887</v>
      </c>
      <c r="D120" s="182">
        <v>24</v>
      </c>
      <c r="E120" s="143"/>
      <c r="F120" s="80"/>
      <c r="G120" s="15"/>
      <c r="H120" s="80"/>
      <c r="I120" s="80"/>
      <c r="J120" s="146"/>
    </row>
    <row r="121" spans="1:10" ht="14.4" x14ac:dyDescent="0.3">
      <c r="A121" s="76"/>
      <c r="B121" s="145" t="s">
        <v>921</v>
      </c>
      <c r="C121" s="9" t="s">
        <v>300</v>
      </c>
      <c r="D121" s="15">
        <v>12</v>
      </c>
      <c r="E121" s="80"/>
      <c r="F121" s="80"/>
      <c r="G121" s="15"/>
      <c r="H121" s="79"/>
      <c r="I121" s="79"/>
      <c r="J121" s="146"/>
    </row>
    <row r="122" spans="1:10" ht="15.6" x14ac:dyDescent="0.3">
      <c r="A122" s="76"/>
      <c r="B122" s="145" t="s">
        <v>915</v>
      </c>
      <c r="C122" s="182" t="s">
        <v>898</v>
      </c>
      <c r="D122" s="182">
        <v>24</v>
      </c>
      <c r="E122" s="143"/>
      <c r="F122" s="80"/>
      <c r="G122" s="15"/>
      <c r="H122" s="80"/>
      <c r="I122" s="80"/>
      <c r="J122" s="146"/>
    </row>
    <row r="123" spans="1:10" ht="14.4" x14ac:dyDescent="0.3">
      <c r="A123" s="76"/>
      <c r="B123" s="145" t="s">
        <v>244</v>
      </c>
      <c r="C123" s="9" t="s">
        <v>328</v>
      </c>
      <c r="D123" s="9">
        <f>+VLOOKUP(C123,'GRADUADOS '!$A$2:$B$230,2,0)</f>
        <v>14</v>
      </c>
      <c r="E123" s="143"/>
      <c r="F123" s="80"/>
      <c r="G123" s="15"/>
      <c r="H123" s="9"/>
      <c r="I123" s="79"/>
      <c r="J123" s="146"/>
    </row>
    <row r="124" spans="1:10" ht="14.4" x14ac:dyDescent="0.3">
      <c r="A124" s="76"/>
      <c r="B124" s="145" t="s">
        <v>915</v>
      </c>
      <c r="C124" s="9" t="s">
        <v>58</v>
      </c>
      <c r="D124" s="9">
        <f>+VLOOKUP(C124,'GRADUADOS '!$A$2:$B$230,2,0)</f>
        <v>13</v>
      </c>
      <c r="E124" s="143"/>
      <c r="F124" s="80"/>
      <c r="G124" s="15"/>
      <c r="H124" s="15"/>
      <c r="I124" s="80"/>
      <c r="J124" s="146"/>
    </row>
    <row r="125" spans="1:10" ht="15.6" x14ac:dyDescent="0.3">
      <c r="A125" s="76"/>
      <c r="B125" s="145" t="s">
        <v>921</v>
      </c>
      <c r="C125" s="210" t="s">
        <v>944</v>
      </c>
      <c r="D125" s="210">
        <v>25</v>
      </c>
      <c r="E125" s="232"/>
      <c r="F125" s="80"/>
      <c r="G125" s="15"/>
      <c r="H125" s="15"/>
      <c r="I125" s="80"/>
      <c r="J125" s="146"/>
    </row>
    <row r="126" spans="1:10" ht="15.6" x14ac:dyDescent="0.3">
      <c r="A126" s="76"/>
      <c r="B126" s="145" t="s">
        <v>917</v>
      </c>
      <c r="C126" s="210" t="s">
        <v>851</v>
      </c>
      <c r="D126" s="76">
        <v>22</v>
      </c>
      <c r="E126" s="15"/>
      <c r="F126" s="80"/>
      <c r="G126" s="15"/>
      <c r="H126" s="143"/>
      <c r="I126" s="79"/>
      <c r="J126" s="146"/>
    </row>
    <row r="127" spans="1:10" ht="15.6" x14ac:dyDescent="0.3">
      <c r="A127" s="76"/>
      <c r="B127" s="145" t="s">
        <v>917</v>
      </c>
      <c r="C127" s="210" t="s">
        <v>837</v>
      </c>
      <c r="D127" s="9">
        <v>21</v>
      </c>
      <c r="E127" s="143"/>
      <c r="F127" s="15"/>
      <c r="G127" s="15"/>
      <c r="H127" s="79"/>
      <c r="I127" s="79"/>
      <c r="J127" s="146"/>
    </row>
    <row r="128" spans="1:10" ht="15.6" x14ac:dyDescent="0.3">
      <c r="A128" s="76"/>
      <c r="B128" s="145" t="s">
        <v>922</v>
      </c>
      <c r="C128" s="182" t="s">
        <v>889</v>
      </c>
      <c r="D128" s="182">
        <v>24</v>
      </c>
      <c r="E128" s="143"/>
      <c r="F128" s="80"/>
      <c r="G128" s="15"/>
      <c r="H128" s="80"/>
      <c r="I128" s="80"/>
      <c r="J128" s="146"/>
    </row>
    <row r="129" spans="1:10" ht="14.4" x14ac:dyDescent="0.3">
      <c r="A129" s="76"/>
      <c r="B129" s="145" t="s">
        <v>918</v>
      </c>
      <c r="C129" s="9" t="s">
        <v>62</v>
      </c>
      <c r="D129" s="15">
        <v>13</v>
      </c>
      <c r="E129" s="143"/>
      <c r="F129" s="80"/>
      <c r="G129" s="15"/>
      <c r="H129" s="15"/>
      <c r="I129" s="80"/>
      <c r="J129" s="146"/>
    </row>
    <row r="130" spans="1:10" ht="14.4" x14ac:dyDescent="0.3">
      <c r="A130" s="76"/>
      <c r="B130" s="145" t="s">
        <v>922</v>
      </c>
      <c r="C130" s="9" t="s">
        <v>162</v>
      </c>
      <c r="D130" s="9">
        <v>20</v>
      </c>
      <c r="E130" s="143"/>
      <c r="F130" s="80"/>
      <c r="G130" s="15"/>
      <c r="H130" s="15"/>
      <c r="I130" s="80"/>
      <c r="J130" s="146"/>
    </row>
    <row r="131" spans="1:10" ht="15.6" x14ac:dyDescent="0.3">
      <c r="A131" s="76"/>
      <c r="B131" s="145" t="s">
        <v>922</v>
      </c>
      <c r="C131" s="210" t="s">
        <v>835</v>
      </c>
      <c r="D131" s="9">
        <v>21</v>
      </c>
      <c r="E131" s="143"/>
      <c r="F131" s="80"/>
      <c r="G131" s="15"/>
      <c r="H131" s="15"/>
      <c r="I131" s="80"/>
      <c r="J131" s="146"/>
    </row>
    <row r="132" spans="1:10" ht="15.6" x14ac:dyDescent="0.3">
      <c r="A132" s="76"/>
      <c r="B132" s="145" t="s">
        <v>915</v>
      </c>
      <c r="C132" s="210" t="s">
        <v>844</v>
      </c>
      <c r="D132" s="9">
        <v>22</v>
      </c>
      <c r="E132" s="143"/>
      <c r="F132" s="80"/>
      <c r="G132" s="15"/>
      <c r="H132" s="9"/>
      <c r="I132" s="79"/>
      <c r="J132" s="146"/>
    </row>
    <row r="133" spans="1:10" ht="15.6" x14ac:dyDescent="0.3">
      <c r="A133" s="76"/>
      <c r="B133" s="145" t="s">
        <v>917</v>
      </c>
      <c r="C133" s="210" t="s">
        <v>945</v>
      </c>
      <c r="D133" s="210">
        <v>25</v>
      </c>
      <c r="E133" s="143"/>
      <c r="F133" s="80"/>
      <c r="G133" s="15"/>
      <c r="H133" s="15"/>
      <c r="I133" s="80"/>
    </row>
    <row r="134" spans="1:10" ht="14.4" x14ac:dyDescent="0.3">
      <c r="A134" s="76"/>
      <c r="B134" s="145" t="s">
        <v>915</v>
      </c>
      <c r="C134" s="9" t="s">
        <v>135</v>
      </c>
      <c r="D134" s="15">
        <v>18</v>
      </c>
      <c r="E134" s="143"/>
      <c r="F134" s="80"/>
      <c r="G134" s="15"/>
      <c r="H134" s="15"/>
      <c r="I134" s="80"/>
    </row>
    <row r="135" spans="1:10" ht="14.4" x14ac:dyDescent="0.3">
      <c r="A135" s="76"/>
      <c r="B135" s="145" t="s">
        <v>917</v>
      </c>
      <c r="C135" s="9" t="s">
        <v>392</v>
      </c>
      <c r="D135" s="9">
        <v>23</v>
      </c>
      <c r="E135" s="143"/>
      <c r="F135" s="80"/>
      <c r="G135" s="15"/>
      <c r="H135" s="15"/>
      <c r="I135" s="80"/>
    </row>
    <row r="136" spans="1:10" ht="15.6" x14ac:dyDescent="0.3">
      <c r="A136" s="76"/>
      <c r="B136" s="145"/>
      <c r="C136" s="182" t="s">
        <v>946</v>
      </c>
      <c r="D136" s="182"/>
      <c r="E136" s="143"/>
      <c r="F136" s="80"/>
      <c r="G136" s="15"/>
      <c r="H136" s="15"/>
      <c r="I136" s="80"/>
    </row>
    <row r="137" spans="1:10" ht="14.4" x14ac:dyDescent="0.3">
      <c r="A137" s="76"/>
      <c r="B137" s="145" t="s">
        <v>915</v>
      </c>
      <c r="C137" s="207" t="s">
        <v>874</v>
      </c>
      <c r="D137" s="9">
        <v>23</v>
      </c>
      <c r="E137" s="143"/>
      <c r="F137" s="80"/>
      <c r="G137" s="15"/>
      <c r="H137" s="15"/>
      <c r="I137" s="80"/>
    </row>
    <row r="138" spans="1:10" ht="14.4" x14ac:dyDescent="0.3">
      <c r="A138" s="76"/>
      <c r="B138" s="145" t="s">
        <v>917</v>
      </c>
      <c r="C138" s="126" t="s">
        <v>280</v>
      </c>
      <c r="D138" s="9">
        <v>22</v>
      </c>
      <c r="E138" s="143"/>
      <c r="F138" s="80"/>
      <c r="G138" s="15"/>
      <c r="H138" s="15"/>
      <c r="I138" s="80"/>
    </row>
    <row r="139" spans="1:10" ht="14.4" x14ac:dyDescent="0.3">
      <c r="A139" s="76"/>
      <c r="B139" s="145" t="s">
        <v>921</v>
      </c>
      <c r="C139" s="126" t="s">
        <v>138</v>
      </c>
      <c r="D139" s="9">
        <v>18</v>
      </c>
      <c r="E139" s="143"/>
      <c r="F139" s="80"/>
      <c r="G139" s="15"/>
      <c r="H139" s="15"/>
      <c r="I139" s="79"/>
    </row>
    <row r="140" spans="1:10" ht="14.4" x14ac:dyDescent="0.3">
      <c r="A140" s="76"/>
      <c r="B140" s="145" t="s">
        <v>921</v>
      </c>
      <c r="C140" s="9" t="s">
        <v>186</v>
      </c>
      <c r="D140" s="9">
        <f>+VLOOKUP(C140,'GRADUADOS '!$A$2:$B$230,2,0)</f>
        <v>16</v>
      </c>
      <c r="E140" s="143"/>
      <c r="F140" s="80"/>
      <c r="G140" s="15"/>
      <c r="H140" s="15"/>
      <c r="I140" s="79"/>
    </row>
    <row r="141" spans="1:10" ht="14.4" x14ac:dyDescent="0.3">
      <c r="A141" s="76"/>
      <c r="B141" s="145" t="s">
        <v>917</v>
      </c>
      <c r="C141" s="207" t="s">
        <v>882</v>
      </c>
      <c r="D141" s="9">
        <v>23</v>
      </c>
      <c r="E141" s="143"/>
      <c r="F141" s="80"/>
      <c r="G141" s="15"/>
      <c r="H141" s="15"/>
      <c r="I141" s="80"/>
    </row>
    <row r="142" spans="1:10" ht="14.4" x14ac:dyDescent="0.3">
      <c r="A142" s="76"/>
      <c r="B142" s="145" t="s">
        <v>922</v>
      </c>
      <c r="C142" s="207" t="s">
        <v>880</v>
      </c>
      <c r="D142" s="9">
        <v>23</v>
      </c>
      <c r="E142" s="143"/>
      <c r="F142" s="80"/>
      <c r="G142" s="15"/>
      <c r="H142" s="15"/>
      <c r="I142" s="80"/>
    </row>
    <row r="143" spans="1:10" ht="15.6" x14ac:dyDescent="0.3">
      <c r="A143" s="76"/>
      <c r="B143" s="145" t="s">
        <v>921</v>
      </c>
      <c r="C143" s="210" t="s">
        <v>859</v>
      </c>
      <c r="D143" s="9">
        <v>22</v>
      </c>
      <c r="E143" s="232"/>
      <c r="F143" s="80"/>
      <c r="G143" s="15"/>
      <c r="H143" s="15"/>
      <c r="I143" s="80"/>
      <c r="J143" s="22"/>
    </row>
    <row r="144" spans="1:10" ht="15.6" x14ac:dyDescent="0.3">
      <c r="A144" s="76"/>
      <c r="B144" s="145" t="s">
        <v>915</v>
      </c>
      <c r="C144" s="210" t="s">
        <v>852</v>
      </c>
      <c r="D144" s="76">
        <v>22</v>
      </c>
      <c r="E144" s="15"/>
      <c r="F144" s="143"/>
      <c r="G144" s="15"/>
      <c r="H144" s="15"/>
      <c r="I144" s="79"/>
    </row>
    <row r="145" spans="1:10" ht="14.4" x14ac:dyDescent="0.3">
      <c r="A145" s="76"/>
      <c r="B145" s="226" t="s">
        <v>917</v>
      </c>
      <c r="C145" s="9" t="s">
        <v>348</v>
      </c>
      <c r="D145" s="127">
        <f>+VLOOKUP(C145,'GRADUADOS '!$A$2:$B$230,2,0)</f>
        <v>15</v>
      </c>
      <c r="E145" s="15"/>
      <c r="F145" s="143"/>
      <c r="G145" s="15"/>
      <c r="H145" s="15"/>
      <c r="I145" s="79"/>
    </row>
    <row r="146" spans="1:10" ht="14.4" x14ac:dyDescent="0.3">
      <c r="A146" s="76"/>
      <c r="B146" s="227" t="s">
        <v>915</v>
      </c>
      <c r="C146" s="9" t="s">
        <v>46</v>
      </c>
      <c r="D146" s="127">
        <f>+VLOOKUP(C146,'GRADUADOS '!$A$2:$B$230,2,0)</f>
        <v>12</v>
      </c>
      <c r="E146" s="67"/>
      <c r="F146" s="143"/>
      <c r="G146" s="15"/>
      <c r="H146" s="9"/>
      <c r="I146" s="79"/>
    </row>
    <row r="147" spans="1:10" ht="14.4" x14ac:dyDescent="0.3">
      <c r="A147" s="76"/>
      <c r="B147" s="227" t="s">
        <v>921</v>
      </c>
      <c r="C147" s="9" t="s">
        <v>182</v>
      </c>
      <c r="D147" s="127">
        <v>21</v>
      </c>
      <c r="E147" s="15"/>
      <c r="F147" s="143"/>
      <c r="G147" s="15"/>
      <c r="H147" s="15"/>
      <c r="I147" s="80"/>
    </row>
    <row r="148" spans="1:10" ht="14.4" x14ac:dyDescent="0.3">
      <c r="A148" s="76"/>
      <c r="B148" s="218" t="s">
        <v>241</v>
      </c>
      <c r="C148" s="9" t="s">
        <v>845</v>
      </c>
      <c r="D148" s="127">
        <v>22</v>
      </c>
      <c r="E148" s="15"/>
      <c r="F148" s="143"/>
      <c r="G148" s="15"/>
      <c r="H148" s="9"/>
      <c r="I148" s="79"/>
    </row>
    <row r="149" spans="1:10" ht="15.6" x14ac:dyDescent="0.3">
      <c r="A149" s="76"/>
      <c r="B149" s="226" t="s">
        <v>922</v>
      </c>
      <c r="C149" s="182" t="s">
        <v>861</v>
      </c>
      <c r="D149" s="311">
        <v>22</v>
      </c>
      <c r="E149" s="15"/>
      <c r="F149" s="143"/>
      <c r="G149" s="15"/>
      <c r="H149" s="15"/>
      <c r="I149" s="80"/>
    </row>
    <row r="150" spans="1:10" ht="15.6" x14ac:dyDescent="0.3">
      <c r="A150" s="76"/>
      <c r="B150" s="227" t="s">
        <v>921</v>
      </c>
      <c r="C150" s="182" t="s">
        <v>890</v>
      </c>
      <c r="D150" s="311">
        <v>24</v>
      </c>
      <c r="E150" s="15"/>
      <c r="F150" s="143"/>
      <c r="G150" s="15"/>
      <c r="H150" s="15"/>
      <c r="I150" s="80"/>
    </row>
    <row r="151" spans="1:10" ht="15.6" x14ac:dyDescent="0.3">
      <c r="A151" s="76"/>
      <c r="B151" s="227" t="s">
        <v>918</v>
      </c>
      <c r="C151" s="182" t="s">
        <v>947</v>
      </c>
      <c r="D151" s="311">
        <v>24</v>
      </c>
      <c r="E151" s="15"/>
      <c r="F151" s="143"/>
      <c r="G151" s="15"/>
      <c r="H151" s="15"/>
      <c r="I151" s="80"/>
    </row>
    <row r="152" spans="1:10" ht="15.6" x14ac:dyDescent="0.3">
      <c r="A152" s="76"/>
      <c r="B152" s="218" t="s">
        <v>241</v>
      </c>
      <c r="C152" s="182" t="s">
        <v>860</v>
      </c>
      <c r="D152" s="324">
        <v>22</v>
      </c>
      <c r="E152" s="15"/>
      <c r="F152" s="143"/>
      <c r="G152" s="15"/>
      <c r="H152" s="9"/>
      <c r="I152" s="79"/>
    </row>
    <row r="153" spans="1:10" ht="15.6" x14ac:dyDescent="0.3">
      <c r="A153" s="76"/>
      <c r="B153" s="226" t="s">
        <v>922</v>
      </c>
      <c r="C153" s="210" t="s">
        <v>853</v>
      </c>
      <c r="D153" s="127">
        <v>22</v>
      </c>
      <c r="E153" s="15"/>
      <c r="F153" s="143"/>
      <c r="G153" s="15"/>
      <c r="H153" s="15"/>
      <c r="I153" s="79"/>
    </row>
    <row r="154" spans="1:10" ht="15.6" x14ac:dyDescent="0.3">
      <c r="A154" s="76"/>
      <c r="B154" s="227" t="s">
        <v>917</v>
      </c>
      <c r="C154" s="210" t="s">
        <v>948</v>
      </c>
      <c r="D154" s="310">
        <v>25</v>
      </c>
      <c r="E154" s="15"/>
      <c r="F154" s="143"/>
      <c r="G154" s="15"/>
      <c r="H154" s="15"/>
      <c r="I154" s="80"/>
    </row>
    <row r="155" spans="1:10" ht="15.6" x14ac:dyDescent="0.3">
      <c r="A155" s="76"/>
      <c r="B155" s="227" t="s">
        <v>918</v>
      </c>
      <c r="C155" s="182" t="s">
        <v>949</v>
      </c>
      <c r="D155" s="311">
        <v>24</v>
      </c>
      <c r="E155" s="15"/>
      <c r="F155" s="143"/>
      <c r="G155" s="15"/>
      <c r="H155" s="15"/>
      <c r="I155" s="80"/>
    </row>
    <row r="156" spans="1:10" ht="14.4" x14ac:dyDescent="0.3">
      <c r="A156" s="76"/>
      <c r="B156" s="218" t="s">
        <v>915</v>
      </c>
      <c r="C156" s="207" t="s">
        <v>862</v>
      </c>
      <c r="D156" s="127">
        <v>23</v>
      </c>
      <c r="E156" s="15"/>
      <c r="F156" s="143"/>
      <c r="G156" s="15"/>
      <c r="H156" s="15"/>
      <c r="I156" s="80"/>
      <c r="J156" s="22"/>
    </row>
    <row r="157" spans="1:10" ht="15.6" x14ac:dyDescent="0.3">
      <c r="A157" s="76"/>
      <c r="B157" s="226" t="s">
        <v>921</v>
      </c>
      <c r="C157" s="210" t="s">
        <v>846</v>
      </c>
      <c r="D157" s="127">
        <v>22</v>
      </c>
      <c r="E157" s="15"/>
      <c r="F157" s="143"/>
      <c r="G157" s="15"/>
      <c r="H157" s="9"/>
      <c r="I157" s="79"/>
    </row>
    <row r="158" spans="1:10" ht="14.4" x14ac:dyDescent="0.3">
      <c r="A158" s="76"/>
      <c r="B158" s="227" t="s">
        <v>917</v>
      </c>
      <c r="C158" s="207" t="s">
        <v>868</v>
      </c>
      <c r="D158" s="127">
        <v>23</v>
      </c>
      <c r="E158" s="15"/>
      <c r="F158" s="143"/>
      <c r="G158" s="15"/>
      <c r="H158" s="15"/>
      <c r="I158" s="80"/>
    </row>
    <row r="159" spans="1:10" ht="14.4" x14ac:dyDescent="0.3">
      <c r="A159" s="76"/>
      <c r="B159" s="227" t="s">
        <v>921</v>
      </c>
      <c r="C159" s="9" t="s">
        <v>144</v>
      </c>
      <c r="D159" s="127">
        <f>+VLOOKUP(C159,'GRADUADOS '!$A$2:$B$230,2,0)</f>
        <v>19</v>
      </c>
      <c r="E159" s="15"/>
      <c r="F159" s="143"/>
      <c r="G159" s="15"/>
      <c r="H159" s="9"/>
      <c r="I159" s="79"/>
    </row>
    <row r="160" spans="1:10" ht="14.4" x14ac:dyDescent="0.3">
      <c r="A160" s="76"/>
      <c r="B160" s="218" t="s">
        <v>921</v>
      </c>
      <c r="C160" s="9" t="s">
        <v>157</v>
      </c>
      <c r="D160" s="127">
        <v>20</v>
      </c>
      <c r="E160" s="15"/>
      <c r="F160" s="143"/>
      <c r="G160" s="15"/>
      <c r="H160" s="15"/>
      <c r="I160" s="80"/>
    </row>
    <row r="161" spans="1:10" ht="14.4" x14ac:dyDescent="0.3">
      <c r="A161" s="76"/>
      <c r="B161" s="278" t="s">
        <v>915</v>
      </c>
      <c r="C161" s="207" t="s">
        <v>871</v>
      </c>
      <c r="D161" s="127">
        <v>23</v>
      </c>
      <c r="E161" s="15"/>
      <c r="F161" s="143"/>
      <c r="G161" s="15"/>
      <c r="H161" s="15"/>
      <c r="I161" s="80"/>
    </row>
    <row r="162" spans="1:10" ht="14.4" x14ac:dyDescent="0.3">
      <c r="A162" s="76"/>
      <c r="B162" s="278" t="s">
        <v>917</v>
      </c>
      <c r="C162" s="9" t="s">
        <v>167</v>
      </c>
      <c r="D162" s="127">
        <v>20</v>
      </c>
      <c r="E162" s="15"/>
      <c r="F162" s="143"/>
      <c r="G162" s="15"/>
      <c r="H162" s="15"/>
      <c r="I162" s="80"/>
    </row>
    <row r="163" spans="1:10" ht="15.6" x14ac:dyDescent="0.3">
      <c r="A163" s="76"/>
      <c r="B163" s="145" t="s">
        <v>918</v>
      </c>
      <c r="C163" s="182" t="s">
        <v>950</v>
      </c>
      <c r="D163" s="311">
        <v>24</v>
      </c>
      <c r="E163" s="15"/>
      <c r="F163" s="232"/>
      <c r="G163" s="15"/>
      <c r="H163" s="15"/>
      <c r="I163" s="80"/>
    </row>
    <row r="164" spans="1:10" ht="15.6" x14ac:dyDescent="0.3">
      <c r="B164" s="81" t="s">
        <v>922</v>
      </c>
      <c r="C164" s="280" t="s">
        <v>951</v>
      </c>
      <c r="D164" s="311">
        <v>24</v>
      </c>
      <c r="E164" s="80"/>
      <c r="F164" s="232"/>
      <c r="G164" s="143"/>
      <c r="H164" s="143"/>
      <c r="I164" s="143"/>
    </row>
    <row r="165" spans="1:10" ht="14.4" x14ac:dyDescent="0.3">
      <c r="D165" s="197" t="s">
        <v>952</v>
      </c>
      <c r="E165" s="224">
        <f>COUNTIF(E3:E163,"OK")</f>
        <v>0</v>
      </c>
      <c r="F165" s="84">
        <f>COUNTIF(F3:F163,"OK")</f>
        <v>0</v>
      </c>
      <c r="G165" s="273">
        <f>COUNTIF(G3:G163,"OK")</f>
        <v>0</v>
      </c>
      <c r="H165" s="273">
        <f>COUNTIF(H3:H164,"OK")</f>
        <v>0</v>
      </c>
      <c r="I165" s="273">
        <f>COUNTIF(I3:I163,"OK")</f>
        <v>0</v>
      </c>
      <c r="J165" s="53" t="s">
        <v>903</v>
      </c>
    </row>
    <row r="166" spans="1:10" ht="14.4" x14ac:dyDescent="0.3">
      <c r="D166" s="307"/>
      <c r="E166" s="55"/>
      <c r="F166" s="55"/>
      <c r="G166" s="55"/>
      <c r="H166" s="55"/>
      <c r="I166" s="55"/>
    </row>
    <row r="167" spans="1:10" ht="14.4" x14ac:dyDescent="0.3">
      <c r="B167"/>
    </row>
    <row r="168" spans="1:10" ht="15.6" x14ac:dyDescent="0.3">
      <c r="B168"/>
      <c r="C168" s="351" t="s">
        <v>953</v>
      </c>
      <c r="D168" s="352"/>
      <c r="E168" s="84">
        <v>25</v>
      </c>
      <c r="F168" s="84">
        <v>8</v>
      </c>
      <c r="G168" s="84">
        <v>4</v>
      </c>
      <c r="H168" s="13">
        <v>8</v>
      </c>
      <c r="I168" s="13">
        <v>8</v>
      </c>
    </row>
    <row r="169" spans="1:10" ht="14.4" x14ac:dyDescent="0.3">
      <c r="B169"/>
      <c r="E169" s="353" t="s">
        <v>905</v>
      </c>
      <c r="F169" s="353"/>
      <c r="G169" s="353"/>
      <c r="H169" s="353"/>
      <c r="I169" s="353"/>
    </row>
    <row r="170" spans="1:10" ht="14.4" x14ac:dyDescent="0.3">
      <c r="B170"/>
      <c r="E170" s="84">
        <f>COUNTIF(E3:E163,"OK")</f>
        <v>0</v>
      </c>
      <c r="F170" s="84">
        <f>COUNTIF(F3:F163,"OK")</f>
        <v>0</v>
      </c>
      <c r="G170" s="84">
        <f>COUNTIF(G3:G163,"OK")</f>
        <v>0</v>
      </c>
      <c r="H170" s="84">
        <f>COUNTIF(H3:H163,"OK")</f>
        <v>0</v>
      </c>
      <c r="I170" s="84">
        <f>COUNTIF(I3:I163,"OK")</f>
        <v>0</v>
      </c>
      <c r="J170" s="5"/>
    </row>
    <row r="171" spans="1:10" ht="15" customHeight="1" x14ac:dyDescent="0.3">
      <c r="E171" s="225" t="s">
        <v>820</v>
      </c>
      <c r="F171" s="225" t="s">
        <v>906</v>
      </c>
      <c r="G171" s="225" t="s">
        <v>907</v>
      </c>
      <c r="H171" s="225" t="s">
        <v>908</v>
      </c>
      <c r="I171" s="225" t="s">
        <v>909</v>
      </c>
    </row>
    <row r="172" spans="1:10" ht="14.4" x14ac:dyDescent="0.3">
      <c r="E172" s="354" t="s">
        <v>910</v>
      </c>
      <c r="F172" s="355"/>
      <c r="G172" s="355"/>
      <c r="H172" s="355"/>
      <c r="I172" s="356"/>
    </row>
    <row r="176" spans="1:10" ht="15" customHeight="1" x14ac:dyDescent="0.3">
      <c r="E176" s="16" t="s">
        <v>911</v>
      </c>
    </row>
    <row r="177" spans="5:5" ht="15" customHeight="1" x14ac:dyDescent="0.3">
      <c r="E177" s="16" t="s">
        <v>912</v>
      </c>
    </row>
    <row r="178" spans="5:5" ht="15" customHeight="1" x14ac:dyDescent="0.3">
      <c r="E178" s="16" t="s">
        <v>913</v>
      </c>
    </row>
    <row r="179" spans="5:5" ht="15" customHeight="1" x14ac:dyDescent="0.3">
      <c r="E179" s="16" t="s">
        <v>914</v>
      </c>
    </row>
    <row r="180" spans="5:5" ht="15" customHeight="1" x14ac:dyDescent="0.3">
      <c r="E180" s="16" t="s">
        <v>797</v>
      </c>
    </row>
  </sheetData>
  <autoFilter ref="A2:Q165" xr:uid="{C353B099-8DF6-49F1-A501-522FCEA9C512}">
    <sortState xmlns:xlrd2="http://schemas.microsoft.com/office/spreadsheetml/2017/richdata2" ref="A3:Q165">
      <sortCondition ref="C2:C165"/>
    </sortState>
  </autoFilter>
  <mergeCells count="4">
    <mergeCell ref="B1:I1"/>
    <mergeCell ref="C168:D168"/>
    <mergeCell ref="E169:I169"/>
    <mergeCell ref="E172:I172"/>
  </mergeCells>
  <conditionalFormatting sqref="C6">
    <cfRule type="expression" dxfId="1214" priority="31">
      <formula>COUNTIF($B6:AC6, "C")</formula>
    </cfRule>
    <cfRule type="expression" dxfId="1213" priority="32">
      <formula>COUNTIF($B6:AC6, "Q")</formula>
    </cfRule>
    <cfRule type="expression" dxfId="1212" priority="33">
      <formula>COUNTIF($B6:AC6, "M")</formula>
    </cfRule>
    <cfRule type="expression" dxfId="1211" priority="34">
      <formula>COUNTIF($B6:AC6, "A")</formula>
    </cfRule>
    <cfRule type="expression" dxfId="1210" priority="35">
      <formula>COUNTIF($A6:AC6, "NI")</formula>
    </cfRule>
  </conditionalFormatting>
  <conditionalFormatting sqref="C11">
    <cfRule type="expression" dxfId="1209" priority="80">
      <formula>COUNTIF($A12:AB12, "NI")</formula>
    </cfRule>
  </conditionalFormatting>
  <conditionalFormatting sqref="C15">
    <cfRule type="expression" dxfId="1208" priority="26">
      <formula>COUNTIF($B15:AC15, "C")</formula>
    </cfRule>
    <cfRule type="expression" dxfId="1207" priority="27">
      <formula>COUNTIF($B15:AC15, "Q")</formula>
    </cfRule>
    <cfRule type="expression" dxfId="1206" priority="28">
      <formula>COUNTIF($B15:AC15, "M")</formula>
    </cfRule>
    <cfRule type="expression" dxfId="1205" priority="29">
      <formula>COUNTIF($B15:AC15, "A")</formula>
    </cfRule>
    <cfRule type="expression" dxfId="1204" priority="30">
      <formula>COUNTIF($A15:AC15, "NI")</formula>
    </cfRule>
  </conditionalFormatting>
  <conditionalFormatting sqref="C24:C25 C27:C28 C51:C52 C54 C57:C58">
    <cfRule type="expression" dxfId="1203" priority="60">
      <formula>COUNTIF($A24:AB24, "NI")</formula>
    </cfRule>
  </conditionalFormatting>
  <conditionalFormatting sqref="C29:C35">
    <cfRule type="expression" dxfId="1202" priority="21">
      <formula>COUNTIF($B29:AC29, "C")</formula>
    </cfRule>
    <cfRule type="expression" dxfId="1201" priority="22">
      <formula>COUNTIF($B29:AC29, "Q")</formula>
    </cfRule>
    <cfRule type="expression" dxfId="1200" priority="23">
      <formula>COUNTIF($B29:AC29, "M")</formula>
    </cfRule>
    <cfRule type="expression" dxfId="1199" priority="24">
      <formula>COUNTIF($B29:AC29, "A")</formula>
    </cfRule>
    <cfRule type="expression" dxfId="1198" priority="25">
      <formula>COUNTIF($A29:AC29, "NI")</formula>
    </cfRule>
  </conditionalFormatting>
  <conditionalFormatting sqref="C36:C50">
    <cfRule type="expression" dxfId="1197" priority="46">
      <formula>COUNTIF($B36:AA36, "A")</formula>
    </cfRule>
  </conditionalFormatting>
  <conditionalFormatting sqref="C53">
    <cfRule type="expression" dxfId="1196" priority="1">
      <formula>COUNTIF($B53:AC53, "C")</formula>
    </cfRule>
    <cfRule type="expression" dxfId="1195" priority="2">
      <formula>COUNTIF($B53:AC53, "Q")</formula>
    </cfRule>
    <cfRule type="expression" dxfId="1194" priority="3">
      <formula>COUNTIF($B53:AC53, "M")</formula>
    </cfRule>
    <cfRule type="expression" dxfId="1193" priority="4">
      <formula>COUNTIF($B53:AC53, "A")</formula>
    </cfRule>
    <cfRule type="expression" dxfId="1192" priority="5">
      <formula>COUNTIF($A53:AC53, "NI")</formula>
    </cfRule>
  </conditionalFormatting>
  <conditionalFormatting sqref="C55 C67:C68 C71:C72 C76:C81 C114 C132:C144 C36:C50 D111:D113">
    <cfRule type="expression" dxfId="1191" priority="58">
      <formula>COUNTIF($A36:AA36, "NI")</formula>
    </cfRule>
  </conditionalFormatting>
  <conditionalFormatting sqref="C55 D111:D113 C132:C144">
    <cfRule type="expression" dxfId="1190" priority="71">
      <formula>COUNTIF($B55:AA55, "C")</formula>
    </cfRule>
    <cfRule type="expression" dxfId="1189" priority="72">
      <formula>COUNTIF($B55:AA55, "Q")</formula>
    </cfRule>
    <cfRule type="expression" dxfId="1188" priority="73">
      <formula>COUNTIF($B55:AA55, "M")</formula>
    </cfRule>
    <cfRule type="expression" dxfId="1187" priority="74">
      <formula>COUNTIF($B55:AA55, "A")</formula>
    </cfRule>
  </conditionalFormatting>
  <conditionalFormatting sqref="C64:C65 C115:D116 D117:D131">
    <cfRule type="expression" dxfId="1186" priority="61">
      <formula>COUNTIF($B64:AA64, "C")</formula>
    </cfRule>
    <cfRule type="expression" dxfId="1185" priority="62">
      <formula>COUNTIF($B64:AA64, "Q")</formula>
    </cfRule>
    <cfRule type="expression" dxfId="1184" priority="63">
      <formula>COUNTIF($B64:AA64, "M")</formula>
    </cfRule>
    <cfRule type="expression" dxfId="1183" priority="64">
      <formula>COUNTIF($B64:AA64, "A")</formula>
    </cfRule>
    <cfRule type="expression" dxfId="1182" priority="65">
      <formula>COUNTIF($A64:AA64, "NI")</formula>
    </cfRule>
  </conditionalFormatting>
  <conditionalFormatting sqref="C69">
    <cfRule type="expression" dxfId="1181" priority="16">
      <formula>COUNTIF($B69:AC69, "C")</formula>
    </cfRule>
    <cfRule type="expression" dxfId="1180" priority="17">
      <formula>COUNTIF($B69:AC69, "Q")</formula>
    </cfRule>
    <cfRule type="expression" dxfId="1179" priority="18">
      <formula>COUNTIF($B69:AC69, "M")</formula>
    </cfRule>
    <cfRule type="expression" dxfId="1178" priority="19">
      <formula>COUNTIF($B69:AC69, "A")</formula>
    </cfRule>
    <cfRule type="expression" dxfId="1177" priority="20">
      <formula>COUNTIF($A69:AC69, "NI")</formula>
    </cfRule>
  </conditionalFormatting>
  <conditionalFormatting sqref="C73">
    <cfRule type="expression" dxfId="1176" priority="6">
      <formula>COUNTIF($B73:AC73, "C")</formula>
    </cfRule>
    <cfRule type="expression" dxfId="1175" priority="7">
      <formula>COUNTIF($B73:AC73, "Q")</formula>
    </cfRule>
    <cfRule type="expression" dxfId="1174" priority="8">
      <formula>COUNTIF($B73:AC73, "M")</formula>
    </cfRule>
    <cfRule type="expression" dxfId="1173" priority="9">
      <formula>COUNTIF($B73:AC73, "A")</formula>
    </cfRule>
    <cfRule type="expression" dxfId="1172" priority="10">
      <formula>COUNTIF($A73:AC73, "NI")</formula>
    </cfRule>
  </conditionalFormatting>
  <conditionalFormatting sqref="C82">
    <cfRule type="expression" dxfId="1171" priority="11">
      <formula>COUNTIF($B82:AC82, "C")</formula>
    </cfRule>
    <cfRule type="expression" dxfId="1170" priority="12">
      <formula>COUNTIF($B82:AC82, "Q")</formula>
    </cfRule>
    <cfRule type="expression" dxfId="1169" priority="13">
      <formula>COUNTIF($B82:AC82, "M")</formula>
    </cfRule>
    <cfRule type="expression" dxfId="1168" priority="14">
      <formula>COUNTIF($B82:AC82, "A")</formula>
    </cfRule>
    <cfRule type="expression" dxfId="1167" priority="15">
      <formula>COUNTIF($A82:AC82, "NI")</formula>
    </cfRule>
  </conditionalFormatting>
  <conditionalFormatting sqref="C171:C1048576 C132:C144 C1:C2 C14 C11 C51:C52 C27:C28 C16:C25 C70:C72 C83:C114 C74:C81 C163:C166 C54:C68">
    <cfRule type="duplicateValues" dxfId="1166" priority="53"/>
  </conditionalFormatting>
  <conditionalFormatting sqref="C4:D4">
    <cfRule type="expression" dxfId="1165" priority="47">
      <formula>COUNTIF($B4:AA4, "C")</formula>
    </cfRule>
    <cfRule type="expression" dxfId="1164" priority="48">
      <formula>COUNTIF($B4:AA4, "Q")</formula>
    </cfRule>
    <cfRule type="expression" dxfId="1163" priority="49">
      <formula>COUNTIF($B4:AA4, "M")</formula>
    </cfRule>
    <cfRule type="expression" dxfId="1162" priority="50">
      <formula>COUNTIF($B4:AA4, "A")</formula>
    </cfRule>
    <cfRule type="expression" dxfId="1161" priority="51">
      <formula>COUNTIF($A4:AA4, "NI")</formula>
    </cfRule>
  </conditionalFormatting>
  <conditionalFormatting sqref="C7:D7">
    <cfRule type="expression" dxfId="1160" priority="41">
      <formula>COUNTIF($B7:AA7, "C")</formula>
    </cfRule>
    <cfRule type="expression" dxfId="1159" priority="42">
      <formula>COUNTIF($B7:AA7, "Q")</formula>
    </cfRule>
    <cfRule type="expression" dxfId="1158" priority="43">
      <formula>COUNTIF($B7:AA7, "M")</formula>
    </cfRule>
    <cfRule type="expression" dxfId="1157" priority="44">
      <formula>COUNTIF($B7:AA7, "A")</formula>
    </cfRule>
    <cfRule type="expression" dxfId="1156" priority="45">
      <formula>COUNTIF($A7:AA7, "NI")</formula>
    </cfRule>
  </conditionalFormatting>
  <conditionalFormatting sqref="C26:D26">
    <cfRule type="expression" dxfId="1155" priority="36">
      <formula>COUNTIF($B26:AA26, "C")</formula>
    </cfRule>
    <cfRule type="expression" dxfId="1154" priority="37">
      <formula>COUNTIF($B26:AA26, "Q")</formula>
    </cfRule>
    <cfRule type="expression" dxfId="1153" priority="38">
      <formula>COUNTIF($B26:AA26, "M")</formula>
    </cfRule>
    <cfRule type="expression" dxfId="1152" priority="39">
      <formula>COUNTIF($B26:AA26, "A")</formula>
    </cfRule>
    <cfRule type="expression" dxfId="1151" priority="40">
      <formula>COUNTIF($A26:AA26, "NI")</formula>
    </cfRule>
  </conditionalFormatting>
  <conditionalFormatting sqref="C110:D110">
    <cfRule type="expression" dxfId="1150" priority="54">
      <formula>COUNTIF($B110:AA110, "C")</formula>
    </cfRule>
    <cfRule type="expression" dxfId="1149" priority="55">
      <formula>COUNTIF($B110:AA110, "Q")</formula>
    </cfRule>
    <cfRule type="expression" dxfId="1148" priority="56">
      <formula>COUNTIF($B110:AA110, "M")</formula>
    </cfRule>
    <cfRule type="expression" dxfId="1147" priority="57">
      <formula>COUNTIF($B110:AA110, "A")</formula>
    </cfRule>
    <cfRule type="expression" dxfId="1146" priority="59">
      <formula>COUNTIF($A110:AA110, "NI")</formula>
    </cfRule>
  </conditionalFormatting>
  <conditionalFormatting sqref="D3 J3:J5 D5:D6 D9:D12 D14:D25 D27:D102 D114">
    <cfRule type="expression" dxfId="1145" priority="66">
      <formula>COUNTIF($B3:AD3, "C")</formula>
    </cfRule>
    <cfRule type="expression" dxfId="1144" priority="67">
      <formula>COUNTIF($B3:AD3, "Q")</formula>
    </cfRule>
    <cfRule type="expression" dxfId="1143" priority="68">
      <formula>COUNTIF($B3:AD3, "M")</formula>
    </cfRule>
    <cfRule type="expression" dxfId="1142" priority="69">
      <formula>COUNTIF($B3:AD3, "A")</formula>
    </cfRule>
    <cfRule type="expression" dxfId="1141" priority="70">
      <formula>COUNTIF($A3:AD3, "NI")</formula>
    </cfRule>
  </conditionalFormatting>
  <conditionalFormatting sqref="D103">
    <cfRule type="expression" dxfId="1140" priority="75">
      <formula>COUNTIF($B163:AD163, "C")</formula>
    </cfRule>
    <cfRule type="expression" dxfId="1139" priority="76">
      <formula>COUNTIF($B163:AD163, "Q")</formula>
    </cfRule>
    <cfRule type="expression" dxfId="1138" priority="77">
      <formula>COUNTIF($B163:AD163, "M")</formula>
    </cfRule>
    <cfRule type="expression" dxfId="1137" priority="78">
      <formula>COUNTIF($B163:AD163, "A")</formula>
    </cfRule>
    <cfRule type="expression" dxfId="1136" priority="79">
      <formula>COUNTIF($A163:AD163, "NI")</formula>
    </cfRule>
  </conditionalFormatting>
  <conditionalFormatting sqref="D104">
    <cfRule type="expression" dxfId="1135" priority="86">
      <formula>COUNTIF($B165:AD165, "C")</formula>
    </cfRule>
    <cfRule type="expression" dxfId="1134" priority="87">
      <formula>COUNTIF($B165:AD165, "Q")</formula>
    </cfRule>
    <cfRule type="expression" dxfId="1133" priority="88">
      <formula>COUNTIF($B165:AD165, "M")</formula>
    </cfRule>
    <cfRule type="expression" dxfId="1132" priority="89">
      <formula>COUNTIF($B165:AD165, "A")</formula>
    </cfRule>
    <cfRule type="expression" dxfId="1131" priority="90">
      <formula>COUNTIF($A165:AD165, "NI")</formula>
    </cfRule>
  </conditionalFormatting>
  <conditionalFormatting sqref="D105:D109">
    <cfRule type="expression" dxfId="1130" priority="81">
      <formula>COUNTIF($B167:AD167, "C")</formula>
    </cfRule>
    <cfRule type="expression" dxfId="1129" priority="82">
      <formula>COUNTIF($B167:AD167, "Q")</formula>
    </cfRule>
    <cfRule type="expression" dxfId="1128" priority="83">
      <formula>COUNTIF($B167:AD167, "M")</formula>
    </cfRule>
    <cfRule type="expression" dxfId="1127" priority="84">
      <formula>COUNTIF($B167:AD167, "A")</formula>
    </cfRule>
    <cfRule type="expression" dxfId="1126" priority="85">
      <formula>COUNTIF($A167:AD167, "NI")</formula>
    </cfRule>
  </conditionalFormatting>
  <conditionalFormatting sqref="E170:I170">
    <cfRule type="cellIs" dxfId="1125" priority="52" operator="lessThan">
      <formula>$E$168</formula>
    </cfRule>
  </conditionalFormatting>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B099-8DF6-49F1-A501-522FCEA9C512}">
  <sheetPr>
    <tabColor rgb="FF92D050"/>
  </sheetPr>
  <dimension ref="A1:J180"/>
  <sheetViews>
    <sheetView workbookViewId="0">
      <pane ySplit="2" topLeftCell="A3" activePane="bottomLeft" state="frozen"/>
      <selection activeCell="B1" sqref="B1"/>
      <selection pane="bottomLeft" activeCell="B1" sqref="B1"/>
    </sheetView>
  </sheetViews>
  <sheetFormatPr baseColWidth="10" defaultColWidth="57.33203125" defaultRowHeight="15" customHeight="1" x14ac:dyDescent="0.3"/>
  <cols>
    <col min="1" max="1" width="4.44140625" bestFit="1" customWidth="1"/>
    <col min="2" max="2" width="8" style="81" bestFit="1" customWidth="1"/>
    <col min="3" max="3" width="48.5546875" bestFit="1" customWidth="1"/>
    <col min="4" max="4" width="6.109375" customWidth="1"/>
    <col min="5" max="5" width="19.6640625" style="16" customWidth="1"/>
    <col min="6" max="6" width="22" style="16" customWidth="1"/>
    <col min="7" max="7" width="23.109375" style="16" hidden="1" customWidth="1"/>
    <col min="8" max="8" width="25" customWidth="1"/>
    <col min="9" max="9" width="26" bestFit="1" customWidth="1"/>
  </cols>
  <sheetData>
    <row r="1" spans="1:10" ht="32.25" customHeight="1" x14ac:dyDescent="0.35">
      <c r="A1" s="1"/>
      <c r="B1" s="350" t="s">
        <v>816</v>
      </c>
      <c r="C1" s="350"/>
      <c r="D1" s="350"/>
      <c r="E1" s="350"/>
      <c r="F1" s="350"/>
      <c r="G1" s="350"/>
      <c r="H1" s="350"/>
      <c r="I1" s="350"/>
      <c r="J1" s="102" t="s">
        <v>817</v>
      </c>
    </row>
    <row r="2" spans="1:10" ht="14.4" x14ac:dyDescent="0.3">
      <c r="A2" s="33" t="s">
        <v>818</v>
      </c>
      <c r="B2" s="200" t="s">
        <v>819</v>
      </c>
      <c r="C2" s="201" t="s">
        <v>739</v>
      </c>
      <c r="D2" s="203" t="s">
        <v>740</v>
      </c>
      <c r="E2" s="202" t="s">
        <v>820</v>
      </c>
      <c r="F2" s="202" t="s">
        <v>821</v>
      </c>
      <c r="G2" s="202" t="s">
        <v>822</v>
      </c>
      <c r="H2" s="203" t="s">
        <v>823</v>
      </c>
      <c r="I2" s="203" t="s">
        <v>824</v>
      </c>
      <c r="J2" s="33"/>
    </row>
    <row r="3" spans="1:10" ht="14.4" customHeight="1" x14ac:dyDescent="0.3">
      <c r="A3" s="76"/>
      <c r="B3" s="145" t="s">
        <v>241</v>
      </c>
      <c r="C3" s="9" t="s">
        <v>831</v>
      </c>
      <c r="D3" s="120">
        <v>21</v>
      </c>
      <c r="E3" s="15"/>
      <c r="F3" s="143"/>
      <c r="G3" s="15"/>
      <c r="H3" s="204"/>
      <c r="I3" s="204"/>
      <c r="J3" s="9"/>
    </row>
    <row r="4" spans="1:10" ht="14.4" customHeight="1" x14ac:dyDescent="0.3">
      <c r="A4" s="76"/>
      <c r="B4" s="145" t="s">
        <v>241</v>
      </c>
      <c r="C4" s="1" t="s">
        <v>393</v>
      </c>
      <c r="D4" s="1">
        <v>20</v>
      </c>
      <c r="E4" s="15"/>
      <c r="F4" s="143"/>
      <c r="G4" s="143"/>
      <c r="H4" s="143"/>
      <c r="I4" s="143"/>
      <c r="J4" s="146"/>
    </row>
    <row r="5" spans="1:10" ht="14.4" customHeight="1" x14ac:dyDescent="0.3">
      <c r="A5" s="76"/>
      <c r="B5" s="145" t="s">
        <v>915</v>
      </c>
      <c r="C5" s="210" t="s">
        <v>916</v>
      </c>
      <c r="D5" s="318">
        <v>25</v>
      </c>
      <c r="E5" s="15"/>
      <c r="F5" s="143" t="s">
        <v>110</v>
      </c>
      <c r="G5" s="143"/>
      <c r="H5" s="143" t="s">
        <v>110</v>
      </c>
      <c r="I5" s="143" t="s">
        <v>110</v>
      </c>
      <c r="J5" s="146"/>
    </row>
    <row r="6" spans="1:10" ht="14.4" customHeight="1" x14ac:dyDescent="0.3">
      <c r="A6" s="76"/>
      <c r="B6" s="145" t="s">
        <v>917</v>
      </c>
      <c r="C6" s="314" t="s">
        <v>891</v>
      </c>
      <c r="D6" s="314">
        <v>24</v>
      </c>
      <c r="E6" s="15" t="s">
        <v>16</v>
      </c>
      <c r="F6" s="143"/>
      <c r="G6" s="15"/>
      <c r="H6" s="143"/>
      <c r="I6" s="143"/>
      <c r="J6" s="146"/>
    </row>
    <row r="7" spans="1:10" ht="14.4" customHeight="1" x14ac:dyDescent="0.3">
      <c r="A7" s="76"/>
      <c r="B7" s="145" t="s">
        <v>918</v>
      </c>
      <c r="C7" s="243" t="s">
        <v>893</v>
      </c>
      <c r="D7" s="243">
        <v>24</v>
      </c>
      <c r="E7" s="15" t="s">
        <v>16</v>
      </c>
      <c r="F7" s="143"/>
      <c r="G7" s="15"/>
      <c r="H7" s="143"/>
      <c r="I7" s="143"/>
      <c r="J7" s="146"/>
    </row>
    <row r="8" spans="1:10" ht="14.4" customHeight="1" x14ac:dyDescent="0.3">
      <c r="A8" s="76"/>
      <c r="B8" s="145" t="s">
        <v>917</v>
      </c>
      <c r="C8" s="1" t="s">
        <v>379</v>
      </c>
      <c r="D8" s="28">
        <v>18</v>
      </c>
      <c r="E8" s="15" t="s">
        <v>16</v>
      </c>
      <c r="F8" s="143" t="s">
        <v>16</v>
      </c>
      <c r="G8" s="15"/>
      <c r="H8" s="143"/>
      <c r="I8" s="204"/>
      <c r="J8" s="146" t="s">
        <v>919</v>
      </c>
    </row>
    <row r="9" spans="1:10" ht="14.4" customHeight="1" x14ac:dyDescent="0.3">
      <c r="A9" s="76"/>
      <c r="B9" s="145" t="s">
        <v>918</v>
      </c>
      <c r="C9" s="182" t="s">
        <v>920</v>
      </c>
      <c r="D9" s="314">
        <v>24</v>
      </c>
      <c r="E9" s="15" t="s">
        <v>16</v>
      </c>
      <c r="F9" s="143"/>
      <c r="G9" s="15"/>
      <c r="H9" s="143"/>
      <c r="I9" s="143"/>
      <c r="J9" s="9"/>
    </row>
    <row r="10" spans="1:10" ht="14.4" customHeight="1" x14ac:dyDescent="0.3">
      <c r="A10" s="76"/>
      <c r="B10" s="145" t="s">
        <v>241</v>
      </c>
      <c r="C10" s="9" t="s">
        <v>41</v>
      </c>
      <c r="D10" s="239">
        <v>11</v>
      </c>
      <c r="E10" s="15"/>
      <c r="F10" s="143"/>
      <c r="G10" s="15"/>
      <c r="H10" s="143"/>
      <c r="I10" s="204"/>
      <c r="J10" s="146"/>
    </row>
    <row r="11" spans="1:10" ht="14.4" customHeight="1" x14ac:dyDescent="0.3">
      <c r="A11" s="76"/>
      <c r="B11" s="145" t="s">
        <v>921</v>
      </c>
      <c r="C11" s="182" t="s">
        <v>895</v>
      </c>
      <c r="D11" s="314">
        <v>24</v>
      </c>
      <c r="E11" s="15"/>
      <c r="F11" s="143"/>
      <c r="G11" s="15"/>
      <c r="H11" s="143"/>
      <c r="I11" s="143"/>
      <c r="J11" s="9"/>
    </row>
    <row r="12" spans="1:10" ht="14.4" customHeight="1" x14ac:dyDescent="0.3">
      <c r="A12" s="76"/>
      <c r="B12" s="145" t="s">
        <v>917</v>
      </c>
      <c r="C12" s="9" t="s">
        <v>394</v>
      </c>
      <c r="D12" s="120">
        <v>20</v>
      </c>
      <c r="E12" s="15" t="s">
        <v>16</v>
      </c>
      <c r="F12" s="143" t="s">
        <v>16</v>
      </c>
      <c r="G12" s="15"/>
      <c r="H12" s="143"/>
      <c r="I12" s="143"/>
      <c r="J12" s="9"/>
    </row>
    <row r="13" spans="1:10" ht="14.4" customHeight="1" x14ac:dyDescent="0.3">
      <c r="A13" s="76"/>
      <c r="B13" s="145" t="s">
        <v>922</v>
      </c>
      <c r="C13" s="1" t="s">
        <v>332</v>
      </c>
      <c r="D13" s="1">
        <f>+VLOOKUP(C13,'GRADUADOS '!$A$2:$B$230,2,0)</f>
        <v>15</v>
      </c>
      <c r="E13" s="80"/>
      <c r="F13" s="143"/>
      <c r="G13" s="15"/>
      <c r="H13" s="143"/>
      <c r="I13" s="143"/>
    </row>
    <row r="14" spans="1:10" ht="14.4" customHeight="1" x14ac:dyDescent="0.3">
      <c r="A14" s="76"/>
      <c r="B14" s="145" t="s">
        <v>918</v>
      </c>
      <c r="C14" s="210" t="s">
        <v>854</v>
      </c>
      <c r="D14" s="120">
        <v>22</v>
      </c>
      <c r="E14" s="80" t="s">
        <v>16</v>
      </c>
      <c r="F14" s="143"/>
      <c r="G14" s="15"/>
      <c r="H14" s="143"/>
      <c r="I14" s="143"/>
    </row>
    <row r="15" spans="1:10" ht="14.4" customHeight="1" x14ac:dyDescent="0.3">
      <c r="A15" s="76"/>
      <c r="B15" s="145" t="s">
        <v>917</v>
      </c>
      <c r="C15" s="318" t="s">
        <v>847</v>
      </c>
      <c r="D15" s="120">
        <v>22</v>
      </c>
      <c r="E15" s="15" t="s">
        <v>28</v>
      </c>
      <c r="F15" s="143"/>
      <c r="G15" s="15"/>
      <c r="H15" s="143"/>
      <c r="I15" s="204"/>
      <c r="J15" s="9"/>
    </row>
    <row r="16" spans="1:10" ht="14.4" customHeight="1" x14ac:dyDescent="0.3">
      <c r="A16" s="76"/>
      <c r="B16" s="145" t="s">
        <v>915</v>
      </c>
      <c r="C16" s="214" t="s">
        <v>869</v>
      </c>
      <c r="D16" s="120">
        <v>23</v>
      </c>
      <c r="E16" s="15" t="s">
        <v>110</v>
      </c>
      <c r="F16" s="143" t="s">
        <v>110</v>
      </c>
      <c r="G16" s="15"/>
      <c r="H16" s="143" t="s">
        <v>110</v>
      </c>
      <c r="I16" s="143" t="s">
        <v>110</v>
      </c>
      <c r="J16" s="9"/>
    </row>
    <row r="17" spans="1:10" ht="14.4" customHeight="1" x14ac:dyDescent="0.3">
      <c r="A17" s="76"/>
      <c r="B17" s="145" t="s">
        <v>921</v>
      </c>
      <c r="C17" s="182" t="s">
        <v>885</v>
      </c>
      <c r="D17" s="314">
        <v>24</v>
      </c>
      <c r="E17" s="15"/>
      <c r="F17" s="143"/>
      <c r="G17" s="15"/>
      <c r="H17" s="143"/>
      <c r="I17" s="143"/>
      <c r="J17" s="9"/>
    </row>
    <row r="18" spans="1:10" ht="14.4" customHeight="1" x14ac:dyDescent="0.3">
      <c r="A18" s="76"/>
      <c r="B18" s="145" t="s">
        <v>915</v>
      </c>
      <c r="C18" s="210" t="s">
        <v>840</v>
      </c>
      <c r="D18" s="120">
        <v>22</v>
      </c>
      <c r="E18" s="15" t="s">
        <v>110</v>
      </c>
      <c r="F18" s="143" t="s">
        <v>110</v>
      </c>
      <c r="G18" s="15"/>
      <c r="H18" s="204" t="s">
        <v>110</v>
      </c>
      <c r="I18" s="204" t="s">
        <v>110</v>
      </c>
      <c r="J18" s="9"/>
    </row>
    <row r="19" spans="1:10" ht="14.4" customHeight="1" x14ac:dyDescent="0.3">
      <c r="A19" s="76"/>
      <c r="B19" s="145" t="s">
        <v>921</v>
      </c>
      <c r="C19" s="210" t="s">
        <v>855</v>
      </c>
      <c r="D19" s="120">
        <v>22</v>
      </c>
      <c r="E19" s="15"/>
      <c r="F19" s="143"/>
      <c r="G19" s="15"/>
      <c r="H19" s="204"/>
      <c r="I19" s="204"/>
      <c r="J19" s="9"/>
    </row>
    <row r="20" spans="1:10" ht="14.4" customHeight="1" x14ac:dyDescent="0.3">
      <c r="A20" s="76"/>
      <c r="B20" s="145" t="s">
        <v>917</v>
      </c>
      <c r="C20" s="182" t="s">
        <v>896</v>
      </c>
      <c r="D20" s="314">
        <v>24</v>
      </c>
      <c r="E20" s="15" t="s">
        <v>24</v>
      </c>
      <c r="F20" s="143"/>
      <c r="G20" s="15"/>
      <c r="H20" s="143"/>
      <c r="I20" s="143"/>
      <c r="J20" s="9"/>
    </row>
    <row r="21" spans="1:10" ht="14.4" customHeight="1" x14ac:dyDescent="0.3">
      <c r="A21" s="76"/>
      <c r="B21" s="145" t="s">
        <v>241</v>
      </c>
      <c r="C21" s="9" t="s">
        <v>385</v>
      </c>
      <c r="D21" s="120">
        <f>+VLOOKUP(C21,'GRADUADOS '!$A$2:$B$230,2,0)</f>
        <v>19</v>
      </c>
      <c r="E21" s="15"/>
      <c r="F21" s="143"/>
      <c r="G21" s="15"/>
      <c r="H21" s="204"/>
      <c r="I21" s="204"/>
      <c r="J21" s="9"/>
    </row>
    <row r="22" spans="1:10" ht="14.4" customHeight="1" x14ac:dyDescent="0.3">
      <c r="A22" s="76"/>
      <c r="B22" s="145" t="s">
        <v>922</v>
      </c>
      <c r="C22" s="182" t="s">
        <v>894</v>
      </c>
      <c r="D22" s="314">
        <v>24</v>
      </c>
      <c r="E22" s="15"/>
      <c r="F22" s="15"/>
      <c r="G22" s="15"/>
      <c r="H22" s="15"/>
      <c r="I22" s="15"/>
      <c r="J22" s="9"/>
    </row>
    <row r="23" spans="1:10" ht="14.4" customHeight="1" x14ac:dyDescent="0.3">
      <c r="A23" s="76"/>
      <c r="B23" s="145" t="s">
        <v>922</v>
      </c>
      <c r="C23" s="162" t="s">
        <v>825</v>
      </c>
      <c r="D23" s="120">
        <v>9</v>
      </c>
      <c r="E23" s="15" t="s">
        <v>16</v>
      </c>
      <c r="F23" s="143"/>
      <c r="G23" s="15"/>
      <c r="H23" s="204" t="s">
        <v>16</v>
      </c>
      <c r="I23" s="204" t="s">
        <v>16</v>
      </c>
      <c r="J23" s="9"/>
    </row>
    <row r="24" spans="1:10" ht="14.4" customHeight="1" x14ac:dyDescent="0.3">
      <c r="A24" s="76"/>
      <c r="B24" s="145" t="s">
        <v>915</v>
      </c>
      <c r="C24" s="9" t="s">
        <v>145</v>
      </c>
      <c r="D24" s="146">
        <v>20</v>
      </c>
      <c r="E24" s="142" t="s">
        <v>24</v>
      </c>
      <c r="F24" s="142" t="s">
        <v>24</v>
      </c>
      <c r="G24" s="142"/>
      <c r="H24" s="142" t="s">
        <v>24</v>
      </c>
      <c r="I24" s="326" t="s">
        <v>24</v>
      </c>
      <c r="J24" s="9"/>
    </row>
    <row r="25" spans="1:10" ht="14.4" customHeight="1" x14ac:dyDescent="0.3">
      <c r="A25" s="76"/>
      <c r="B25" s="145" t="s">
        <v>921</v>
      </c>
      <c r="C25" s="210" t="s">
        <v>923</v>
      </c>
      <c r="D25" s="319">
        <v>25</v>
      </c>
      <c r="E25" s="142"/>
      <c r="F25" s="143" t="s">
        <v>110</v>
      </c>
      <c r="G25" s="15"/>
      <c r="H25" s="143" t="s">
        <v>110</v>
      </c>
      <c r="I25" s="143" t="s">
        <v>110</v>
      </c>
      <c r="J25" s="79"/>
    </row>
    <row r="26" spans="1:10" ht="14.4" customHeight="1" x14ac:dyDescent="0.3">
      <c r="A26" s="76"/>
      <c r="B26" s="145" t="s">
        <v>915</v>
      </c>
      <c r="C26" s="315" t="s">
        <v>848</v>
      </c>
      <c r="D26" s="1">
        <v>22</v>
      </c>
      <c r="E26" s="16" t="s">
        <v>110</v>
      </c>
      <c r="F26" s="143" t="s">
        <v>110</v>
      </c>
      <c r="G26" s="15"/>
      <c r="H26" s="143" t="s">
        <v>110</v>
      </c>
      <c r="I26" s="204" t="s">
        <v>110</v>
      </c>
      <c r="J26" s="79"/>
    </row>
    <row r="27" spans="1:10" ht="14.4" customHeight="1" x14ac:dyDescent="0.3">
      <c r="A27" s="76"/>
      <c r="B27" s="145" t="s">
        <v>917</v>
      </c>
      <c r="C27" s="182" t="s">
        <v>901</v>
      </c>
      <c r="D27" s="284">
        <v>24</v>
      </c>
      <c r="E27" s="141" t="s">
        <v>28</v>
      </c>
      <c r="F27" s="143" t="s">
        <v>110</v>
      </c>
      <c r="G27" s="15"/>
      <c r="H27" s="143" t="s">
        <v>110</v>
      </c>
      <c r="I27" s="143" t="s">
        <v>110</v>
      </c>
      <c r="J27" s="9"/>
    </row>
    <row r="28" spans="1:10" ht="14.4" customHeight="1" x14ac:dyDescent="0.3">
      <c r="A28" s="76"/>
      <c r="B28" s="145" t="s">
        <v>917</v>
      </c>
      <c r="C28" s="210" t="s">
        <v>924</v>
      </c>
      <c r="D28" s="319">
        <v>25</v>
      </c>
      <c r="E28" s="142"/>
      <c r="F28" s="143" t="s">
        <v>110</v>
      </c>
      <c r="G28" s="15"/>
      <c r="H28" s="143" t="s">
        <v>110</v>
      </c>
      <c r="I28" s="143" t="s">
        <v>110</v>
      </c>
      <c r="J28" s="9"/>
    </row>
    <row r="29" spans="1:10" ht="14.4" customHeight="1" x14ac:dyDescent="0.3">
      <c r="A29" s="76"/>
      <c r="B29" s="145" t="s">
        <v>922</v>
      </c>
      <c r="C29" s="319" t="s">
        <v>841</v>
      </c>
      <c r="D29" s="146">
        <v>22</v>
      </c>
      <c r="E29" s="142"/>
      <c r="F29" s="143"/>
      <c r="G29" s="15"/>
      <c r="H29" s="204"/>
      <c r="I29" s="204"/>
      <c r="J29" s="9"/>
    </row>
    <row r="30" spans="1:10" ht="15.6" x14ac:dyDescent="0.3">
      <c r="A30" s="76"/>
      <c r="B30" s="145" t="s">
        <v>915</v>
      </c>
      <c r="C30" s="319" t="s">
        <v>925</v>
      </c>
      <c r="D30" s="319">
        <v>25</v>
      </c>
      <c r="E30" s="142" t="s">
        <v>28</v>
      </c>
      <c r="F30" s="143" t="s">
        <v>110</v>
      </c>
      <c r="G30" s="15"/>
      <c r="H30" s="143" t="s">
        <v>110</v>
      </c>
      <c r="I30" s="143" t="s">
        <v>110</v>
      </c>
      <c r="J30" s="9"/>
    </row>
    <row r="31" spans="1:10" ht="15.6" x14ac:dyDescent="0.3">
      <c r="A31" s="76"/>
      <c r="B31" s="145" t="s">
        <v>922</v>
      </c>
      <c r="C31" s="284" t="s">
        <v>884</v>
      </c>
      <c r="D31" s="284">
        <v>24</v>
      </c>
      <c r="E31" s="141"/>
      <c r="F31" s="28"/>
      <c r="G31" s="28"/>
      <c r="H31" s="28"/>
      <c r="I31" s="28"/>
      <c r="J31" s="79"/>
    </row>
    <row r="32" spans="1:10" ht="14.4" x14ac:dyDescent="0.3">
      <c r="A32" s="76"/>
      <c r="B32" s="145" t="s">
        <v>922</v>
      </c>
      <c r="C32" s="313" t="s">
        <v>423</v>
      </c>
      <c r="D32" s="146">
        <v>23</v>
      </c>
      <c r="E32" s="141"/>
      <c r="F32" s="141"/>
      <c r="G32" s="141"/>
      <c r="H32" s="141"/>
      <c r="I32" s="141"/>
      <c r="J32" s="79"/>
    </row>
    <row r="33" spans="1:10" ht="15.6" x14ac:dyDescent="0.3">
      <c r="A33" s="76"/>
      <c r="B33" s="145" t="s">
        <v>922</v>
      </c>
      <c r="C33" s="284" t="s">
        <v>899</v>
      </c>
      <c r="D33" s="284">
        <v>24</v>
      </c>
      <c r="E33" s="141" t="s">
        <v>16</v>
      </c>
      <c r="F33" s="141" t="s">
        <v>28</v>
      </c>
      <c r="G33" s="141"/>
      <c r="H33" s="141" t="s">
        <v>28</v>
      </c>
      <c r="I33" s="141" t="s">
        <v>28</v>
      </c>
      <c r="J33" s="79"/>
    </row>
    <row r="34" spans="1:10" ht="15.6" x14ac:dyDescent="0.3">
      <c r="A34" s="76"/>
      <c r="B34" s="145" t="s">
        <v>922</v>
      </c>
      <c r="C34" s="319" t="s">
        <v>926</v>
      </c>
      <c r="D34" s="319">
        <v>25</v>
      </c>
      <c r="E34" s="143" t="s">
        <v>16</v>
      </c>
      <c r="F34" s="143" t="s">
        <v>110</v>
      </c>
      <c r="G34" s="143"/>
      <c r="H34" s="143" t="s">
        <v>110</v>
      </c>
      <c r="I34" s="143" t="s">
        <v>110</v>
      </c>
      <c r="J34" s="79"/>
    </row>
    <row r="35" spans="1:10" ht="14.4" x14ac:dyDescent="0.3">
      <c r="A35" s="76"/>
      <c r="B35" s="145" t="s">
        <v>917</v>
      </c>
      <c r="C35" s="313" t="s">
        <v>876</v>
      </c>
      <c r="D35" s="146">
        <v>23</v>
      </c>
      <c r="E35" s="143" t="s">
        <v>24</v>
      </c>
      <c r="F35" s="143"/>
      <c r="G35" s="143"/>
      <c r="H35" s="143"/>
      <c r="I35" s="143"/>
      <c r="J35" s="79"/>
    </row>
    <row r="36" spans="1:10" ht="15.6" x14ac:dyDescent="0.3">
      <c r="A36" s="76"/>
      <c r="B36" s="145" t="s">
        <v>921</v>
      </c>
      <c r="C36" s="315" t="s">
        <v>927</v>
      </c>
      <c r="D36" s="319">
        <v>25</v>
      </c>
      <c r="E36" s="143"/>
      <c r="F36" s="143" t="s">
        <v>110</v>
      </c>
      <c r="G36" s="143"/>
      <c r="H36" s="143" t="s">
        <v>110</v>
      </c>
      <c r="I36" s="239" t="s">
        <v>110</v>
      </c>
      <c r="J36" s="79"/>
    </row>
    <row r="37" spans="1:10" ht="14.4" x14ac:dyDescent="0.3">
      <c r="A37" s="76"/>
      <c r="B37" s="145" t="s">
        <v>921</v>
      </c>
      <c r="C37" s="234" t="s">
        <v>864</v>
      </c>
      <c r="D37" s="146">
        <v>23</v>
      </c>
      <c r="E37" s="143"/>
      <c r="F37" s="143"/>
      <c r="G37" s="143"/>
      <c r="H37" s="143"/>
      <c r="I37" s="239"/>
      <c r="J37" s="79"/>
    </row>
    <row r="38" spans="1:10" ht="15.6" x14ac:dyDescent="0.3">
      <c r="A38" s="76"/>
      <c r="B38" s="145" t="s">
        <v>917</v>
      </c>
      <c r="C38" s="243" t="s">
        <v>886</v>
      </c>
      <c r="D38" s="284">
        <v>24</v>
      </c>
      <c r="E38" s="143" t="s">
        <v>24</v>
      </c>
      <c r="F38" s="143"/>
      <c r="G38" s="143"/>
      <c r="H38" s="143"/>
      <c r="I38" s="239"/>
      <c r="J38" s="79"/>
    </row>
    <row r="39" spans="1:10" ht="14.4" x14ac:dyDescent="0.3">
      <c r="A39" s="76"/>
      <c r="B39" s="145" t="s">
        <v>917</v>
      </c>
      <c r="C39" s="317" t="s">
        <v>870</v>
      </c>
      <c r="D39" s="146">
        <v>23</v>
      </c>
      <c r="E39" s="143" t="s">
        <v>28</v>
      </c>
      <c r="F39" s="143"/>
      <c r="G39" s="143"/>
      <c r="H39" s="143"/>
      <c r="I39" s="239"/>
      <c r="J39" s="79"/>
    </row>
    <row r="40" spans="1:10" ht="14.4" x14ac:dyDescent="0.3">
      <c r="A40" s="76"/>
      <c r="B40" s="145" t="s">
        <v>241</v>
      </c>
      <c r="C40" s="1" t="s">
        <v>128</v>
      </c>
      <c r="D40" s="146">
        <v>18</v>
      </c>
      <c r="E40" s="143"/>
      <c r="F40" s="143"/>
      <c r="G40" s="143"/>
      <c r="H40" s="143"/>
      <c r="I40" s="239"/>
      <c r="J40" s="79"/>
    </row>
    <row r="41" spans="1:10" ht="14.4" x14ac:dyDescent="0.3">
      <c r="A41" s="76"/>
      <c r="B41" s="145" t="s">
        <v>921</v>
      </c>
      <c r="C41" s="193" t="s">
        <v>387</v>
      </c>
      <c r="D41" s="146">
        <v>23</v>
      </c>
      <c r="E41" s="143" t="s">
        <v>110</v>
      </c>
      <c r="F41" s="143" t="s">
        <v>110</v>
      </c>
      <c r="G41" s="143"/>
      <c r="H41" s="143" t="s">
        <v>110</v>
      </c>
      <c r="I41" s="239" t="s">
        <v>110</v>
      </c>
      <c r="J41" s="79"/>
    </row>
    <row r="42" spans="1:10" ht="14.4" x14ac:dyDescent="0.3">
      <c r="A42" s="76"/>
      <c r="B42" s="145" t="s">
        <v>915</v>
      </c>
      <c r="C42" s="1" t="s">
        <v>175</v>
      </c>
      <c r="D42" s="146">
        <f>+VLOOKUP(C42,'GRADUADOS '!$A$2:$B$230,2,0)</f>
        <v>19</v>
      </c>
      <c r="E42" s="143"/>
      <c r="F42" s="143"/>
      <c r="G42" s="143"/>
      <c r="H42" s="204"/>
      <c r="I42" s="120"/>
      <c r="J42" s="79"/>
    </row>
    <row r="43" spans="1:10" ht="15.6" x14ac:dyDescent="0.3">
      <c r="A43" s="76"/>
      <c r="B43" s="145" t="s">
        <v>915</v>
      </c>
      <c r="C43" s="243" t="s">
        <v>928</v>
      </c>
      <c r="D43" s="284">
        <v>24</v>
      </c>
      <c r="E43" s="143" t="s">
        <v>16</v>
      </c>
      <c r="F43" s="143"/>
      <c r="G43" s="143"/>
      <c r="H43" s="143"/>
      <c r="I43" s="239"/>
      <c r="J43" s="79"/>
    </row>
    <row r="44" spans="1:10" ht="15.6" x14ac:dyDescent="0.3">
      <c r="A44" s="76"/>
      <c r="B44" s="145" t="s">
        <v>922</v>
      </c>
      <c r="C44" s="315" t="s">
        <v>929</v>
      </c>
      <c r="D44" s="319">
        <v>25</v>
      </c>
      <c r="E44" s="143" t="s">
        <v>16</v>
      </c>
      <c r="F44" s="143" t="s">
        <v>110</v>
      </c>
      <c r="G44" s="143"/>
      <c r="H44" s="143" t="s">
        <v>110</v>
      </c>
      <c r="I44" s="239" t="s">
        <v>110</v>
      </c>
      <c r="J44" s="79"/>
    </row>
    <row r="45" spans="1:10" ht="14.4" x14ac:dyDescent="0.3">
      <c r="A45" s="76"/>
      <c r="B45" s="145" t="s">
        <v>922</v>
      </c>
      <c r="C45" s="193" t="s">
        <v>293</v>
      </c>
      <c r="D45" s="146">
        <f>+VLOOKUP(C45,'GRADUADOS '!$A$2:$B$230,2,0)</f>
        <v>12</v>
      </c>
      <c r="E45" s="143"/>
      <c r="F45" s="143"/>
      <c r="G45" s="143"/>
      <c r="H45" s="143"/>
      <c r="I45" s="120"/>
      <c r="J45" s="79"/>
    </row>
    <row r="46" spans="1:10" ht="14.4" x14ac:dyDescent="0.3">
      <c r="A46" s="76"/>
      <c r="B46" s="145" t="s">
        <v>921</v>
      </c>
      <c r="C46" s="234" t="s">
        <v>873</v>
      </c>
      <c r="D46" s="146">
        <v>23</v>
      </c>
      <c r="E46" s="143"/>
      <c r="F46" s="143"/>
      <c r="G46" s="143"/>
      <c r="H46" s="143"/>
      <c r="I46" s="239"/>
      <c r="J46" s="79"/>
    </row>
    <row r="47" spans="1:10" ht="14.4" x14ac:dyDescent="0.3">
      <c r="A47" s="76"/>
      <c r="B47" s="145" t="s">
        <v>918</v>
      </c>
      <c r="C47" s="1" t="s">
        <v>395</v>
      </c>
      <c r="D47" s="146">
        <v>20</v>
      </c>
      <c r="E47" s="143" t="s">
        <v>16</v>
      </c>
      <c r="F47" s="143"/>
      <c r="G47" s="143"/>
      <c r="H47" s="143"/>
      <c r="I47" s="239"/>
      <c r="J47" s="79"/>
    </row>
    <row r="48" spans="1:10" ht="14.4" x14ac:dyDescent="0.3">
      <c r="A48" s="76"/>
      <c r="B48" s="145" t="s">
        <v>918</v>
      </c>
      <c r="C48" s="193" t="s">
        <v>284</v>
      </c>
      <c r="D48" s="146">
        <f>+VLOOKUP(C48,'GRADUADOS '!$A$2:$B$230,2,0)</f>
        <v>11</v>
      </c>
      <c r="E48" s="143" t="s">
        <v>16</v>
      </c>
      <c r="F48" s="143"/>
      <c r="G48" s="143"/>
      <c r="H48" s="143"/>
      <c r="I48" s="120"/>
      <c r="J48" s="79"/>
    </row>
    <row r="49" spans="1:10" ht="15.6" x14ac:dyDescent="0.3">
      <c r="A49" s="76"/>
      <c r="B49" s="145" t="s">
        <v>918</v>
      </c>
      <c r="C49" s="316" t="s">
        <v>930</v>
      </c>
      <c r="D49" s="284">
        <v>25</v>
      </c>
      <c r="E49" s="143" t="s">
        <v>16</v>
      </c>
      <c r="F49" s="143" t="s">
        <v>110</v>
      </c>
      <c r="G49" s="143"/>
      <c r="H49" s="143" t="s">
        <v>110</v>
      </c>
      <c r="I49" s="239" t="s">
        <v>110</v>
      </c>
      <c r="J49" s="79"/>
    </row>
    <row r="50" spans="1:10" ht="15.6" x14ac:dyDescent="0.3">
      <c r="A50" s="76"/>
      <c r="B50" s="145" t="s">
        <v>915</v>
      </c>
      <c r="C50" s="315" t="s">
        <v>931</v>
      </c>
      <c r="D50" s="319">
        <v>25</v>
      </c>
      <c r="E50" s="143"/>
      <c r="F50" s="143" t="s">
        <v>110</v>
      </c>
      <c r="G50" s="143"/>
      <c r="H50" s="143" t="s">
        <v>110</v>
      </c>
      <c r="I50" s="239" t="s">
        <v>110</v>
      </c>
      <c r="J50" s="79"/>
    </row>
    <row r="51" spans="1:10" ht="14.4" x14ac:dyDescent="0.3">
      <c r="A51" s="76"/>
      <c r="B51" s="145" t="s">
        <v>921</v>
      </c>
      <c r="C51" s="207" t="s">
        <v>881</v>
      </c>
      <c r="D51" s="146">
        <v>23</v>
      </c>
      <c r="E51" s="143"/>
      <c r="F51" s="80"/>
      <c r="G51" s="80"/>
      <c r="H51" s="80"/>
      <c r="I51" s="251"/>
      <c r="J51" s="9"/>
    </row>
    <row r="52" spans="1:10" ht="14.4" x14ac:dyDescent="0.3">
      <c r="A52" s="76"/>
      <c r="B52" s="145" t="s">
        <v>922</v>
      </c>
      <c r="C52" s="9" t="s">
        <v>147</v>
      </c>
      <c r="D52" s="146">
        <v>20</v>
      </c>
      <c r="E52" s="141"/>
      <c r="F52" s="15"/>
      <c r="G52" s="15"/>
      <c r="H52" s="15"/>
      <c r="I52" s="91"/>
      <c r="J52" s="79"/>
    </row>
    <row r="53" spans="1:10" ht="14.4" x14ac:dyDescent="0.3">
      <c r="A53" s="76"/>
      <c r="B53" s="145" t="s">
        <v>922</v>
      </c>
      <c r="C53" s="312" t="s">
        <v>130</v>
      </c>
      <c r="D53" s="146">
        <v>23</v>
      </c>
      <c r="E53" s="142"/>
      <c r="F53" s="143"/>
      <c r="G53" s="15"/>
      <c r="H53" s="143"/>
      <c r="I53" s="143"/>
      <c r="J53" s="96"/>
    </row>
    <row r="54" spans="1:10" ht="15.6" x14ac:dyDescent="0.3">
      <c r="A54" s="76"/>
      <c r="B54" s="145" t="s">
        <v>922</v>
      </c>
      <c r="C54" s="210" t="s">
        <v>932</v>
      </c>
      <c r="D54" s="319">
        <v>25</v>
      </c>
      <c r="E54" s="141" t="s">
        <v>16</v>
      </c>
      <c r="F54" s="141" t="s">
        <v>110</v>
      </c>
      <c r="G54" s="141"/>
      <c r="H54" s="141" t="s">
        <v>110</v>
      </c>
      <c r="I54" s="141" t="s">
        <v>110</v>
      </c>
      <c r="J54" s="68"/>
    </row>
    <row r="55" spans="1:10" ht="15.6" x14ac:dyDescent="0.3">
      <c r="A55" s="76"/>
      <c r="B55" s="145" t="s">
        <v>917</v>
      </c>
      <c r="C55" s="210" t="s">
        <v>856</v>
      </c>
      <c r="D55" s="146">
        <v>22</v>
      </c>
      <c r="E55" s="142" t="s">
        <v>24</v>
      </c>
      <c r="F55" s="15"/>
      <c r="G55" s="15"/>
      <c r="H55" s="9"/>
      <c r="I55" s="76"/>
      <c r="J55" s="9"/>
    </row>
    <row r="56" spans="1:10" ht="15.6" x14ac:dyDescent="0.3">
      <c r="A56" s="76"/>
      <c r="B56" s="145" t="s">
        <v>915</v>
      </c>
      <c r="C56" s="182" t="s">
        <v>888</v>
      </c>
      <c r="D56" s="321">
        <v>24</v>
      </c>
      <c r="E56" s="15"/>
      <c r="F56" s="143"/>
      <c r="G56" s="15"/>
      <c r="H56" s="143"/>
      <c r="I56" s="143"/>
      <c r="J56" s="9"/>
    </row>
    <row r="57" spans="1:10" ht="14.4" customHeight="1" x14ac:dyDescent="0.3">
      <c r="A57" s="76"/>
      <c r="B57" s="145" t="s">
        <v>921</v>
      </c>
      <c r="C57" s="207" t="s">
        <v>867</v>
      </c>
      <c r="D57" s="229">
        <v>23</v>
      </c>
      <c r="E57" s="15"/>
      <c r="F57" s="143"/>
      <c r="G57" s="15"/>
      <c r="H57" s="143"/>
      <c r="I57" s="143"/>
      <c r="J57" s="9"/>
    </row>
    <row r="58" spans="1:10" ht="14.4" x14ac:dyDescent="0.3">
      <c r="A58" s="76"/>
      <c r="B58" s="145" t="s">
        <v>241</v>
      </c>
      <c r="C58" s="9" t="s">
        <v>849</v>
      </c>
      <c r="D58" s="229">
        <v>22</v>
      </c>
      <c r="E58" s="15"/>
      <c r="F58" s="143"/>
      <c r="G58" s="15"/>
      <c r="H58" s="143"/>
      <c r="I58" s="204"/>
      <c r="J58" s="9"/>
    </row>
    <row r="59" spans="1:10" ht="14.4" x14ac:dyDescent="0.3">
      <c r="A59" s="76"/>
      <c r="B59" s="145" t="s">
        <v>917</v>
      </c>
      <c r="C59" s="207" t="s">
        <v>865</v>
      </c>
      <c r="D59" s="229">
        <v>23</v>
      </c>
      <c r="E59" s="15" t="s">
        <v>28</v>
      </c>
      <c r="F59" s="143"/>
      <c r="G59" s="15"/>
      <c r="H59" s="143"/>
      <c r="I59" s="143"/>
      <c r="J59" s="9"/>
    </row>
    <row r="60" spans="1:10" ht="15.6" x14ac:dyDescent="0.3">
      <c r="A60" s="76"/>
      <c r="B60" s="145" t="s">
        <v>918</v>
      </c>
      <c r="C60" s="182" t="s">
        <v>933</v>
      </c>
      <c r="D60" s="321">
        <v>24</v>
      </c>
      <c r="E60" s="15"/>
      <c r="F60" s="15" t="s">
        <v>16</v>
      </c>
      <c r="G60" s="15"/>
      <c r="H60" s="15"/>
      <c r="I60" s="15"/>
      <c r="J60" s="9"/>
    </row>
    <row r="61" spans="1:10" ht="14.4" x14ac:dyDescent="0.3">
      <c r="A61" s="76"/>
      <c r="B61" s="145" t="s">
        <v>921</v>
      </c>
      <c r="C61" s="9" t="s">
        <v>396</v>
      </c>
      <c r="D61" s="229">
        <v>20</v>
      </c>
      <c r="E61" s="15"/>
      <c r="F61" s="15"/>
      <c r="G61" s="15"/>
      <c r="H61" s="15"/>
      <c r="I61" s="15"/>
      <c r="J61" s="9"/>
    </row>
    <row r="62" spans="1:10" ht="14.4" x14ac:dyDescent="0.3">
      <c r="A62" s="76"/>
      <c r="B62" s="145" t="s">
        <v>922</v>
      </c>
      <c r="C62" s="126" t="s">
        <v>109</v>
      </c>
      <c r="D62" s="229">
        <v>23</v>
      </c>
      <c r="E62" s="15" t="s">
        <v>16</v>
      </c>
      <c r="F62" s="15" t="s">
        <v>110</v>
      </c>
      <c r="G62" s="15"/>
      <c r="H62" s="9" t="s">
        <v>110</v>
      </c>
      <c r="I62" s="9" t="s">
        <v>110</v>
      </c>
      <c r="J62" s="9"/>
    </row>
    <row r="63" spans="1:10" ht="14.4" x14ac:dyDescent="0.3">
      <c r="A63" s="76"/>
      <c r="B63" s="145" t="s">
        <v>921</v>
      </c>
      <c r="C63" s="126" t="s">
        <v>389</v>
      </c>
      <c r="D63" s="229">
        <v>23</v>
      </c>
      <c r="E63" s="15"/>
      <c r="F63" s="15" t="s">
        <v>110</v>
      </c>
      <c r="G63" s="15"/>
      <c r="H63" s="9" t="s">
        <v>110</v>
      </c>
      <c r="I63" s="9" t="s">
        <v>110</v>
      </c>
      <c r="J63" s="9"/>
    </row>
    <row r="64" spans="1:10" ht="14.4" x14ac:dyDescent="0.3">
      <c r="A64" s="76"/>
      <c r="B64" s="145" t="s">
        <v>921</v>
      </c>
      <c r="C64" s="9" t="s">
        <v>96</v>
      </c>
      <c r="D64" s="229">
        <f>+VLOOKUP(C64,'GRADUADOS '!$A$2:$B$230,2,0)</f>
        <v>15</v>
      </c>
      <c r="E64" s="15"/>
      <c r="F64" s="15"/>
      <c r="G64" s="15"/>
      <c r="H64" s="15"/>
      <c r="I64" s="9"/>
      <c r="J64" s="9"/>
    </row>
    <row r="65" spans="1:10" ht="14.4" x14ac:dyDescent="0.3">
      <c r="A65" s="76"/>
      <c r="B65" s="145" t="s">
        <v>917</v>
      </c>
      <c r="C65" s="9" t="s">
        <v>397</v>
      </c>
      <c r="D65" s="229">
        <v>20</v>
      </c>
      <c r="E65" s="15" t="s">
        <v>24</v>
      </c>
      <c r="F65" s="143"/>
      <c r="G65" s="15"/>
      <c r="H65" s="143"/>
      <c r="I65" s="143"/>
      <c r="J65" s="9"/>
    </row>
    <row r="66" spans="1:10" ht="15.6" x14ac:dyDescent="0.3">
      <c r="A66" s="76"/>
      <c r="B66" s="145" t="s">
        <v>915</v>
      </c>
      <c r="C66" s="182" t="s">
        <v>892</v>
      </c>
      <c r="D66" s="322">
        <v>24</v>
      </c>
      <c r="E66" s="15" t="s">
        <v>16</v>
      </c>
      <c r="F66" s="143" t="s">
        <v>16</v>
      </c>
      <c r="G66" s="15"/>
      <c r="H66" s="143" t="s">
        <v>16</v>
      </c>
      <c r="I66" s="143" t="s">
        <v>28</v>
      </c>
      <c r="J66" s="146" t="s">
        <v>934</v>
      </c>
    </row>
    <row r="67" spans="1:10" ht="14.4" x14ac:dyDescent="0.3">
      <c r="A67" s="76"/>
      <c r="B67" s="145" t="s">
        <v>241</v>
      </c>
      <c r="C67" s="9" t="s">
        <v>153</v>
      </c>
      <c r="D67" s="146">
        <v>20</v>
      </c>
      <c r="E67" s="142"/>
      <c r="F67" s="143"/>
      <c r="G67" s="15"/>
      <c r="H67" s="143"/>
      <c r="I67" s="143"/>
      <c r="J67" s="146"/>
    </row>
    <row r="68" spans="1:10" ht="14.4" x14ac:dyDescent="0.3">
      <c r="A68" s="76"/>
      <c r="B68" s="145" t="s">
        <v>915</v>
      </c>
      <c r="C68" s="207" t="s">
        <v>883</v>
      </c>
      <c r="D68" s="204">
        <v>23</v>
      </c>
      <c r="E68" s="15" t="s">
        <v>28</v>
      </c>
      <c r="F68" s="15" t="s">
        <v>28</v>
      </c>
      <c r="G68" s="15"/>
      <c r="H68" s="15" t="s">
        <v>28</v>
      </c>
      <c r="I68" s="15" t="s">
        <v>28</v>
      </c>
      <c r="J68" s="146"/>
    </row>
    <row r="69" spans="1:10" ht="14.4" x14ac:dyDescent="0.3">
      <c r="A69" s="76"/>
      <c r="B69" s="145" t="s">
        <v>915</v>
      </c>
      <c r="C69" s="146" t="s">
        <v>398</v>
      </c>
      <c r="D69" s="146">
        <v>20</v>
      </c>
      <c r="E69" s="15" t="s">
        <v>16</v>
      </c>
      <c r="F69" s="15" t="s">
        <v>16</v>
      </c>
      <c r="G69" s="15"/>
      <c r="H69" s="15"/>
      <c r="I69" s="15"/>
      <c r="J69" s="146"/>
    </row>
    <row r="70" spans="1:10" ht="14.4" x14ac:dyDescent="0.3">
      <c r="A70" s="76"/>
      <c r="B70" s="145" t="s">
        <v>922</v>
      </c>
      <c r="C70" s="9" t="s">
        <v>134</v>
      </c>
      <c r="D70" s="142">
        <v>18</v>
      </c>
      <c r="E70" s="15"/>
      <c r="F70" s="15"/>
      <c r="G70" s="15"/>
      <c r="H70" s="15"/>
      <c r="I70" s="15"/>
      <c r="J70" s="146"/>
    </row>
    <row r="71" spans="1:10" ht="14.4" x14ac:dyDescent="0.3">
      <c r="A71" s="76"/>
      <c r="B71" s="145" t="s">
        <v>921</v>
      </c>
      <c r="C71" s="126" t="s">
        <v>355</v>
      </c>
      <c r="D71" s="146">
        <v>23</v>
      </c>
      <c r="E71" s="15"/>
      <c r="F71" s="15"/>
      <c r="G71" s="15"/>
      <c r="H71" s="15"/>
      <c r="I71" s="15"/>
      <c r="J71" s="146"/>
    </row>
    <row r="72" spans="1:10" ht="14.4" x14ac:dyDescent="0.3">
      <c r="A72" s="76"/>
      <c r="B72" s="145" t="s">
        <v>915</v>
      </c>
      <c r="C72" s="207" t="s">
        <v>866</v>
      </c>
      <c r="D72" s="146">
        <v>23</v>
      </c>
      <c r="E72" s="15"/>
      <c r="F72" s="15"/>
      <c r="G72" s="15"/>
      <c r="H72" s="15"/>
      <c r="I72" s="15"/>
      <c r="J72" s="146"/>
    </row>
    <row r="73" spans="1:10" ht="14.4" x14ac:dyDescent="0.3">
      <c r="A73" s="76"/>
      <c r="B73" s="145" t="s">
        <v>915</v>
      </c>
      <c r="C73" s="146" t="s">
        <v>827</v>
      </c>
      <c r="D73" s="142">
        <v>16</v>
      </c>
      <c r="E73" s="15" t="s">
        <v>110</v>
      </c>
      <c r="F73" s="143" t="s">
        <v>110</v>
      </c>
      <c r="G73" s="15"/>
      <c r="H73" s="143" t="s">
        <v>110</v>
      </c>
      <c r="I73" s="204" t="s">
        <v>110</v>
      </c>
      <c r="J73" s="146"/>
    </row>
    <row r="74" spans="1:10" ht="15.6" x14ac:dyDescent="0.3">
      <c r="A74" s="76"/>
      <c r="B74" s="145" t="s">
        <v>921</v>
      </c>
      <c r="C74" s="210" t="s">
        <v>842</v>
      </c>
      <c r="D74" s="146">
        <v>22</v>
      </c>
      <c r="E74" s="15"/>
      <c r="F74" s="143"/>
      <c r="G74" s="15"/>
      <c r="H74" s="143"/>
      <c r="I74" s="143"/>
      <c r="J74" s="146"/>
    </row>
    <row r="75" spans="1:10" ht="14.4" x14ac:dyDescent="0.3">
      <c r="A75" s="76"/>
      <c r="B75" s="145" t="s">
        <v>917</v>
      </c>
      <c r="C75" s="9" t="s">
        <v>112</v>
      </c>
      <c r="D75" s="146">
        <f>+VLOOKUP(C75,'GRADUADOS '!$A$2:$B$230,2,0)</f>
        <v>16</v>
      </c>
      <c r="E75" s="15" t="s">
        <v>28</v>
      </c>
      <c r="F75" s="15"/>
      <c r="G75" s="15"/>
      <c r="H75" s="15"/>
      <c r="I75" s="15"/>
      <c r="J75" s="146"/>
    </row>
    <row r="76" spans="1:10" ht="14.4" x14ac:dyDescent="0.3">
      <c r="A76" s="76"/>
      <c r="B76" s="145" t="s">
        <v>915</v>
      </c>
      <c r="C76" s="207" t="s">
        <v>879</v>
      </c>
      <c r="D76" s="146">
        <v>23</v>
      </c>
      <c r="E76" s="82" t="s">
        <v>16</v>
      </c>
      <c r="F76" s="82"/>
      <c r="G76" s="82"/>
      <c r="H76" s="82"/>
      <c r="I76" s="82"/>
      <c r="J76" s="146"/>
    </row>
    <row r="77" spans="1:10" ht="14.4" x14ac:dyDescent="0.3">
      <c r="A77" s="76"/>
      <c r="B77" s="145" t="s">
        <v>915</v>
      </c>
      <c r="C77" s="162" t="s">
        <v>829</v>
      </c>
      <c r="D77" s="229">
        <v>21</v>
      </c>
      <c r="E77" s="15"/>
      <c r="F77" s="15"/>
      <c r="G77" s="15"/>
      <c r="H77" s="15"/>
      <c r="I77" s="15"/>
      <c r="J77" s="146"/>
    </row>
    <row r="78" spans="1:10" ht="14.4" x14ac:dyDescent="0.3">
      <c r="A78" s="76"/>
      <c r="B78" s="145" t="s">
        <v>922</v>
      </c>
      <c r="C78" s="9" t="s">
        <v>399</v>
      </c>
      <c r="D78" s="229">
        <v>20</v>
      </c>
      <c r="E78" s="15"/>
      <c r="F78" s="15"/>
      <c r="G78" s="15"/>
      <c r="H78" s="15"/>
      <c r="I78" s="15"/>
      <c r="J78" s="146"/>
    </row>
    <row r="79" spans="1:10" ht="14.4" x14ac:dyDescent="0.3">
      <c r="A79" s="76"/>
      <c r="B79" s="145" t="s">
        <v>922</v>
      </c>
      <c r="C79" s="9" t="s">
        <v>359</v>
      </c>
      <c r="D79" s="146">
        <f>+VLOOKUP(C79,'GRADUADOS '!$A$2:$B$230,2,0)</f>
        <v>16</v>
      </c>
      <c r="E79" s="242"/>
      <c r="F79" s="242"/>
      <c r="G79" s="242"/>
      <c r="H79" s="242"/>
      <c r="I79" s="241"/>
      <c r="J79" s="146"/>
    </row>
    <row r="80" spans="1:10" ht="14.4" x14ac:dyDescent="0.3">
      <c r="A80" s="76"/>
      <c r="B80" s="145" t="s">
        <v>917</v>
      </c>
      <c r="C80" s="207" t="s">
        <v>434</v>
      </c>
      <c r="D80" s="146">
        <v>23</v>
      </c>
      <c r="E80" s="15"/>
      <c r="F80" s="15"/>
      <c r="G80" s="15"/>
      <c r="H80" s="15"/>
      <c r="I80" s="15"/>
      <c r="J80" s="146"/>
    </row>
    <row r="81" spans="1:10" ht="14.4" x14ac:dyDescent="0.3">
      <c r="A81" s="76"/>
      <c r="B81" s="145" t="s">
        <v>922</v>
      </c>
      <c r="C81" s="207" t="s">
        <v>435</v>
      </c>
      <c r="D81" s="146">
        <v>23</v>
      </c>
      <c r="E81" s="15"/>
      <c r="F81" s="15"/>
      <c r="G81" s="15"/>
      <c r="H81" s="15"/>
      <c r="I81" s="15"/>
      <c r="J81" s="146"/>
    </row>
    <row r="82" spans="1:10" ht="14.4" x14ac:dyDescent="0.3">
      <c r="A82" s="76"/>
      <c r="B82" s="145" t="s">
        <v>922</v>
      </c>
      <c r="C82" s="146" t="s">
        <v>828</v>
      </c>
      <c r="D82" s="146">
        <v>19</v>
      </c>
      <c r="E82" s="15"/>
      <c r="F82" s="143"/>
      <c r="G82" s="15"/>
      <c r="H82" s="143"/>
      <c r="I82" s="143"/>
      <c r="J82" s="146"/>
    </row>
    <row r="83" spans="1:10" ht="14.4" x14ac:dyDescent="0.3">
      <c r="A83" s="76"/>
      <c r="B83" s="145" t="s">
        <v>921</v>
      </c>
      <c r="C83" s="68" t="s">
        <v>161</v>
      </c>
      <c r="D83" s="179">
        <v>20</v>
      </c>
      <c r="E83" s="15"/>
      <c r="F83" s="143"/>
      <c r="G83" s="15"/>
      <c r="H83" s="143"/>
      <c r="I83" s="143"/>
      <c r="J83" s="146"/>
    </row>
    <row r="84" spans="1:10" ht="14.4" x14ac:dyDescent="0.3">
      <c r="A84" s="76"/>
      <c r="B84" s="278" t="s">
        <v>917</v>
      </c>
      <c r="C84" s="9" t="s">
        <v>314</v>
      </c>
      <c r="D84" s="9">
        <f>+VLOOKUP(C84,'GRADUADOS '!$A$2:$B$230,2,0)</f>
        <v>13</v>
      </c>
      <c r="E84" s="142" t="s">
        <v>28</v>
      </c>
      <c r="F84" s="143"/>
      <c r="G84" s="15"/>
      <c r="H84" s="143"/>
      <c r="I84" s="143"/>
      <c r="J84" s="146"/>
    </row>
    <row r="85" spans="1:10" ht="14.4" x14ac:dyDescent="0.3">
      <c r="A85" s="76"/>
      <c r="B85" s="278" t="s">
        <v>917</v>
      </c>
      <c r="C85" s="9" t="s">
        <v>154</v>
      </c>
      <c r="D85" s="9">
        <f>+VLOOKUP(C85,'GRADUADOS '!$A$2:$B$230,2,0)</f>
        <v>19</v>
      </c>
      <c r="E85" s="142" t="s">
        <v>28</v>
      </c>
      <c r="F85" s="143"/>
      <c r="G85" s="15"/>
      <c r="H85" s="204"/>
      <c r="I85" s="204"/>
      <c r="J85" s="146"/>
    </row>
    <row r="86" spans="1:10" ht="14.4" x14ac:dyDescent="0.3">
      <c r="A86" s="76"/>
      <c r="B86" s="278" t="s">
        <v>241</v>
      </c>
      <c r="C86" s="9" t="s">
        <v>68</v>
      </c>
      <c r="D86" s="9">
        <v>11</v>
      </c>
      <c r="E86" s="142"/>
      <c r="F86" s="15"/>
      <c r="G86" s="15"/>
      <c r="H86" s="15"/>
      <c r="I86" s="9"/>
      <c r="J86" s="146" t="s">
        <v>826</v>
      </c>
    </row>
    <row r="87" spans="1:10" ht="15.6" x14ac:dyDescent="0.3">
      <c r="A87" s="76"/>
      <c r="B87" s="145" t="s">
        <v>918</v>
      </c>
      <c r="C87" s="309" t="s">
        <v>935</v>
      </c>
      <c r="D87" s="325">
        <v>24</v>
      </c>
      <c r="E87" s="15"/>
      <c r="F87" s="15" t="s">
        <v>16</v>
      </c>
      <c r="G87" s="15"/>
      <c r="H87" s="15"/>
      <c r="I87" s="15"/>
      <c r="J87" s="146"/>
    </row>
    <row r="88" spans="1:10" ht="15.6" x14ac:dyDescent="0.3">
      <c r="A88" s="76"/>
      <c r="B88" s="145" t="s">
        <v>921</v>
      </c>
      <c r="C88" s="210" t="s">
        <v>836</v>
      </c>
      <c r="D88" s="146">
        <v>21</v>
      </c>
      <c r="E88" s="15"/>
      <c r="F88" s="15"/>
      <c r="G88" s="15"/>
      <c r="H88" s="15"/>
      <c r="I88" s="9"/>
      <c r="J88" s="146"/>
    </row>
    <row r="89" spans="1:10" ht="15.6" x14ac:dyDescent="0.3">
      <c r="A89" s="76"/>
      <c r="B89" s="145" t="s">
        <v>917</v>
      </c>
      <c r="C89" s="210" t="s">
        <v>833</v>
      </c>
      <c r="D89" s="146">
        <v>21</v>
      </c>
      <c r="E89" s="15" t="s">
        <v>35</v>
      </c>
      <c r="F89" s="15"/>
      <c r="G89" s="15"/>
      <c r="H89" s="9"/>
      <c r="I89" s="9"/>
      <c r="J89" s="146"/>
    </row>
    <row r="90" spans="1:10" ht="14.4" x14ac:dyDescent="0.3">
      <c r="A90" s="76"/>
      <c r="B90" s="145" t="s">
        <v>915</v>
      </c>
      <c r="C90" s="9" t="s">
        <v>877</v>
      </c>
      <c r="D90" s="146">
        <v>23</v>
      </c>
      <c r="E90" s="15"/>
      <c r="F90" s="15"/>
      <c r="G90" s="15"/>
      <c r="H90" s="15"/>
      <c r="I90" s="15"/>
      <c r="J90" s="146"/>
    </row>
    <row r="91" spans="1:10" ht="14.4" x14ac:dyDescent="0.3">
      <c r="A91" s="76"/>
      <c r="B91" s="145" t="s">
        <v>241</v>
      </c>
      <c r="C91" s="9" t="s">
        <v>400</v>
      </c>
      <c r="D91" s="146">
        <v>20</v>
      </c>
      <c r="E91" s="15"/>
      <c r="F91" s="15"/>
      <c r="G91" s="15"/>
      <c r="H91" s="15"/>
      <c r="I91" s="15"/>
      <c r="J91" s="146"/>
    </row>
    <row r="92" spans="1:10" ht="15.6" x14ac:dyDescent="0.3">
      <c r="A92" s="76"/>
      <c r="B92" s="145" t="s">
        <v>915</v>
      </c>
      <c r="C92" s="210" t="s">
        <v>857</v>
      </c>
      <c r="D92" s="146">
        <v>22</v>
      </c>
      <c r="E92" s="15" t="s">
        <v>24</v>
      </c>
      <c r="F92" s="15" t="s">
        <v>24</v>
      </c>
      <c r="G92" s="15"/>
      <c r="H92" s="9" t="s">
        <v>24</v>
      </c>
      <c r="I92" s="9" t="s">
        <v>24</v>
      </c>
      <c r="J92" s="146"/>
    </row>
    <row r="93" spans="1:10" ht="15.6" x14ac:dyDescent="0.3">
      <c r="A93" s="76"/>
      <c r="B93" s="145" t="s">
        <v>915</v>
      </c>
      <c r="C93" s="210" t="s">
        <v>936</v>
      </c>
      <c r="D93" s="319">
        <v>25</v>
      </c>
      <c r="E93" s="15"/>
      <c r="F93" s="15" t="s">
        <v>110</v>
      </c>
      <c r="G93" s="15"/>
      <c r="H93" s="15" t="s">
        <v>110</v>
      </c>
      <c r="I93" s="15" t="s">
        <v>110</v>
      </c>
      <c r="J93" s="146"/>
    </row>
    <row r="94" spans="1:10" ht="15.6" x14ac:dyDescent="0.3">
      <c r="A94" s="76"/>
      <c r="B94" s="145" t="s">
        <v>918</v>
      </c>
      <c r="C94" s="182" t="s">
        <v>937</v>
      </c>
      <c r="D94" s="284"/>
      <c r="E94" s="15" t="s">
        <v>16</v>
      </c>
      <c r="F94" s="143"/>
      <c r="G94" s="15"/>
      <c r="H94" s="15"/>
      <c r="I94" s="15"/>
      <c r="J94" s="146"/>
    </row>
    <row r="95" spans="1:10" ht="14.4" x14ac:dyDescent="0.3">
      <c r="A95" s="76"/>
      <c r="B95" s="145" t="s">
        <v>922</v>
      </c>
      <c r="C95" s="207" t="s">
        <v>863</v>
      </c>
      <c r="D95" s="146">
        <v>23</v>
      </c>
      <c r="E95" s="15"/>
      <c r="F95" s="143"/>
      <c r="G95" s="15"/>
      <c r="H95" s="15"/>
      <c r="I95" s="15"/>
      <c r="J95" s="146"/>
    </row>
    <row r="96" spans="1:10" ht="14.4" x14ac:dyDescent="0.3">
      <c r="A96" s="76"/>
      <c r="B96" s="145" t="s">
        <v>917</v>
      </c>
      <c r="C96" s="9" t="s">
        <v>34</v>
      </c>
      <c r="D96" s="142">
        <v>11</v>
      </c>
      <c r="E96" s="15" t="s">
        <v>16</v>
      </c>
      <c r="F96" s="143"/>
      <c r="G96" s="15"/>
      <c r="H96" s="15" t="s">
        <v>16</v>
      </c>
      <c r="I96" s="9"/>
      <c r="J96" s="146"/>
    </row>
    <row r="97" spans="1:10" ht="15.6" x14ac:dyDescent="0.3">
      <c r="A97" s="76"/>
      <c r="B97" s="145" t="s">
        <v>917</v>
      </c>
      <c r="C97" s="210" t="s">
        <v>938</v>
      </c>
      <c r="D97" s="319">
        <v>25</v>
      </c>
      <c r="E97" s="15"/>
      <c r="F97" s="15" t="s">
        <v>110</v>
      </c>
      <c r="G97" s="15"/>
      <c r="H97" s="15" t="s">
        <v>110</v>
      </c>
      <c r="I97" s="15" t="s">
        <v>110</v>
      </c>
      <c r="J97" s="146"/>
    </row>
    <row r="98" spans="1:10" ht="14.4" x14ac:dyDescent="0.3">
      <c r="A98" s="76"/>
      <c r="B98" s="145" t="s">
        <v>922</v>
      </c>
      <c r="C98" s="207" t="s">
        <v>872</v>
      </c>
      <c r="D98" s="146">
        <v>23</v>
      </c>
      <c r="E98" s="15"/>
      <c r="F98" s="15"/>
      <c r="G98" s="15"/>
      <c r="H98" s="15"/>
      <c r="I98" s="15"/>
      <c r="J98" s="146"/>
    </row>
    <row r="99" spans="1:10" ht="15.6" x14ac:dyDescent="0.3">
      <c r="A99" s="76"/>
      <c r="B99" s="145" t="s">
        <v>922</v>
      </c>
      <c r="C99" s="210" t="s">
        <v>939</v>
      </c>
      <c r="D99" s="319">
        <v>25</v>
      </c>
      <c r="E99" s="15" t="s">
        <v>28</v>
      </c>
      <c r="F99" s="143" t="s">
        <v>110</v>
      </c>
      <c r="G99" s="15"/>
      <c r="H99" s="15" t="s">
        <v>110</v>
      </c>
      <c r="I99" s="15" t="s">
        <v>110</v>
      </c>
      <c r="J99" s="146"/>
    </row>
    <row r="100" spans="1:10" ht="15.6" x14ac:dyDescent="0.3">
      <c r="A100" s="76"/>
      <c r="B100" s="145" t="s">
        <v>921</v>
      </c>
      <c r="C100" s="210" t="s">
        <v>850</v>
      </c>
      <c r="D100" s="179">
        <v>22</v>
      </c>
      <c r="E100" s="15"/>
      <c r="F100" s="15"/>
      <c r="G100" s="15"/>
      <c r="H100" s="15"/>
      <c r="I100" s="9"/>
      <c r="J100" s="146"/>
    </row>
    <row r="101" spans="1:10" ht="14.4" x14ac:dyDescent="0.3">
      <c r="A101" s="76"/>
      <c r="B101" s="145" t="s">
        <v>921</v>
      </c>
      <c r="C101" s="9" t="s">
        <v>278</v>
      </c>
      <c r="D101" s="142">
        <v>10</v>
      </c>
      <c r="E101" s="142"/>
      <c r="F101" s="15"/>
      <c r="G101" s="15"/>
      <c r="H101" s="9"/>
      <c r="I101" s="9"/>
      <c r="J101" s="146">
        <f>42+204</f>
        <v>246</v>
      </c>
    </row>
    <row r="102" spans="1:10" ht="14.4" x14ac:dyDescent="0.3">
      <c r="A102" s="76"/>
      <c r="B102" s="145" t="s">
        <v>917</v>
      </c>
      <c r="C102" s="9" t="s">
        <v>158</v>
      </c>
      <c r="D102" s="204">
        <v>20</v>
      </c>
      <c r="E102" s="15" t="s">
        <v>24</v>
      </c>
      <c r="F102" s="143"/>
      <c r="G102" s="15"/>
      <c r="H102" s="15"/>
      <c r="I102" s="15"/>
      <c r="J102" s="146"/>
    </row>
    <row r="103" spans="1:10" ht="15.6" x14ac:dyDescent="0.3">
      <c r="A103" s="76"/>
      <c r="B103" s="145" t="s">
        <v>922</v>
      </c>
      <c r="C103" s="210" t="s">
        <v>940</v>
      </c>
      <c r="D103" s="319">
        <v>25</v>
      </c>
      <c r="E103" s="15"/>
      <c r="F103" s="15" t="s">
        <v>110</v>
      </c>
      <c r="G103" s="15"/>
      <c r="H103" s="15" t="s">
        <v>110</v>
      </c>
      <c r="I103" s="15" t="s">
        <v>110</v>
      </c>
      <c r="J103" s="146"/>
    </row>
    <row r="104" spans="1:10" ht="15.6" x14ac:dyDescent="0.3">
      <c r="A104" s="76"/>
      <c r="B104" s="145" t="s">
        <v>917</v>
      </c>
      <c r="C104" s="210" t="s">
        <v>843</v>
      </c>
      <c r="D104" s="146">
        <v>22</v>
      </c>
      <c r="E104" s="15" t="s">
        <v>28</v>
      </c>
      <c r="F104" s="15"/>
      <c r="G104" s="15"/>
      <c r="H104" s="9"/>
      <c r="I104" s="9"/>
      <c r="J104" s="146"/>
    </row>
    <row r="105" spans="1:10" ht="15.6" x14ac:dyDescent="0.3">
      <c r="A105" s="76"/>
      <c r="B105" s="145" t="s">
        <v>915</v>
      </c>
      <c r="C105" s="210" t="s">
        <v>838</v>
      </c>
      <c r="D105" s="146">
        <v>21</v>
      </c>
      <c r="E105" s="15"/>
      <c r="F105" s="15"/>
      <c r="G105" s="15"/>
      <c r="H105" s="15"/>
      <c r="I105" s="9"/>
      <c r="J105" s="146"/>
    </row>
    <row r="106" spans="1:10" ht="15.6" x14ac:dyDescent="0.3">
      <c r="A106" s="76"/>
      <c r="B106" s="145" t="s">
        <v>921</v>
      </c>
      <c r="C106" s="182" t="s">
        <v>900</v>
      </c>
      <c r="D106" s="284">
        <v>24</v>
      </c>
      <c r="E106" s="15"/>
      <c r="F106" s="143"/>
      <c r="G106" s="15"/>
      <c r="H106" s="15"/>
      <c r="I106" s="15"/>
      <c r="J106" s="146"/>
    </row>
    <row r="107" spans="1:10" ht="15.6" x14ac:dyDescent="0.3">
      <c r="A107" s="76"/>
      <c r="B107" s="145" t="s">
        <v>921</v>
      </c>
      <c r="C107" s="210" t="s">
        <v>941</v>
      </c>
      <c r="D107" s="319">
        <v>25</v>
      </c>
      <c r="E107" s="15"/>
      <c r="F107" s="143" t="s">
        <v>110</v>
      </c>
      <c r="G107" s="15"/>
      <c r="H107" s="15" t="s">
        <v>110</v>
      </c>
      <c r="I107" s="15" t="s">
        <v>110</v>
      </c>
      <c r="J107" s="146"/>
    </row>
    <row r="108" spans="1:10" ht="15.6" x14ac:dyDescent="0.3">
      <c r="A108" s="76"/>
      <c r="B108" s="145" t="s">
        <v>915</v>
      </c>
      <c r="C108" s="210" t="s">
        <v>834</v>
      </c>
      <c r="D108" s="146">
        <v>21</v>
      </c>
      <c r="E108" s="80" t="s">
        <v>110</v>
      </c>
      <c r="F108" s="15" t="s">
        <v>110</v>
      </c>
      <c r="G108" s="15"/>
      <c r="H108" s="15" t="s">
        <v>110</v>
      </c>
      <c r="I108" s="15" t="s">
        <v>110</v>
      </c>
      <c r="J108" s="146"/>
    </row>
    <row r="109" spans="1:10" ht="15.6" x14ac:dyDescent="0.3">
      <c r="A109" s="76"/>
      <c r="B109" s="145" t="s">
        <v>921</v>
      </c>
      <c r="C109" s="210" t="s">
        <v>832</v>
      </c>
      <c r="D109" s="146">
        <v>21</v>
      </c>
      <c r="E109" s="15"/>
      <c r="F109" s="15"/>
      <c r="G109" s="15"/>
      <c r="H109" s="9"/>
      <c r="I109" s="9"/>
    </row>
    <row r="110" spans="1:10" ht="14.4" x14ac:dyDescent="0.3">
      <c r="A110" s="76"/>
      <c r="B110" s="145" t="s">
        <v>922</v>
      </c>
      <c r="C110" s="126" t="s">
        <v>102</v>
      </c>
      <c r="D110" s="272">
        <f>+VLOOKUP(C110,'GRADUADOS '!$A$2:$B$230,2,0)</f>
        <v>18</v>
      </c>
      <c r="E110" s="15" t="s">
        <v>24</v>
      </c>
      <c r="F110" s="15" t="s">
        <v>24</v>
      </c>
      <c r="G110" s="15"/>
      <c r="H110" s="9" t="s">
        <v>24</v>
      </c>
      <c r="I110" s="9" t="s">
        <v>24</v>
      </c>
      <c r="J110" s="146"/>
    </row>
    <row r="111" spans="1:10" ht="15.6" x14ac:dyDescent="0.3">
      <c r="A111" s="76"/>
      <c r="B111" s="145" t="s">
        <v>921</v>
      </c>
      <c r="C111" s="210" t="s">
        <v>942</v>
      </c>
      <c r="D111" s="323">
        <v>25</v>
      </c>
      <c r="E111" s="171" t="s">
        <v>16</v>
      </c>
      <c r="F111" s="82" t="s">
        <v>110</v>
      </c>
      <c r="G111" s="15"/>
      <c r="H111" s="15" t="s">
        <v>110</v>
      </c>
      <c r="I111" s="15" t="s">
        <v>110</v>
      </c>
      <c r="J111" s="146"/>
    </row>
    <row r="112" spans="1:10" ht="14.4" x14ac:dyDescent="0.3">
      <c r="A112" s="76"/>
      <c r="B112" s="145" t="s">
        <v>921</v>
      </c>
      <c r="C112" s="207" t="s">
        <v>875</v>
      </c>
      <c r="D112" s="305">
        <v>23</v>
      </c>
      <c r="E112" s="15"/>
      <c r="F112" s="15"/>
      <c r="G112" s="15"/>
      <c r="H112" s="15"/>
      <c r="I112" s="15"/>
      <c r="J112" s="146"/>
    </row>
    <row r="113" spans="1:10" ht="14.4" x14ac:dyDescent="0.3">
      <c r="A113" s="76"/>
      <c r="B113" s="145" t="s">
        <v>917</v>
      </c>
      <c r="C113" s="308" t="s">
        <v>878</v>
      </c>
      <c r="D113" s="9">
        <v>23</v>
      </c>
      <c r="E113" s="143" t="s">
        <v>16</v>
      </c>
      <c r="F113" s="80"/>
      <c r="G113" s="15"/>
      <c r="H113" s="15"/>
      <c r="I113" s="15"/>
      <c r="J113" s="146"/>
    </row>
    <row r="114" spans="1:10" ht="15.6" x14ac:dyDescent="0.3">
      <c r="A114" s="76"/>
      <c r="B114" s="226" t="s">
        <v>918</v>
      </c>
      <c r="C114" s="279" t="s">
        <v>943</v>
      </c>
      <c r="D114" s="320">
        <v>24</v>
      </c>
      <c r="E114" s="15" t="s">
        <v>16</v>
      </c>
      <c r="F114" s="15"/>
      <c r="G114" s="15"/>
      <c r="H114" s="15"/>
      <c r="I114" s="15"/>
      <c r="J114" s="146"/>
    </row>
    <row r="115" spans="1:10" ht="14.4" x14ac:dyDescent="0.3">
      <c r="A115" s="76"/>
      <c r="B115" s="227" t="s">
        <v>915</v>
      </c>
      <c r="C115" s="9" t="s">
        <v>169</v>
      </c>
      <c r="D115" s="76">
        <v>20</v>
      </c>
      <c r="E115" s="15"/>
      <c r="F115" s="15"/>
      <c r="G115" s="15"/>
      <c r="H115" s="15"/>
      <c r="I115" s="15"/>
      <c r="J115" s="146"/>
    </row>
    <row r="116" spans="1:10" ht="14.4" x14ac:dyDescent="0.3">
      <c r="A116" s="76"/>
      <c r="B116" s="227" t="s">
        <v>915</v>
      </c>
      <c r="C116" s="1" t="s">
        <v>415</v>
      </c>
      <c r="D116" s="33">
        <v>22</v>
      </c>
      <c r="E116" s="80" t="s">
        <v>28</v>
      </c>
      <c r="F116" s="80" t="s">
        <v>28</v>
      </c>
      <c r="G116" s="15"/>
      <c r="H116" s="15" t="s">
        <v>28</v>
      </c>
      <c r="I116" s="15" t="s">
        <v>35</v>
      </c>
      <c r="J116" s="146"/>
    </row>
    <row r="117" spans="1:10" ht="15.6" x14ac:dyDescent="0.3">
      <c r="A117" s="76"/>
      <c r="B117" s="218" t="s">
        <v>922</v>
      </c>
      <c r="C117" s="310" t="s">
        <v>839</v>
      </c>
      <c r="D117" s="9">
        <v>21</v>
      </c>
      <c r="E117" s="143"/>
      <c r="F117" s="80"/>
      <c r="G117" s="80"/>
      <c r="H117" s="80"/>
      <c r="I117" s="79"/>
      <c r="J117" s="146"/>
    </row>
    <row r="118" spans="1:10" ht="14.4" x14ac:dyDescent="0.3">
      <c r="A118" s="76"/>
      <c r="B118" s="145" t="s">
        <v>915</v>
      </c>
      <c r="C118" s="9" t="s">
        <v>363</v>
      </c>
      <c r="D118" s="79">
        <f>+VLOOKUP(C118,'GRADUADOS '!$A$2:$B$230,2,0)</f>
        <v>16</v>
      </c>
      <c r="E118" s="143"/>
      <c r="F118" s="80"/>
      <c r="G118" s="15"/>
      <c r="H118" s="80"/>
      <c r="I118" s="80"/>
      <c r="J118" s="146"/>
    </row>
    <row r="119" spans="1:10" ht="14.4" x14ac:dyDescent="0.3">
      <c r="A119" s="76" t="s">
        <v>241</v>
      </c>
      <c r="B119" s="145" t="s">
        <v>241</v>
      </c>
      <c r="C119" s="9" t="s">
        <v>858</v>
      </c>
      <c r="D119" s="9">
        <v>22</v>
      </c>
      <c r="E119" s="143"/>
      <c r="F119" s="80"/>
      <c r="G119" s="15"/>
      <c r="H119" s="80"/>
      <c r="I119" s="80"/>
      <c r="J119" s="146"/>
    </row>
    <row r="120" spans="1:10" ht="15.6" x14ac:dyDescent="0.3">
      <c r="A120" s="76"/>
      <c r="B120" s="145" t="s">
        <v>918</v>
      </c>
      <c r="C120" s="182" t="s">
        <v>887</v>
      </c>
      <c r="D120" s="182">
        <v>24</v>
      </c>
      <c r="E120" s="143"/>
      <c r="F120" s="80" t="s">
        <v>16</v>
      </c>
      <c r="G120" s="15"/>
      <c r="H120" s="80"/>
      <c r="I120" s="80"/>
      <c r="J120" s="146"/>
    </row>
    <row r="121" spans="1:10" ht="14.4" x14ac:dyDescent="0.3">
      <c r="A121" s="76"/>
      <c r="B121" s="145" t="s">
        <v>921</v>
      </c>
      <c r="C121" s="9" t="s">
        <v>300</v>
      </c>
      <c r="D121" s="15">
        <v>12</v>
      </c>
      <c r="E121" s="80"/>
      <c r="F121" s="80"/>
      <c r="G121" s="15"/>
      <c r="H121" s="79"/>
      <c r="I121" s="79"/>
      <c r="J121" s="146"/>
    </row>
    <row r="122" spans="1:10" ht="15.6" x14ac:dyDescent="0.3">
      <c r="A122" s="76"/>
      <c r="B122" s="145" t="s">
        <v>915</v>
      </c>
      <c r="C122" s="182" t="s">
        <v>898</v>
      </c>
      <c r="D122" s="182">
        <v>24</v>
      </c>
      <c r="E122" s="143" t="s">
        <v>110</v>
      </c>
      <c r="F122" s="80" t="s">
        <v>110</v>
      </c>
      <c r="G122" s="15"/>
      <c r="H122" s="80" t="s">
        <v>110</v>
      </c>
      <c r="I122" s="80" t="s">
        <v>110</v>
      </c>
      <c r="J122" s="146"/>
    </row>
    <row r="123" spans="1:10" ht="14.4" x14ac:dyDescent="0.3">
      <c r="A123" s="76"/>
      <c r="B123" s="145" t="s">
        <v>244</v>
      </c>
      <c r="C123" s="9" t="s">
        <v>328</v>
      </c>
      <c r="D123" s="9">
        <f>+VLOOKUP(C123,'GRADUADOS '!$A$2:$B$230,2,0)</f>
        <v>14</v>
      </c>
      <c r="E123" s="143"/>
      <c r="F123" s="80"/>
      <c r="G123" s="15"/>
      <c r="H123" s="9"/>
      <c r="I123" s="79"/>
      <c r="J123" s="146"/>
    </row>
    <row r="124" spans="1:10" ht="14.4" x14ac:dyDescent="0.3">
      <c r="A124" s="76"/>
      <c r="B124" s="145" t="s">
        <v>915</v>
      </c>
      <c r="C124" s="9" t="s">
        <v>58</v>
      </c>
      <c r="D124" s="9">
        <f>+VLOOKUP(C124,'GRADUADOS '!$A$2:$B$230,2,0)</f>
        <v>13</v>
      </c>
      <c r="E124" s="143"/>
      <c r="F124" s="80"/>
      <c r="G124" s="15"/>
      <c r="H124" s="15"/>
      <c r="I124" s="80"/>
      <c r="J124" s="146"/>
    </row>
    <row r="125" spans="1:10" ht="15.6" x14ac:dyDescent="0.3">
      <c r="A125" s="76"/>
      <c r="B125" s="145" t="s">
        <v>921</v>
      </c>
      <c r="C125" s="210" t="s">
        <v>944</v>
      </c>
      <c r="D125" s="210">
        <v>25</v>
      </c>
      <c r="E125" s="232"/>
      <c r="F125" s="80" t="s">
        <v>110</v>
      </c>
      <c r="G125" s="15"/>
      <c r="H125" s="15" t="s">
        <v>110</v>
      </c>
      <c r="I125" s="80" t="s">
        <v>110</v>
      </c>
      <c r="J125" s="146"/>
    </row>
    <row r="126" spans="1:10" ht="15.6" x14ac:dyDescent="0.3">
      <c r="A126" s="76"/>
      <c r="B126" s="145" t="s">
        <v>917</v>
      </c>
      <c r="C126" s="210" t="s">
        <v>851</v>
      </c>
      <c r="D126" s="76">
        <v>22</v>
      </c>
      <c r="E126" s="15" t="s">
        <v>954</v>
      </c>
      <c r="F126" s="80"/>
      <c r="G126" s="15"/>
      <c r="H126" s="143"/>
      <c r="I126" s="79"/>
      <c r="J126" s="146"/>
    </row>
    <row r="127" spans="1:10" ht="15.6" x14ac:dyDescent="0.3">
      <c r="A127" s="76"/>
      <c r="B127" s="145" t="s">
        <v>917</v>
      </c>
      <c r="C127" s="210" t="s">
        <v>837</v>
      </c>
      <c r="D127" s="9">
        <v>21</v>
      </c>
      <c r="E127" s="143" t="s">
        <v>24</v>
      </c>
      <c r="F127" s="15"/>
      <c r="G127" s="15"/>
      <c r="H127" s="79"/>
      <c r="I127" s="79"/>
      <c r="J127" s="146"/>
    </row>
    <row r="128" spans="1:10" ht="15.6" x14ac:dyDescent="0.3">
      <c r="A128" s="76"/>
      <c r="B128" s="145" t="s">
        <v>922</v>
      </c>
      <c r="C128" s="182" t="s">
        <v>889</v>
      </c>
      <c r="D128" s="182">
        <v>24</v>
      </c>
      <c r="E128" s="143" t="s">
        <v>110</v>
      </c>
      <c r="F128" s="80" t="s">
        <v>110</v>
      </c>
      <c r="G128" s="15"/>
      <c r="H128" s="80" t="s">
        <v>110</v>
      </c>
      <c r="I128" s="80" t="s">
        <v>110</v>
      </c>
      <c r="J128" s="146"/>
    </row>
    <row r="129" spans="1:10" ht="14.4" x14ac:dyDescent="0.3">
      <c r="A129" s="76"/>
      <c r="B129" s="145" t="s">
        <v>918</v>
      </c>
      <c r="C129" s="9" t="s">
        <v>62</v>
      </c>
      <c r="D129" s="15">
        <v>13</v>
      </c>
      <c r="E129" s="143"/>
      <c r="F129" s="80" t="s">
        <v>16</v>
      </c>
      <c r="G129" s="15"/>
      <c r="H129" s="15"/>
      <c r="I129" s="80"/>
      <c r="J129" s="146"/>
    </row>
    <row r="130" spans="1:10" ht="14.4" x14ac:dyDescent="0.3">
      <c r="A130" s="76"/>
      <c r="B130" s="145" t="s">
        <v>922</v>
      </c>
      <c r="C130" s="9" t="s">
        <v>162</v>
      </c>
      <c r="D130" s="9">
        <v>20</v>
      </c>
      <c r="E130" s="143"/>
      <c r="F130" s="80"/>
      <c r="G130" s="15"/>
      <c r="H130" s="15"/>
      <c r="I130" s="80"/>
      <c r="J130" s="146"/>
    </row>
    <row r="131" spans="1:10" ht="15.6" x14ac:dyDescent="0.3">
      <c r="A131" s="76"/>
      <c r="B131" s="145" t="s">
        <v>922</v>
      </c>
      <c r="C131" s="210" t="s">
        <v>835</v>
      </c>
      <c r="D131" s="9">
        <v>21</v>
      </c>
      <c r="E131" s="143" t="s">
        <v>16</v>
      </c>
      <c r="F131" s="80"/>
      <c r="G131" s="15"/>
      <c r="H131" s="15"/>
      <c r="I131" s="80"/>
      <c r="J131" s="146"/>
    </row>
    <row r="132" spans="1:10" ht="15.6" x14ac:dyDescent="0.3">
      <c r="A132" s="76"/>
      <c r="B132" s="145" t="s">
        <v>915</v>
      </c>
      <c r="C132" s="210" t="s">
        <v>844</v>
      </c>
      <c r="D132" s="9">
        <v>22</v>
      </c>
      <c r="E132" s="143" t="s">
        <v>110</v>
      </c>
      <c r="F132" s="80" t="s">
        <v>110</v>
      </c>
      <c r="G132" s="15"/>
      <c r="H132" s="9" t="s">
        <v>110</v>
      </c>
      <c r="I132" s="79" t="s">
        <v>110</v>
      </c>
      <c r="J132" s="146"/>
    </row>
    <row r="133" spans="1:10" ht="15.6" x14ac:dyDescent="0.3">
      <c r="A133" s="76"/>
      <c r="B133" s="145" t="s">
        <v>917</v>
      </c>
      <c r="C133" s="210" t="s">
        <v>945</v>
      </c>
      <c r="D133" s="210">
        <v>25</v>
      </c>
      <c r="E133" s="143"/>
      <c r="F133" s="80" t="s">
        <v>110</v>
      </c>
      <c r="G133" s="15"/>
      <c r="H133" s="15" t="s">
        <v>110</v>
      </c>
      <c r="I133" s="80" t="s">
        <v>110</v>
      </c>
    </row>
    <row r="134" spans="1:10" ht="14.4" x14ac:dyDescent="0.3">
      <c r="A134" s="76"/>
      <c r="B134" s="145" t="s">
        <v>915</v>
      </c>
      <c r="C134" s="9" t="s">
        <v>135</v>
      </c>
      <c r="D134" s="15">
        <v>18</v>
      </c>
      <c r="E134" s="143" t="s">
        <v>24</v>
      </c>
      <c r="F134" s="80" t="s">
        <v>24</v>
      </c>
      <c r="G134" s="15"/>
      <c r="H134" s="15"/>
      <c r="I134" s="80"/>
    </row>
    <row r="135" spans="1:10" ht="14.4" x14ac:dyDescent="0.3">
      <c r="A135" s="76"/>
      <c r="B135" s="145" t="s">
        <v>917</v>
      </c>
      <c r="C135" s="9" t="s">
        <v>392</v>
      </c>
      <c r="D135" s="9">
        <v>23</v>
      </c>
      <c r="E135" s="143" t="s">
        <v>28</v>
      </c>
      <c r="F135" s="80"/>
      <c r="G135" s="15"/>
      <c r="H135" s="15"/>
      <c r="I135" s="80"/>
    </row>
    <row r="136" spans="1:10" ht="15.6" x14ac:dyDescent="0.3">
      <c r="A136" s="76"/>
      <c r="B136" s="145"/>
      <c r="C136" s="182" t="s">
        <v>946</v>
      </c>
      <c r="D136" s="182"/>
      <c r="E136" s="143"/>
      <c r="F136" s="80"/>
      <c r="G136" s="15"/>
      <c r="H136" s="15" t="s">
        <v>16</v>
      </c>
      <c r="I136" s="80"/>
    </row>
    <row r="137" spans="1:10" ht="14.4" x14ac:dyDescent="0.3">
      <c r="A137" s="76"/>
      <c r="B137" s="145" t="s">
        <v>915</v>
      </c>
      <c r="C137" s="207" t="s">
        <v>874</v>
      </c>
      <c r="D137" s="9">
        <v>23</v>
      </c>
      <c r="E137" s="143" t="s">
        <v>24</v>
      </c>
      <c r="F137" s="80" t="s">
        <v>24</v>
      </c>
      <c r="G137" s="15"/>
      <c r="H137" s="15" t="s">
        <v>24</v>
      </c>
      <c r="I137" s="80" t="s">
        <v>24</v>
      </c>
    </row>
    <row r="138" spans="1:10" ht="14.4" x14ac:dyDescent="0.3">
      <c r="A138" s="76"/>
      <c r="B138" s="145" t="s">
        <v>917</v>
      </c>
      <c r="C138" s="126" t="s">
        <v>280</v>
      </c>
      <c r="D138" s="9">
        <v>22</v>
      </c>
      <c r="E138" s="143" t="s">
        <v>110</v>
      </c>
      <c r="F138" s="80"/>
      <c r="G138" s="15"/>
      <c r="H138" s="15"/>
      <c r="I138" s="80"/>
    </row>
    <row r="139" spans="1:10" ht="14.4" x14ac:dyDescent="0.3">
      <c r="A139" s="76"/>
      <c r="B139" s="145" t="s">
        <v>921</v>
      </c>
      <c r="C139" s="126" t="s">
        <v>138</v>
      </c>
      <c r="D139" s="9">
        <v>18</v>
      </c>
      <c r="E139" s="143"/>
      <c r="F139" s="80"/>
      <c r="G139" s="15"/>
      <c r="H139" s="15"/>
      <c r="I139" s="79"/>
    </row>
    <row r="140" spans="1:10" ht="14.4" x14ac:dyDescent="0.3">
      <c r="A140" s="76"/>
      <c r="B140" s="145" t="s">
        <v>921</v>
      </c>
      <c r="C140" s="9" t="s">
        <v>186</v>
      </c>
      <c r="D140" s="9">
        <f>+VLOOKUP(C140,'GRADUADOS '!$A$2:$B$230,2,0)</f>
        <v>16</v>
      </c>
      <c r="E140" s="143"/>
      <c r="F140" s="80"/>
      <c r="G140" s="15"/>
      <c r="H140" s="15"/>
      <c r="I140" s="79"/>
    </row>
    <row r="141" spans="1:10" ht="14.4" x14ac:dyDescent="0.3">
      <c r="A141" s="76"/>
      <c r="B141" s="145" t="s">
        <v>917</v>
      </c>
      <c r="C141" s="207" t="s">
        <v>882</v>
      </c>
      <c r="D141" s="9">
        <v>23</v>
      </c>
      <c r="E141" s="143" t="s">
        <v>16</v>
      </c>
      <c r="F141" s="80"/>
      <c r="G141" s="15"/>
      <c r="H141" s="15"/>
      <c r="I141" s="80"/>
    </row>
    <row r="142" spans="1:10" ht="14.4" x14ac:dyDescent="0.3">
      <c r="A142" s="76"/>
      <c r="B142" s="145" t="s">
        <v>922</v>
      </c>
      <c r="C142" s="207" t="s">
        <v>880</v>
      </c>
      <c r="D142" s="9">
        <v>23</v>
      </c>
      <c r="E142" s="143" t="s">
        <v>28</v>
      </c>
      <c r="F142" s="80" t="s">
        <v>28</v>
      </c>
      <c r="G142" s="15"/>
      <c r="H142" s="15" t="s">
        <v>28</v>
      </c>
      <c r="I142" s="80" t="s">
        <v>28</v>
      </c>
    </row>
    <row r="143" spans="1:10" ht="15.6" x14ac:dyDescent="0.3">
      <c r="A143" s="76"/>
      <c r="B143" s="145" t="s">
        <v>921</v>
      </c>
      <c r="C143" s="210" t="s">
        <v>859</v>
      </c>
      <c r="D143" s="9">
        <v>22</v>
      </c>
      <c r="E143" s="232"/>
      <c r="F143" s="80"/>
      <c r="G143" s="15"/>
      <c r="H143" s="15"/>
      <c r="I143" s="80"/>
      <c r="J143" s="22"/>
    </row>
    <row r="144" spans="1:10" ht="15.6" x14ac:dyDescent="0.3">
      <c r="A144" s="76"/>
      <c r="B144" s="145" t="s">
        <v>915</v>
      </c>
      <c r="C144" s="210" t="s">
        <v>852</v>
      </c>
      <c r="D144" s="76">
        <v>22</v>
      </c>
      <c r="E144" s="15" t="s">
        <v>24</v>
      </c>
      <c r="F144" s="143" t="s">
        <v>24</v>
      </c>
      <c r="G144" s="15"/>
      <c r="H144" s="15" t="s">
        <v>24</v>
      </c>
      <c r="I144" s="79" t="s">
        <v>24</v>
      </c>
    </row>
    <row r="145" spans="1:10" ht="14.4" x14ac:dyDescent="0.3">
      <c r="A145" s="76"/>
      <c r="B145" s="226" t="s">
        <v>917</v>
      </c>
      <c r="C145" s="9" t="s">
        <v>348</v>
      </c>
      <c r="D145" s="127">
        <f>+VLOOKUP(C145,'GRADUADOS '!$A$2:$B$230,2,0)</f>
        <v>15</v>
      </c>
      <c r="E145" s="15" t="s">
        <v>24</v>
      </c>
      <c r="F145" s="143"/>
      <c r="G145" s="15"/>
      <c r="H145" s="15"/>
      <c r="I145" s="79"/>
    </row>
    <row r="146" spans="1:10" ht="14.4" x14ac:dyDescent="0.3">
      <c r="A146" s="76"/>
      <c r="B146" s="227" t="s">
        <v>915</v>
      </c>
      <c r="C146" s="9" t="s">
        <v>46</v>
      </c>
      <c r="D146" s="127">
        <f>+VLOOKUP(C146,'GRADUADOS '!$A$2:$B$230,2,0)</f>
        <v>12</v>
      </c>
      <c r="E146" s="67" t="s">
        <v>110</v>
      </c>
      <c r="F146" s="143" t="s">
        <v>110</v>
      </c>
      <c r="G146" s="15"/>
      <c r="H146" s="9" t="s">
        <v>110</v>
      </c>
      <c r="I146" s="79" t="s">
        <v>110</v>
      </c>
    </row>
    <row r="147" spans="1:10" ht="14.4" x14ac:dyDescent="0.3">
      <c r="A147" s="76"/>
      <c r="B147" s="227" t="s">
        <v>921</v>
      </c>
      <c r="C147" s="9" t="s">
        <v>182</v>
      </c>
      <c r="D147" s="127">
        <v>21</v>
      </c>
      <c r="E147" s="15"/>
      <c r="F147" s="143"/>
      <c r="G147" s="15"/>
      <c r="H147" s="15"/>
      <c r="I147" s="80"/>
    </row>
    <row r="148" spans="1:10" ht="14.4" x14ac:dyDescent="0.3">
      <c r="A148" s="76"/>
      <c r="B148" s="218" t="s">
        <v>241</v>
      </c>
      <c r="C148" s="9" t="s">
        <v>845</v>
      </c>
      <c r="D148" s="127">
        <v>22</v>
      </c>
      <c r="E148" s="15"/>
      <c r="F148" s="143"/>
      <c r="G148" s="15"/>
      <c r="H148" s="9"/>
      <c r="I148" s="79"/>
    </row>
    <row r="149" spans="1:10" ht="15.6" x14ac:dyDescent="0.3">
      <c r="A149" s="76"/>
      <c r="B149" s="226" t="s">
        <v>922</v>
      </c>
      <c r="C149" s="182" t="s">
        <v>861</v>
      </c>
      <c r="D149" s="311">
        <v>22</v>
      </c>
      <c r="E149" s="15"/>
      <c r="F149" s="143"/>
      <c r="G149" s="15"/>
      <c r="H149" s="15"/>
      <c r="I149" s="80"/>
    </row>
    <row r="150" spans="1:10" ht="15.6" x14ac:dyDescent="0.3">
      <c r="A150" s="76"/>
      <c r="B150" s="227" t="s">
        <v>921</v>
      </c>
      <c r="C150" s="182" t="s">
        <v>890</v>
      </c>
      <c r="D150" s="311">
        <v>24</v>
      </c>
      <c r="E150" s="15"/>
      <c r="F150" s="143"/>
      <c r="G150" s="15"/>
      <c r="H150" s="15"/>
      <c r="I150" s="80"/>
    </row>
    <row r="151" spans="1:10" ht="15.6" x14ac:dyDescent="0.3">
      <c r="A151" s="76"/>
      <c r="B151" s="227" t="s">
        <v>918</v>
      </c>
      <c r="C151" s="182" t="s">
        <v>947</v>
      </c>
      <c r="D151" s="311">
        <v>24</v>
      </c>
      <c r="E151" s="15" t="s">
        <v>16</v>
      </c>
      <c r="F151" s="143"/>
      <c r="G151" s="15"/>
      <c r="H151" s="15"/>
      <c r="I151" s="80"/>
    </row>
    <row r="152" spans="1:10" ht="15.6" x14ac:dyDescent="0.3">
      <c r="A152" s="76"/>
      <c r="B152" s="218" t="s">
        <v>241</v>
      </c>
      <c r="C152" s="182" t="s">
        <v>860</v>
      </c>
      <c r="D152" s="324">
        <v>22</v>
      </c>
      <c r="E152" s="15"/>
      <c r="F152" s="143"/>
      <c r="G152" s="15"/>
      <c r="H152" s="9"/>
      <c r="I152" s="79"/>
    </row>
    <row r="153" spans="1:10" ht="15.6" x14ac:dyDescent="0.3">
      <c r="A153" s="76"/>
      <c r="B153" s="226" t="s">
        <v>922</v>
      </c>
      <c r="C153" s="210" t="s">
        <v>853</v>
      </c>
      <c r="D153" s="127">
        <v>22</v>
      </c>
      <c r="E153" s="15"/>
      <c r="F153" s="143"/>
      <c r="G153" s="15"/>
      <c r="H153" s="15"/>
      <c r="I153" s="79"/>
    </row>
    <row r="154" spans="1:10" ht="15.6" x14ac:dyDescent="0.3">
      <c r="A154" s="76"/>
      <c r="B154" s="227" t="s">
        <v>917</v>
      </c>
      <c r="C154" s="210" t="s">
        <v>948</v>
      </c>
      <c r="D154" s="310">
        <v>25</v>
      </c>
      <c r="E154" s="15"/>
      <c r="F154" s="143" t="s">
        <v>110</v>
      </c>
      <c r="G154" s="15"/>
      <c r="H154" s="15" t="s">
        <v>110</v>
      </c>
      <c r="I154" s="80" t="s">
        <v>110</v>
      </c>
    </row>
    <row r="155" spans="1:10" ht="15.6" x14ac:dyDescent="0.3">
      <c r="A155" s="76"/>
      <c r="B155" s="227" t="s">
        <v>918</v>
      </c>
      <c r="C155" s="182" t="s">
        <v>949</v>
      </c>
      <c r="D155" s="311">
        <v>24</v>
      </c>
      <c r="E155" s="15"/>
      <c r="F155" s="143" t="s">
        <v>16</v>
      </c>
      <c r="G155" s="15"/>
      <c r="H155" s="15"/>
      <c r="I155" s="80"/>
    </row>
    <row r="156" spans="1:10" ht="14.4" x14ac:dyDescent="0.3">
      <c r="A156" s="76"/>
      <c r="B156" s="218" t="s">
        <v>915</v>
      </c>
      <c r="C156" s="207" t="s">
        <v>862</v>
      </c>
      <c r="D156" s="127">
        <v>23</v>
      </c>
      <c r="E156" s="15" t="s">
        <v>16</v>
      </c>
      <c r="F156" s="143"/>
      <c r="G156" s="15"/>
      <c r="H156" s="15"/>
      <c r="I156" s="80"/>
      <c r="J156" s="22"/>
    </row>
    <row r="157" spans="1:10" ht="15.6" x14ac:dyDescent="0.3">
      <c r="A157" s="76"/>
      <c r="B157" s="226" t="s">
        <v>921</v>
      </c>
      <c r="C157" s="210" t="s">
        <v>846</v>
      </c>
      <c r="D157" s="127">
        <v>22</v>
      </c>
      <c r="E157" s="15"/>
      <c r="F157" s="143"/>
      <c r="G157" s="15"/>
      <c r="H157" s="9"/>
      <c r="I157" s="79"/>
    </row>
    <row r="158" spans="1:10" ht="14.4" x14ac:dyDescent="0.3">
      <c r="A158" s="76"/>
      <c r="B158" s="227" t="s">
        <v>917</v>
      </c>
      <c r="C158" s="207" t="s">
        <v>868</v>
      </c>
      <c r="D158" s="127">
        <v>23</v>
      </c>
      <c r="E158" s="15" t="s">
        <v>24</v>
      </c>
      <c r="F158" s="143"/>
      <c r="G158" s="15"/>
      <c r="H158" s="15"/>
      <c r="I158" s="80"/>
    </row>
    <row r="159" spans="1:10" ht="14.4" x14ac:dyDescent="0.3">
      <c r="A159" s="76"/>
      <c r="B159" s="227" t="s">
        <v>921</v>
      </c>
      <c r="C159" s="9" t="s">
        <v>144</v>
      </c>
      <c r="D159" s="127">
        <f>+VLOOKUP(C159,'GRADUADOS '!$A$2:$B$230,2,0)</f>
        <v>19</v>
      </c>
      <c r="E159" s="15"/>
      <c r="F159" s="143"/>
      <c r="G159" s="15"/>
      <c r="H159" s="9"/>
      <c r="I159" s="79"/>
    </row>
    <row r="160" spans="1:10" ht="14.4" x14ac:dyDescent="0.3">
      <c r="A160" s="76"/>
      <c r="B160" s="218" t="s">
        <v>921</v>
      </c>
      <c r="C160" s="9" t="s">
        <v>157</v>
      </c>
      <c r="D160" s="127">
        <v>20</v>
      </c>
      <c r="E160" s="15"/>
      <c r="F160" s="143"/>
      <c r="G160" s="15"/>
      <c r="H160" s="15"/>
      <c r="I160" s="80"/>
    </row>
    <row r="161" spans="1:10" ht="14.4" x14ac:dyDescent="0.3">
      <c r="A161" s="76"/>
      <c r="B161" s="278" t="s">
        <v>915</v>
      </c>
      <c r="C161" s="207" t="s">
        <v>871</v>
      </c>
      <c r="D161" s="127">
        <v>23</v>
      </c>
      <c r="E161" s="15" t="s">
        <v>577</v>
      </c>
      <c r="F161" s="143"/>
      <c r="G161" s="15"/>
      <c r="H161" s="15"/>
      <c r="I161" s="80"/>
    </row>
    <row r="162" spans="1:10" ht="14.4" x14ac:dyDescent="0.3">
      <c r="A162" s="76"/>
      <c r="B162" s="278" t="s">
        <v>917</v>
      </c>
      <c r="C162" s="9" t="s">
        <v>167</v>
      </c>
      <c r="D162" s="127">
        <v>20</v>
      </c>
      <c r="E162" s="15"/>
      <c r="F162" s="143"/>
      <c r="G162" s="15"/>
      <c r="H162" s="15"/>
      <c r="I162" s="80" t="s">
        <v>16</v>
      </c>
    </row>
    <row r="163" spans="1:10" ht="15.6" x14ac:dyDescent="0.3">
      <c r="A163" s="76"/>
      <c r="B163" s="145" t="s">
        <v>918</v>
      </c>
      <c r="C163" s="182" t="s">
        <v>950</v>
      </c>
      <c r="D163" s="311">
        <v>24</v>
      </c>
      <c r="E163" s="15" t="s">
        <v>16</v>
      </c>
      <c r="F163" s="232"/>
      <c r="G163" s="15"/>
      <c r="H163" s="15"/>
      <c r="I163" s="80"/>
    </row>
    <row r="164" spans="1:10" ht="15.6" x14ac:dyDescent="0.3">
      <c r="B164" s="81" t="s">
        <v>922</v>
      </c>
      <c r="C164" s="280" t="s">
        <v>951</v>
      </c>
      <c r="D164" s="311">
        <v>24</v>
      </c>
      <c r="E164" s="80" t="s">
        <v>16</v>
      </c>
      <c r="F164" s="232"/>
      <c r="G164" s="143"/>
      <c r="H164" s="143"/>
      <c r="I164" s="143"/>
    </row>
    <row r="165" spans="1:10" ht="14.4" x14ac:dyDescent="0.3">
      <c r="D165" s="197" t="s">
        <v>952</v>
      </c>
      <c r="E165" s="224">
        <f>COUNTIF(E3:E163,"OK")</f>
        <v>30</v>
      </c>
      <c r="F165" s="84">
        <f>COUNTIF(F3:F163,"OK")</f>
        <v>9</v>
      </c>
      <c r="G165" s="273">
        <f>COUNTIF(G3:G163,"OK")</f>
        <v>0</v>
      </c>
      <c r="H165" s="273">
        <f>COUNTIF(H3:H164,"OK")</f>
        <v>4</v>
      </c>
      <c r="I165" s="273">
        <f>COUNTIF(I3:I163,"OK")</f>
        <v>2</v>
      </c>
      <c r="J165" s="53" t="s">
        <v>903</v>
      </c>
    </row>
    <row r="166" spans="1:10" ht="14.4" x14ac:dyDescent="0.3">
      <c r="D166" s="307"/>
      <c r="E166" s="55"/>
      <c r="F166" s="55"/>
      <c r="G166" s="55"/>
      <c r="H166" s="55"/>
      <c r="I166" s="55"/>
    </row>
    <row r="167" spans="1:10" ht="14.4" x14ac:dyDescent="0.3">
      <c r="B167"/>
    </row>
    <row r="168" spans="1:10" ht="15.6" x14ac:dyDescent="0.3">
      <c r="B168"/>
      <c r="C168" s="351" t="s">
        <v>953</v>
      </c>
      <c r="D168" s="352"/>
      <c r="E168" s="84">
        <v>25</v>
      </c>
      <c r="F168" s="84">
        <v>8</v>
      </c>
      <c r="G168" s="84">
        <v>4</v>
      </c>
      <c r="H168" s="13">
        <v>8</v>
      </c>
      <c r="I168" s="13">
        <v>8</v>
      </c>
    </row>
    <row r="169" spans="1:10" ht="14.4" x14ac:dyDescent="0.3">
      <c r="B169"/>
      <c r="E169" s="353" t="s">
        <v>905</v>
      </c>
      <c r="F169" s="353"/>
      <c r="G169" s="353"/>
      <c r="H169" s="353"/>
      <c r="I169" s="353"/>
    </row>
    <row r="170" spans="1:10" ht="14.4" x14ac:dyDescent="0.3">
      <c r="B170"/>
      <c r="E170" s="84">
        <f>COUNTIF(E3:E163,"OK")</f>
        <v>30</v>
      </c>
      <c r="F170" s="84">
        <f>COUNTIF(F3:F163,"OK")</f>
        <v>9</v>
      </c>
      <c r="G170" s="84">
        <f>COUNTIF(G3:G163,"OK")</f>
        <v>0</v>
      </c>
      <c r="H170" s="84">
        <f>COUNTIF(H3:H163,"OK")</f>
        <v>4</v>
      </c>
      <c r="I170" s="84">
        <f>COUNTIF(I3:I163,"OK")</f>
        <v>2</v>
      </c>
      <c r="J170" s="5"/>
    </row>
    <row r="171" spans="1:10" ht="15" customHeight="1" x14ac:dyDescent="0.3">
      <c r="E171" s="225" t="s">
        <v>820</v>
      </c>
      <c r="F171" s="225" t="s">
        <v>906</v>
      </c>
      <c r="G171" s="225" t="s">
        <v>907</v>
      </c>
      <c r="H171" s="225" t="s">
        <v>908</v>
      </c>
      <c r="I171" s="225" t="s">
        <v>909</v>
      </c>
    </row>
    <row r="172" spans="1:10" ht="14.4" x14ac:dyDescent="0.3">
      <c r="E172" s="354" t="s">
        <v>910</v>
      </c>
      <c r="F172" s="355"/>
      <c r="G172" s="355"/>
      <c r="H172" s="355"/>
      <c r="I172" s="356"/>
    </row>
    <row r="176" spans="1:10" ht="15" customHeight="1" x14ac:dyDescent="0.3">
      <c r="E176" s="16" t="s">
        <v>911</v>
      </c>
    </row>
    <row r="177" spans="5:5" ht="15" customHeight="1" x14ac:dyDescent="0.3">
      <c r="E177" s="16" t="s">
        <v>912</v>
      </c>
    </row>
    <row r="178" spans="5:5" ht="15" customHeight="1" x14ac:dyDescent="0.3">
      <c r="E178" s="16" t="s">
        <v>913</v>
      </c>
    </row>
    <row r="179" spans="5:5" ht="15" customHeight="1" x14ac:dyDescent="0.3">
      <c r="E179" s="16" t="s">
        <v>914</v>
      </c>
    </row>
    <row r="180" spans="5:5" ht="15" customHeight="1" x14ac:dyDescent="0.3">
      <c r="E180" s="16" t="s">
        <v>797</v>
      </c>
    </row>
  </sheetData>
  <autoFilter ref="A2:Q165" xr:uid="{C353B099-8DF6-49F1-A501-522FCEA9C512}">
    <sortState xmlns:xlrd2="http://schemas.microsoft.com/office/spreadsheetml/2017/richdata2" ref="A3:Q165">
      <sortCondition ref="C2:C165"/>
    </sortState>
  </autoFilter>
  <mergeCells count="4">
    <mergeCell ref="B1:I1"/>
    <mergeCell ref="E169:I169"/>
    <mergeCell ref="C168:D168"/>
    <mergeCell ref="E172:I172"/>
  </mergeCells>
  <conditionalFormatting sqref="C6">
    <cfRule type="expression" dxfId="778" priority="31">
      <formula>COUNTIF($B6:AC6, "C")</formula>
    </cfRule>
    <cfRule type="expression" dxfId="777" priority="32">
      <formula>COUNTIF($B6:AC6, "Q")</formula>
    </cfRule>
    <cfRule type="expression" dxfId="776" priority="33">
      <formula>COUNTIF($B6:AC6, "M")</formula>
    </cfRule>
    <cfRule type="expression" dxfId="775" priority="34">
      <formula>COUNTIF($B6:AC6, "A")</formula>
    </cfRule>
    <cfRule type="expression" dxfId="774" priority="35">
      <formula>COUNTIF($A6:AC6, "NI")</formula>
    </cfRule>
  </conditionalFormatting>
  <conditionalFormatting sqref="C11">
    <cfRule type="expression" dxfId="773" priority="94">
      <formula>COUNTIF($A12:AB12, "NI")</formula>
    </cfRule>
  </conditionalFormatting>
  <conditionalFormatting sqref="C15">
    <cfRule type="expression" dxfId="772" priority="26">
      <formula>COUNTIF($B15:AC15, "C")</formula>
    </cfRule>
    <cfRule type="expression" dxfId="771" priority="27">
      <formula>COUNTIF($B15:AC15, "Q")</formula>
    </cfRule>
    <cfRule type="expression" dxfId="770" priority="28">
      <formula>COUNTIF($B15:AC15, "M")</formula>
    </cfRule>
    <cfRule type="expression" dxfId="769" priority="29">
      <formula>COUNTIF($B15:AC15, "A")</formula>
    </cfRule>
    <cfRule type="expression" dxfId="768" priority="30">
      <formula>COUNTIF($A15:AC15, "NI")</formula>
    </cfRule>
  </conditionalFormatting>
  <conditionalFormatting sqref="C24:C25 C27:C28 C51:C52 C54 C57:C58">
    <cfRule type="expression" dxfId="767" priority="74">
      <formula>COUNTIF($A24:AB24, "NI")</formula>
    </cfRule>
  </conditionalFormatting>
  <conditionalFormatting sqref="C29:C35">
    <cfRule type="expression" dxfId="766" priority="21">
      <formula>COUNTIF($B29:AC29, "C")</formula>
    </cfRule>
    <cfRule type="expression" dxfId="765" priority="22">
      <formula>COUNTIF($B29:AC29, "Q")</formula>
    </cfRule>
    <cfRule type="expression" dxfId="764" priority="23">
      <formula>COUNTIF($B29:AC29, "M")</formula>
    </cfRule>
    <cfRule type="expression" dxfId="763" priority="24">
      <formula>COUNTIF($B29:AC29, "A")</formula>
    </cfRule>
    <cfRule type="expression" dxfId="762" priority="25">
      <formula>COUNTIF($A29:AC29, "NI")</formula>
    </cfRule>
  </conditionalFormatting>
  <conditionalFormatting sqref="C36:C50">
    <cfRule type="expression" dxfId="761" priority="46">
      <formula>COUNTIF($B36:AA36, "A")</formula>
    </cfRule>
  </conditionalFormatting>
  <conditionalFormatting sqref="C53">
    <cfRule type="expression" dxfId="760" priority="1">
      <formula>COUNTIF($B53:AC53, "C")</formula>
    </cfRule>
    <cfRule type="expression" dxfId="759" priority="2">
      <formula>COUNTIF($B53:AC53, "Q")</formula>
    </cfRule>
    <cfRule type="expression" dxfId="758" priority="3">
      <formula>COUNTIF($B53:AC53, "M")</formula>
    </cfRule>
    <cfRule type="expression" dxfId="757" priority="4">
      <formula>COUNTIF($B53:AC53, "A")</formula>
    </cfRule>
    <cfRule type="expression" dxfId="756" priority="5">
      <formula>COUNTIF($A53:AC53, "NI")</formula>
    </cfRule>
  </conditionalFormatting>
  <conditionalFormatting sqref="C55 C67:C68 C71:C72 C76:C81 C114 C132:C144 C36:C50 D111:D113">
    <cfRule type="expression" dxfId="755" priority="72">
      <formula>COUNTIF($A36:AA36, "NI")</formula>
    </cfRule>
  </conditionalFormatting>
  <conditionalFormatting sqref="C55 D111:D113 C132:C144">
    <cfRule type="expression" dxfId="754" priority="85">
      <formula>COUNTIF($B55:AA55, "C")</formula>
    </cfRule>
    <cfRule type="expression" dxfId="753" priority="86">
      <formula>COUNTIF($B55:AA55, "Q")</formula>
    </cfRule>
    <cfRule type="expression" dxfId="752" priority="87">
      <formula>COUNTIF($B55:AA55, "M")</formula>
    </cfRule>
    <cfRule type="expression" dxfId="751" priority="88">
      <formula>COUNTIF($B55:AA55, "A")</formula>
    </cfRule>
  </conditionalFormatting>
  <conditionalFormatting sqref="C64:C65 C115:D116 D117:D131">
    <cfRule type="expression" dxfId="750" priority="75">
      <formula>COUNTIF($B64:AA64, "C")</formula>
    </cfRule>
    <cfRule type="expression" dxfId="749" priority="76">
      <formula>COUNTIF($B64:AA64, "Q")</formula>
    </cfRule>
    <cfRule type="expression" dxfId="748" priority="77">
      <formula>COUNTIF($B64:AA64, "M")</formula>
    </cfRule>
    <cfRule type="expression" dxfId="747" priority="78">
      <formula>COUNTIF($B64:AA64, "A")</formula>
    </cfRule>
    <cfRule type="expression" dxfId="746" priority="79">
      <formula>COUNTIF($A64:AA64, "NI")</formula>
    </cfRule>
  </conditionalFormatting>
  <conditionalFormatting sqref="C69">
    <cfRule type="expression" dxfId="745" priority="16">
      <formula>COUNTIF($B69:AC69, "C")</formula>
    </cfRule>
    <cfRule type="expression" dxfId="744" priority="17">
      <formula>COUNTIF($B69:AC69, "Q")</formula>
    </cfRule>
    <cfRule type="expression" dxfId="743" priority="18">
      <formula>COUNTIF($B69:AC69, "M")</formula>
    </cfRule>
    <cfRule type="expression" dxfId="742" priority="19">
      <formula>COUNTIF($B69:AC69, "A")</formula>
    </cfRule>
    <cfRule type="expression" dxfId="741" priority="20">
      <formula>COUNTIF($A69:AC69, "NI")</formula>
    </cfRule>
  </conditionalFormatting>
  <conditionalFormatting sqref="C73">
    <cfRule type="expression" dxfId="740" priority="6">
      <formula>COUNTIF($B73:AC73, "C")</formula>
    </cfRule>
    <cfRule type="expression" dxfId="739" priority="7">
      <formula>COUNTIF($B73:AC73, "Q")</formula>
    </cfRule>
    <cfRule type="expression" dxfId="738" priority="8">
      <formula>COUNTIF($B73:AC73, "M")</formula>
    </cfRule>
    <cfRule type="expression" dxfId="737" priority="9">
      <formula>COUNTIF($B73:AC73, "A")</formula>
    </cfRule>
    <cfRule type="expression" dxfId="736" priority="10">
      <formula>COUNTIF($A73:AC73, "NI")</formula>
    </cfRule>
  </conditionalFormatting>
  <conditionalFormatting sqref="C82">
    <cfRule type="expression" dxfId="735" priority="11">
      <formula>COUNTIF($B82:AC82, "C")</formula>
    </cfRule>
    <cfRule type="expression" dxfId="734" priority="12">
      <formula>COUNTIF($B82:AC82, "Q")</formula>
    </cfRule>
    <cfRule type="expression" dxfId="733" priority="13">
      <formula>COUNTIF($B82:AC82, "M")</formula>
    </cfRule>
    <cfRule type="expression" dxfId="732" priority="14">
      <formula>COUNTIF($B82:AC82, "A")</formula>
    </cfRule>
    <cfRule type="expression" dxfId="731" priority="15">
      <formula>COUNTIF($A82:AC82, "NI")</formula>
    </cfRule>
  </conditionalFormatting>
  <conditionalFormatting sqref="C171:C1048576 C132:C144 C1:C2 C14 C11 C51:C52 C27:C28 C16:C25 C70:C72 C83:C114 C74:C81 C163:C166 C54:C68">
    <cfRule type="duplicateValues" dxfId="730" priority="67"/>
  </conditionalFormatting>
  <conditionalFormatting sqref="C4:D4">
    <cfRule type="expression" dxfId="729" priority="48">
      <formula>COUNTIF($B4:AA4, "C")</formula>
    </cfRule>
    <cfRule type="expression" dxfId="728" priority="49">
      <formula>COUNTIF($B4:AA4, "Q")</formula>
    </cfRule>
    <cfRule type="expression" dxfId="727" priority="50">
      <formula>COUNTIF($B4:AA4, "M")</formula>
    </cfRule>
    <cfRule type="expression" dxfId="726" priority="51">
      <formula>COUNTIF($B4:AA4, "A")</formula>
    </cfRule>
    <cfRule type="expression" dxfId="725" priority="52">
      <formula>COUNTIF($A4:AA4, "NI")</formula>
    </cfRule>
  </conditionalFormatting>
  <conditionalFormatting sqref="C7:D7">
    <cfRule type="expression" dxfId="724" priority="41">
      <formula>COUNTIF($B7:AA7, "C")</formula>
    </cfRule>
    <cfRule type="expression" dxfId="723" priority="42">
      <formula>COUNTIF($B7:AA7, "Q")</formula>
    </cfRule>
    <cfRule type="expression" dxfId="722" priority="43">
      <formula>COUNTIF($B7:AA7, "M")</formula>
    </cfRule>
    <cfRule type="expression" dxfId="721" priority="44">
      <formula>COUNTIF($B7:AA7, "A")</formula>
    </cfRule>
    <cfRule type="expression" dxfId="720" priority="45">
      <formula>COUNTIF($A7:AA7, "NI")</formula>
    </cfRule>
  </conditionalFormatting>
  <conditionalFormatting sqref="C26:D26">
    <cfRule type="expression" dxfId="719" priority="36">
      <formula>COUNTIF($B26:AA26, "C")</formula>
    </cfRule>
    <cfRule type="expression" dxfId="718" priority="37">
      <formula>COUNTIF($B26:AA26, "Q")</formula>
    </cfRule>
    <cfRule type="expression" dxfId="717" priority="38">
      <formula>COUNTIF($B26:AA26, "M")</formula>
    </cfRule>
    <cfRule type="expression" dxfId="716" priority="39">
      <formula>COUNTIF($B26:AA26, "A")</formula>
    </cfRule>
    <cfRule type="expression" dxfId="715" priority="40">
      <formula>COUNTIF($A26:AA26, "NI")</formula>
    </cfRule>
  </conditionalFormatting>
  <conditionalFormatting sqref="C110:D110">
    <cfRule type="expression" dxfId="714" priority="68">
      <formula>COUNTIF($B110:AA110, "C")</formula>
    </cfRule>
    <cfRule type="expression" dxfId="713" priority="69">
      <formula>COUNTIF($B110:AA110, "Q")</formula>
    </cfRule>
    <cfRule type="expression" dxfId="712" priority="70">
      <formula>COUNTIF($B110:AA110, "M")</formula>
    </cfRule>
    <cfRule type="expression" dxfId="711" priority="71">
      <formula>COUNTIF($B110:AA110, "A")</formula>
    </cfRule>
    <cfRule type="expression" dxfId="710" priority="73">
      <formula>COUNTIF($A110:AA110, "NI")</formula>
    </cfRule>
  </conditionalFormatting>
  <conditionalFormatting sqref="D3 J3:J5 D5:D6 D9:D12 D14:D25 D27:D102 D114">
    <cfRule type="expression" dxfId="709" priority="80">
      <formula>COUNTIF($B3:AD3, "C")</formula>
    </cfRule>
    <cfRule type="expression" dxfId="708" priority="81">
      <formula>COUNTIF($B3:AD3, "Q")</formula>
    </cfRule>
    <cfRule type="expression" dxfId="707" priority="82">
      <formula>COUNTIF($B3:AD3, "M")</formula>
    </cfRule>
    <cfRule type="expression" dxfId="706" priority="83">
      <formula>COUNTIF($B3:AD3, "A")</formula>
    </cfRule>
    <cfRule type="expression" dxfId="705" priority="84">
      <formula>COUNTIF($A3:AD3, "NI")</formula>
    </cfRule>
  </conditionalFormatting>
  <conditionalFormatting sqref="D103">
    <cfRule type="expression" dxfId="704" priority="89">
      <formula>COUNTIF($B163:AD163, "C")</formula>
    </cfRule>
    <cfRule type="expression" dxfId="703" priority="90">
      <formula>COUNTIF($B163:AD163, "Q")</formula>
    </cfRule>
    <cfRule type="expression" dxfId="702" priority="91">
      <formula>COUNTIF($B163:AD163, "M")</formula>
    </cfRule>
    <cfRule type="expression" dxfId="701" priority="92">
      <formula>COUNTIF($B163:AD163, "A")</formula>
    </cfRule>
    <cfRule type="expression" dxfId="700" priority="93">
      <formula>COUNTIF($A163:AD163, "NI")</formula>
    </cfRule>
  </conditionalFormatting>
  <conditionalFormatting sqref="D104">
    <cfRule type="expression" dxfId="699" priority="935">
      <formula>COUNTIF($B165:AD165, "C")</formula>
    </cfRule>
    <cfRule type="expression" dxfId="698" priority="936">
      <formula>COUNTIF($B165:AD165, "Q")</formula>
    </cfRule>
    <cfRule type="expression" dxfId="697" priority="937">
      <formula>COUNTIF($B165:AD165, "M")</formula>
    </cfRule>
    <cfRule type="expression" dxfId="696" priority="938">
      <formula>COUNTIF($B165:AD165, "A")</formula>
    </cfRule>
    <cfRule type="expression" dxfId="695" priority="939">
      <formula>COUNTIF($A165:AD165, "NI")</formula>
    </cfRule>
  </conditionalFormatting>
  <conditionalFormatting sqref="D105:D109">
    <cfRule type="expression" dxfId="694" priority="543">
      <formula>COUNTIF($B167:AD167, "C")</formula>
    </cfRule>
    <cfRule type="expression" dxfId="693" priority="544">
      <formula>COUNTIF($B167:AD167, "Q")</formula>
    </cfRule>
    <cfRule type="expression" dxfId="692" priority="545">
      <formula>COUNTIF($B167:AD167, "M")</formula>
    </cfRule>
    <cfRule type="expression" dxfId="691" priority="546">
      <formula>COUNTIF($B167:AD167, "A")</formula>
    </cfRule>
    <cfRule type="expression" dxfId="690" priority="547">
      <formula>COUNTIF($A167:AD167, "NI")</formula>
    </cfRule>
  </conditionalFormatting>
  <conditionalFormatting sqref="E170:I170">
    <cfRule type="cellIs" dxfId="689" priority="59" operator="lessThan">
      <formula>$E$168</formula>
    </cfRule>
  </conditionalFormatting>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5A009-86D6-4033-9673-6018C7091CC6}">
  <sheetPr>
    <tabColor rgb="FF92D050"/>
  </sheetPr>
  <dimension ref="A1:J147"/>
  <sheetViews>
    <sheetView topLeftCell="C1" workbookViewId="0">
      <pane ySplit="2" topLeftCell="A60" activePane="bottomLeft" state="frozen"/>
      <selection activeCell="B1" sqref="B1"/>
      <selection pane="bottomLeft" activeCell="B1" sqref="B1"/>
    </sheetView>
  </sheetViews>
  <sheetFormatPr baseColWidth="10" defaultColWidth="57.33203125" defaultRowHeight="15" customHeight="1" x14ac:dyDescent="0.3"/>
  <cols>
    <col min="1" max="1" width="4.44140625" bestFit="1" customWidth="1"/>
    <col min="2" max="2" width="16.5546875" style="81" bestFit="1" customWidth="1"/>
    <col min="3" max="3" width="57.33203125" customWidth="1"/>
    <col min="4" max="4" width="12" style="5" customWidth="1"/>
    <col min="5" max="5" width="19.6640625" style="16" customWidth="1"/>
    <col min="6" max="6" width="22" style="16" customWidth="1"/>
    <col min="7" max="7" width="23.109375" style="16" customWidth="1"/>
    <col min="8" max="8" width="25" customWidth="1"/>
    <col min="9" max="9" width="26" bestFit="1" customWidth="1"/>
  </cols>
  <sheetData>
    <row r="1" spans="1:10" ht="32.25" customHeight="1" x14ac:dyDescent="0.35">
      <c r="A1" s="1"/>
      <c r="B1" s="350" t="s">
        <v>816</v>
      </c>
      <c r="C1" s="350"/>
      <c r="D1" s="350"/>
      <c r="E1" s="350"/>
      <c r="F1" s="350"/>
      <c r="G1" s="350"/>
      <c r="H1" s="350"/>
      <c r="I1" s="350"/>
      <c r="J1" s="102" t="s">
        <v>817</v>
      </c>
    </row>
    <row r="2" spans="1:10" ht="14.4" x14ac:dyDescent="0.3">
      <c r="A2" s="33" t="s">
        <v>818</v>
      </c>
      <c r="B2" s="200" t="s">
        <v>4</v>
      </c>
      <c r="C2" s="201" t="s">
        <v>739</v>
      </c>
      <c r="D2" s="144" t="s">
        <v>740</v>
      </c>
      <c r="E2" s="202" t="s">
        <v>820</v>
      </c>
      <c r="F2" s="202" t="s">
        <v>821</v>
      </c>
      <c r="G2" s="202" t="s">
        <v>822</v>
      </c>
      <c r="H2" s="203" t="s">
        <v>823</v>
      </c>
      <c r="I2" s="203" t="s">
        <v>909</v>
      </c>
      <c r="J2" s="33"/>
    </row>
    <row r="3" spans="1:10" ht="14.4" customHeight="1" x14ac:dyDescent="0.3">
      <c r="A3" s="76">
        <v>1</v>
      </c>
      <c r="B3" s="145" t="s">
        <v>23</v>
      </c>
      <c r="C3" s="9" t="s">
        <v>272</v>
      </c>
      <c r="D3" s="160">
        <f>+VLOOKUP(C3,'GRADUADOS '!$A$2:$B$230,2,0)</f>
        <v>9</v>
      </c>
      <c r="E3" s="171" t="s">
        <v>28</v>
      </c>
      <c r="F3" s="143" t="s">
        <v>28</v>
      </c>
      <c r="G3" s="143" t="s">
        <v>28</v>
      </c>
      <c r="H3" s="143" t="s">
        <v>28</v>
      </c>
      <c r="I3" s="239" t="s">
        <v>28</v>
      </c>
      <c r="J3" s="9"/>
    </row>
    <row r="4" spans="1:10" ht="14.4" customHeight="1" x14ac:dyDescent="0.3">
      <c r="A4" s="76">
        <v>2</v>
      </c>
      <c r="B4" s="145" t="s">
        <v>660</v>
      </c>
      <c r="C4" s="162" t="s">
        <v>825</v>
      </c>
      <c r="D4" s="206">
        <v>9</v>
      </c>
      <c r="E4" s="15" t="s">
        <v>28</v>
      </c>
      <c r="F4" s="143" t="s">
        <v>16</v>
      </c>
      <c r="G4" s="15" t="s">
        <v>16</v>
      </c>
      <c r="H4" s="204" t="s">
        <v>16</v>
      </c>
      <c r="I4" s="204" t="s">
        <v>16</v>
      </c>
      <c r="J4" s="9" t="s">
        <v>955</v>
      </c>
    </row>
    <row r="5" spans="1:10" ht="14.4" customHeight="1" x14ac:dyDescent="0.3">
      <c r="A5" s="76">
        <v>3</v>
      </c>
      <c r="B5" s="145" t="s">
        <v>660</v>
      </c>
      <c r="C5" s="1" t="s">
        <v>278</v>
      </c>
      <c r="D5" s="6">
        <v>10</v>
      </c>
      <c r="E5" s="15"/>
      <c r="F5" s="143"/>
      <c r="G5" s="143"/>
      <c r="H5" s="204"/>
      <c r="I5" s="204"/>
      <c r="J5" s="146"/>
    </row>
    <row r="6" spans="1:10" ht="14.4" customHeight="1" x14ac:dyDescent="0.3">
      <c r="A6" s="76">
        <v>4</v>
      </c>
      <c r="B6" s="145" t="s">
        <v>20</v>
      </c>
      <c r="C6" s="126" t="s">
        <v>284</v>
      </c>
      <c r="D6" s="206">
        <f>+VLOOKUP(C6,'GRADUADOS '!$A$2:$B$230,2,0)</f>
        <v>11</v>
      </c>
      <c r="E6" s="15" t="s">
        <v>28</v>
      </c>
      <c r="F6" s="143" t="s">
        <v>110</v>
      </c>
      <c r="G6" s="143" t="s">
        <v>110</v>
      </c>
      <c r="H6" s="143" t="s">
        <v>110</v>
      </c>
      <c r="I6" s="204" t="s">
        <v>110</v>
      </c>
      <c r="J6" s="146"/>
    </row>
    <row r="7" spans="1:10" ht="14.4" customHeight="1" x14ac:dyDescent="0.3">
      <c r="A7" s="76">
        <v>5</v>
      </c>
      <c r="B7" s="145" t="s">
        <v>23</v>
      </c>
      <c r="C7" s="210" t="s">
        <v>68</v>
      </c>
      <c r="D7" s="206">
        <v>11</v>
      </c>
      <c r="E7" s="15" t="s">
        <v>28</v>
      </c>
      <c r="F7" s="143" t="s">
        <v>28</v>
      </c>
      <c r="G7" s="15" t="s">
        <v>28</v>
      </c>
      <c r="H7" s="143" t="s">
        <v>28</v>
      </c>
      <c r="I7" s="204" t="s">
        <v>28</v>
      </c>
      <c r="J7" s="146" t="s">
        <v>956</v>
      </c>
    </row>
    <row r="8" spans="1:10" ht="14.4" customHeight="1" x14ac:dyDescent="0.3">
      <c r="A8" s="76">
        <v>6</v>
      </c>
      <c r="B8" s="145" t="s">
        <v>23</v>
      </c>
      <c r="C8" s="9" t="s">
        <v>46</v>
      </c>
      <c r="D8" s="206">
        <f>+VLOOKUP(C8,'GRADUADOS '!$A$2:$B$230,2,0)</f>
        <v>12</v>
      </c>
      <c r="E8" s="67" t="s">
        <v>28</v>
      </c>
      <c r="F8" s="143"/>
      <c r="G8" s="15"/>
      <c r="H8" s="204"/>
      <c r="I8" s="204"/>
      <c r="J8" s="9"/>
    </row>
    <row r="9" spans="1:10" ht="14.4" customHeight="1" x14ac:dyDescent="0.3">
      <c r="A9" s="76">
        <v>7</v>
      </c>
      <c r="B9" s="145" t="s">
        <v>20</v>
      </c>
      <c r="C9" s="126" t="s">
        <v>293</v>
      </c>
      <c r="D9" s="206">
        <f>+VLOOKUP(C9,'GRADUADOS '!$A$2:$B$230,2,0)</f>
        <v>12</v>
      </c>
      <c r="E9" s="15" t="s">
        <v>28</v>
      </c>
      <c r="F9" s="143" t="s">
        <v>110</v>
      </c>
      <c r="G9" s="15" t="s">
        <v>110</v>
      </c>
      <c r="H9" s="143" t="s">
        <v>110</v>
      </c>
      <c r="I9" s="204" t="s">
        <v>110</v>
      </c>
      <c r="J9" s="146"/>
    </row>
    <row r="10" spans="1:10" ht="14.4" customHeight="1" x14ac:dyDescent="0.3">
      <c r="A10" s="76">
        <v>8</v>
      </c>
      <c r="B10" s="145" t="s">
        <v>660</v>
      </c>
      <c r="C10" s="9" t="s">
        <v>300</v>
      </c>
      <c r="D10" s="237">
        <v>12</v>
      </c>
      <c r="E10" s="15" t="s">
        <v>28</v>
      </c>
      <c r="F10" s="143" t="s">
        <v>28</v>
      </c>
      <c r="G10" s="15" t="s">
        <v>28</v>
      </c>
      <c r="H10" s="204" t="s">
        <v>28</v>
      </c>
      <c r="I10" s="204" t="s">
        <v>28</v>
      </c>
      <c r="J10" s="9"/>
    </row>
    <row r="11" spans="1:10" ht="14.4" customHeight="1" x14ac:dyDescent="0.3">
      <c r="A11" s="76">
        <v>9</v>
      </c>
      <c r="B11" s="145" t="s">
        <v>23</v>
      </c>
      <c r="C11" s="9" t="s">
        <v>314</v>
      </c>
      <c r="D11" s="206">
        <f>+VLOOKUP(C11,'GRADUADOS '!$A$2:$B$230,2,0)</f>
        <v>13</v>
      </c>
      <c r="E11" s="15" t="s">
        <v>28</v>
      </c>
      <c r="F11" s="143" t="s">
        <v>28</v>
      </c>
      <c r="G11" s="15" t="s">
        <v>28</v>
      </c>
      <c r="H11" s="143" t="s">
        <v>28</v>
      </c>
      <c r="I11" s="143" t="s">
        <v>28</v>
      </c>
      <c r="J11" s="9"/>
    </row>
    <row r="12" spans="1:10" ht="14.4" customHeight="1" x14ac:dyDescent="0.3">
      <c r="A12" s="76">
        <v>10</v>
      </c>
      <c r="B12" s="145" t="s">
        <v>23</v>
      </c>
      <c r="C12" s="9" t="s">
        <v>58</v>
      </c>
      <c r="D12" s="206">
        <f>+VLOOKUP(C12,'GRADUADOS '!$A$2:$B$230,2,0)</f>
        <v>13</v>
      </c>
      <c r="E12" s="80"/>
      <c r="F12" s="143" t="s">
        <v>28</v>
      </c>
      <c r="G12" s="15" t="s">
        <v>28</v>
      </c>
      <c r="H12" s="143" t="s">
        <v>28</v>
      </c>
      <c r="I12" s="143" t="s">
        <v>28</v>
      </c>
    </row>
    <row r="13" spans="1:10" ht="14.4" customHeight="1" x14ac:dyDescent="0.3">
      <c r="A13" s="76">
        <v>11</v>
      </c>
      <c r="B13" s="145" t="s">
        <v>20</v>
      </c>
      <c r="C13" s="9" t="s">
        <v>317</v>
      </c>
      <c r="D13" s="206">
        <f>+VLOOKUP(C13,'GRADUADOS '!$A$2:$B$230,2,0)</f>
        <v>13</v>
      </c>
      <c r="E13" s="15"/>
      <c r="F13" s="143" t="s">
        <v>110</v>
      </c>
      <c r="G13" s="15" t="s">
        <v>110</v>
      </c>
      <c r="H13" s="143" t="s">
        <v>110</v>
      </c>
      <c r="I13" s="204" t="s">
        <v>16</v>
      </c>
      <c r="J13" s="9"/>
    </row>
    <row r="14" spans="1:10" ht="14.4" customHeight="1" x14ac:dyDescent="0.3">
      <c r="A14" s="76">
        <v>12</v>
      </c>
      <c r="B14" s="145" t="s">
        <v>660</v>
      </c>
      <c r="C14" s="9" t="s">
        <v>318</v>
      </c>
      <c r="D14" s="206">
        <f>+VLOOKUP(C14,'GRADUADOS '!$A$2:$B$230,2,0)</f>
        <v>13</v>
      </c>
      <c r="E14" s="15" t="s">
        <v>28</v>
      </c>
      <c r="F14" s="143" t="s">
        <v>28</v>
      </c>
      <c r="G14" s="15" t="s">
        <v>28</v>
      </c>
      <c r="H14" s="143" t="s">
        <v>28</v>
      </c>
      <c r="I14" s="143" t="s">
        <v>28</v>
      </c>
      <c r="J14" s="9"/>
    </row>
    <row r="15" spans="1:10" ht="14.4" customHeight="1" x14ac:dyDescent="0.3">
      <c r="A15" s="76">
        <v>13</v>
      </c>
      <c r="B15" s="145" t="s">
        <v>23</v>
      </c>
      <c r="C15" s="9" t="s">
        <v>327</v>
      </c>
      <c r="D15" s="206">
        <f>+VLOOKUP(C15,'GRADUADOS '!$A$2:$B$230,2,0)</f>
        <v>14</v>
      </c>
      <c r="E15" s="67" t="s">
        <v>110</v>
      </c>
      <c r="F15" s="238"/>
      <c r="G15" s="67"/>
      <c r="H15" s="238"/>
      <c r="I15" s="238"/>
      <c r="J15" s="9"/>
    </row>
    <row r="16" spans="1:10" ht="14.4" customHeight="1" x14ac:dyDescent="0.3">
      <c r="A16" s="76">
        <v>14</v>
      </c>
      <c r="B16" s="145" t="s">
        <v>23</v>
      </c>
      <c r="C16" s="9" t="s">
        <v>329</v>
      </c>
      <c r="D16" s="206">
        <f>+VLOOKUP(C16,'GRADUADOS '!$A$2:$B$230,2,0)</f>
        <v>14</v>
      </c>
      <c r="E16" s="15" t="s">
        <v>110</v>
      </c>
      <c r="F16" s="143"/>
      <c r="G16" s="15"/>
      <c r="H16" s="143"/>
      <c r="I16" s="143"/>
      <c r="J16" s="9"/>
    </row>
    <row r="17" spans="1:10" ht="14.4" customHeight="1" x14ac:dyDescent="0.3">
      <c r="A17" s="76">
        <v>15</v>
      </c>
      <c r="B17" s="145" t="s">
        <v>20</v>
      </c>
      <c r="C17" s="9" t="s">
        <v>85</v>
      </c>
      <c r="D17" s="206">
        <f>+VLOOKUP(C17,'GRADUADOS '!$A$2:$B$230,2,0)</f>
        <v>14</v>
      </c>
      <c r="E17" s="15" t="s">
        <v>110</v>
      </c>
      <c r="F17" s="143" t="s">
        <v>110</v>
      </c>
      <c r="G17" s="15" t="s">
        <v>110</v>
      </c>
      <c r="H17" s="143" t="s">
        <v>110</v>
      </c>
      <c r="I17" s="204" t="s">
        <v>110</v>
      </c>
      <c r="J17" s="9"/>
    </row>
    <row r="18" spans="1:10" ht="14.4" customHeight="1" x14ac:dyDescent="0.3">
      <c r="A18" s="76">
        <v>16</v>
      </c>
      <c r="B18" s="145" t="s">
        <v>20</v>
      </c>
      <c r="C18" s="9" t="s">
        <v>84</v>
      </c>
      <c r="D18" s="206">
        <f>+VLOOKUP(C18,'GRADUADOS '!$A$2:$B$230,2,0)</f>
        <v>14</v>
      </c>
      <c r="E18" s="15" t="s">
        <v>110</v>
      </c>
      <c r="F18" s="143" t="s">
        <v>110</v>
      </c>
      <c r="G18" s="15" t="s">
        <v>110</v>
      </c>
      <c r="H18" s="143" t="s">
        <v>110</v>
      </c>
      <c r="I18" s="204" t="s">
        <v>110</v>
      </c>
      <c r="J18" s="9"/>
    </row>
    <row r="19" spans="1:10" ht="14.4" customHeight="1" x14ac:dyDescent="0.3">
      <c r="A19" s="76">
        <v>17</v>
      </c>
      <c r="B19" s="145" t="s">
        <v>660</v>
      </c>
      <c r="C19" s="9" t="s">
        <v>71</v>
      </c>
      <c r="D19" s="206">
        <f>+VLOOKUP(C19,'GRADUADOS '!$A$2:$B$230,2,0)</f>
        <v>14</v>
      </c>
      <c r="E19" s="15"/>
      <c r="F19" s="143"/>
      <c r="G19" s="15"/>
      <c r="H19" s="143"/>
      <c r="I19" s="143"/>
      <c r="J19" s="9"/>
    </row>
    <row r="20" spans="1:10" ht="14.4" customHeight="1" x14ac:dyDescent="0.3">
      <c r="A20" s="76">
        <v>18</v>
      </c>
      <c r="B20" s="145" t="s">
        <v>660</v>
      </c>
      <c r="C20" s="9" t="s">
        <v>328</v>
      </c>
      <c r="D20" s="206">
        <f>+VLOOKUP(C20,'GRADUADOS '!$A$2:$B$230,2,0)</f>
        <v>14</v>
      </c>
      <c r="E20" s="15" t="s">
        <v>28</v>
      </c>
      <c r="F20" s="143" t="s">
        <v>28</v>
      </c>
      <c r="G20" s="15" t="s">
        <v>35</v>
      </c>
      <c r="H20" s="204" t="s">
        <v>28</v>
      </c>
      <c r="I20" s="204" t="s">
        <v>35</v>
      </c>
      <c r="J20" s="9"/>
    </row>
    <row r="21" spans="1:10" ht="14.4" customHeight="1" x14ac:dyDescent="0.3">
      <c r="A21" s="76">
        <v>19</v>
      </c>
      <c r="B21" s="145" t="s">
        <v>660</v>
      </c>
      <c r="C21" s="9" t="s">
        <v>74</v>
      </c>
      <c r="D21" s="206">
        <f>+VLOOKUP(C21,'GRADUADOS '!$A$2:$B$230,2,0)</f>
        <v>14</v>
      </c>
      <c r="E21" s="15"/>
      <c r="F21" s="143"/>
      <c r="G21" s="15"/>
      <c r="H21" s="143"/>
      <c r="I21" s="143"/>
      <c r="J21" s="9"/>
    </row>
    <row r="22" spans="1:10" ht="14.4" customHeight="1" x14ac:dyDescent="0.3">
      <c r="A22" s="76">
        <v>20</v>
      </c>
      <c r="B22" s="145" t="s">
        <v>23</v>
      </c>
      <c r="C22" s="9" t="s">
        <v>332</v>
      </c>
      <c r="D22" s="206">
        <f>+VLOOKUP(C22,'GRADUADOS '!$A$2:$B$230,2,0)</f>
        <v>15</v>
      </c>
      <c r="E22" s="15" t="s">
        <v>28</v>
      </c>
      <c r="F22" s="143" t="s">
        <v>16</v>
      </c>
      <c r="G22" s="15" t="s">
        <v>28</v>
      </c>
      <c r="H22" s="143" t="s">
        <v>28</v>
      </c>
      <c r="I22" s="143" t="s">
        <v>28</v>
      </c>
      <c r="J22" s="9"/>
    </row>
    <row r="23" spans="1:10" ht="14.4" customHeight="1" x14ac:dyDescent="0.3">
      <c r="A23" s="76">
        <v>21</v>
      </c>
      <c r="B23" s="145" t="s">
        <v>23</v>
      </c>
      <c r="C23" s="9" t="s">
        <v>343</v>
      </c>
      <c r="D23" s="206">
        <f>+VLOOKUP(C23,'GRADUADOS '!$A$2:$B$230,2,0)</f>
        <v>15</v>
      </c>
      <c r="E23" s="15" t="s">
        <v>28</v>
      </c>
      <c r="F23" s="143" t="s">
        <v>28</v>
      </c>
      <c r="G23" s="15" t="s">
        <v>110</v>
      </c>
      <c r="H23" s="143" t="s">
        <v>110</v>
      </c>
      <c r="I23" s="143" t="s">
        <v>110</v>
      </c>
      <c r="J23" s="9" t="s">
        <v>957</v>
      </c>
    </row>
    <row r="24" spans="1:10" ht="14.4" customHeight="1" x14ac:dyDescent="0.3">
      <c r="A24" s="76">
        <v>22</v>
      </c>
      <c r="B24" s="145" t="s">
        <v>20</v>
      </c>
      <c r="C24" s="9" t="s">
        <v>96</v>
      </c>
      <c r="D24" s="206">
        <f>+VLOOKUP(C24,'GRADUADOS '!$A$2:$B$230,2,0)</f>
        <v>15</v>
      </c>
      <c r="E24" s="15" t="s">
        <v>24</v>
      </c>
      <c r="F24" s="143" t="s">
        <v>110</v>
      </c>
      <c r="G24" s="15" t="s">
        <v>110</v>
      </c>
      <c r="H24" s="143" t="s">
        <v>110</v>
      </c>
      <c r="I24" s="204" t="s">
        <v>110</v>
      </c>
      <c r="J24" s="9"/>
    </row>
    <row r="25" spans="1:10" ht="14.4" customHeight="1" x14ac:dyDescent="0.3">
      <c r="A25" s="76">
        <v>23</v>
      </c>
      <c r="B25" s="145" t="s">
        <v>20</v>
      </c>
      <c r="C25" s="9" t="s">
        <v>348</v>
      </c>
      <c r="D25" s="206">
        <f>+VLOOKUP(C25,'GRADUADOS '!$A$2:$B$230,2,0)</f>
        <v>15</v>
      </c>
      <c r="E25" s="15" t="s">
        <v>24</v>
      </c>
      <c r="F25" s="143" t="s">
        <v>110</v>
      </c>
      <c r="G25" s="15" t="s">
        <v>110</v>
      </c>
      <c r="H25" s="143" t="s">
        <v>110</v>
      </c>
      <c r="I25" s="204" t="s">
        <v>110</v>
      </c>
      <c r="J25" s="9"/>
    </row>
    <row r="26" spans="1:10" ht="14.4" customHeight="1" x14ac:dyDescent="0.3">
      <c r="A26" s="76">
        <v>24</v>
      </c>
      <c r="B26" s="145" t="s">
        <v>660</v>
      </c>
      <c r="C26" s="9" t="s">
        <v>90</v>
      </c>
      <c r="D26" s="206">
        <f>+VLOOKUP(C26,'GRADUADOS '!$A$2:$B$230,2,0)</f>
        <v>15</v>
      </c>
      <c r="E26" s="15" t="s">
        <v>24</v>
      </c>
      <c r="F26" s="143" t="s">
        <v>24</v>
      </c>
      <c r="G26" s="15" t="s">
        <v>24</v>
      </c>
      <c r="H26" s="143" t="s">
        <v>24</v>
      </c>
      <c r="I26" s="143" t="s">
        <v>24</v>
      </c>
      <c r="J26" s="9"/>
    </row>
    <row r="27" spans="1:10" ht="14.4" customHeight="1" x14ac:dyDescent="0.3">
      <c r="A27" s="76">
        <v>25</v>
      </c>
      <c r="B27" s="145" t="s">
        <v>23</v>
      </c>
      <c r="C27" s="9" t="s">
        <v>351</v>
      </c>
      <c r="D27" s="206">
        <f>+VLOOKUP(C27,'GRADUADOS '!$A$2:$B$230,2,0)</f>
        <v>16</v>
      </c>
      <c r="E27" s="15"/>
      <c r="F27" s="143"/>
      <c r="G27" s="15"/>
      <c r="H27" s="143"/>
      <c r="I27" s="143"/>
      <c r="J27" s="9"/>
    </row>
    <row r="28" spans="1:10" ht="14.4" customHeight="1" x14ac:dyDescent="0.3">
      <c r="A28" s="76">
        <v>26</v>
      </c>
      <c r="B28" s="145" t="s">
        <v>23</v>
      </c>
      <c r="C28" s="9" t="s">
        <v>357</v>
      </c>
      <c r="D28" s="206">
        <f>+VLOOKUP(C28,'GRADUADOS '!$A$2:$B$230,2,0)</f>
        <v>16</v>
      </c>
      <c r="E28" s="15"/>
      <c r="F28" s="143"/>
      <c r="G28" s="15"/>
      <c r="H28" s="143"/>
      <c r="I28" s="143"/>
      <c r="J28" s="9"/>
    </row>
    <row r="29" spans="1:10" ht="14.4" customHeight="1" x14ac:dyDescent="0.3">
      <c r="A29" s="76">
        <v>27</v>
      </c>
      <c r="B29" s="145" t="s">
        <v>23</v>
      </c>
      <c r="C29" s="9" t="s">
        <v>363</v>
      </c>
      <c r="D29" s="206">
        <f>+VLOOKUP(C29,'GRADUADOS '!$A$2:$B$230,2,0)</f>
        <v>16</v>
      </c>
      <c r="E29" s="15" t="s">
        <v>24</v>
      </c>
      <c r="F29" s="143"/>
      <c r="G29" s="15"/>
      <c r="H29" s="143"/>
      <c r="I29" s="143"/>
      <c r="J29" s="9"/>
    </row>
    <row r="30" spans="1:10" ht="14.4" customHeight="1" x14ac:dyDescent="0.3">
      <c r="A30" s="76">
        <v>28</v>
      </c>
      <c r="B30" s="145" t="s">
        <v>20</v>
      </c>
      <c r="C30" s="9" t="s">
        <v>107</v>
      </c>
      <c r="D30" s="206">
        <f>+VLOOKUP(C30,'GRADUADOS '!$A$2:$B$230,2,0)</f>
        <v>16</v>
      </c>
      <c r="E30" s="67" t="s">
        <v>110</v>
      </c>
      <c r="F30" s="143" t="s">
        <v>110</v>
      </c>
      <c r="G30" s="15" t="s">
        <v>110</v>
      </c>
      <c r="H30" s="143" t="s">
        <v>110</v>
      </c>
      <c r="I30" s="204" t="s">
        <v>110</v>
      </c>
      <c r="J30" s="9"/>
    </row>
    <row r="31" spans="1:10" ht="14.4" customHeight="1" x14ac:dyDescent="0.3">
      <c r="A31" s="76">
        <v>29</v>
      </c>
      <c r="B31" s="145" t="s">
        <v>20</v>
      </c>
      <c r="C31" s="9" t="s">
        <v>356</v>
      </c>
      <c r="D31" s="206">
        <f>+VLOOKUP(C31,'GRADUADOS '!$A$2:$B$230,2,0)</f>
        <v>16</v>
      </c>
      <c r="E31" s="15" t="s">
        <v>28</v>
      </c>
      <c r="F31" s="143" t="s">
        <v>110</v>
      </c>
      <c r="G31" s="15" t="s">
        <v>110</v>
      </c>
      <c r="H31" s="143" t="s">
        <v>110</v>
      </c>
      <c r="I31" s="204" t="s">
        <v>110</v>
      </c>
      <c r="J31" s="9"/>
    </row>
    <row r="32" spans="1:10" ht="14.4" customHeight="1" x14ac:dyDescent="0.3">
      <c r="A32" s="76">
        <v>30</v>
      </c>
      <c r="B32" s="145" t="s">
        <v>20</v>
      </c>
      <c r="C32" s="9" t="s">
        <v>359</v>
      </c>
      <c r="D32" s="206">
        <f>+VLOOKUP(C32,'GRADUADOS '!$A$2:$B$230,2,0)</f>
        <v>16</v>
      </c>
      <c r="E32" s="15" t="s">
        <v>28</v>
      </c>
      <c r="F32" s="143" t="s">
        <v>110</v>
      </c>
      <c r="G32" s="15" t="s">
        <v>110</v>
      </c>
      <c r="H32" s="143" t="s">
        <v>110</v>
      </c>
      <c r="I32" s="204" t="s">
        <v>110</v>
      </c>
      <c r="J32" s="9"/>
    </row>
    <row r="33" spans="1:10" ht="14.4" customHeight="1" x14ac:dyDescent="0.3">
      <c r="A33" s="76">
        <v>31</v>
      </c>
      <c r="B33" s="145" t="s">
        <v>20</v>
      </c>
      <c r="C33" s="9" t="s">
        <v>186</v>
      </c>
      <c r="D33" s="206">
        <f>+VLOOKUP(C33,'GRADUADOS '!$A$2:$B$230,2,0)</f>
        <v>16</v>
      </c>
      <c r="E33" s="15" t="s">
        <v>24</v>
      </c>
      <c r="F33" s="143" t="s">
        <v>110</v>
      </c>
      <c r="G33" s="15" t="s">
        <v>110</v>
      </c>
      <c r="H33" s="143" t="s">
        <v>110</v>
      </c>
      <c r="I33" s="204" t="s">
        <v>110</v>
      </c>
      <c r="J33" s="9"/>
    </row>
    <row r="34" spans="1:10" ht="14.4" customHeight="1" x14ac:dyDescent="0.3">
      <c r="A34" s="76">
        <v>32</v>
      </c>
      <c r="B34" s="145" t="s">
        <v>660</v>
      </c>
      <c r="C34" s="9" t="s">
        <v>350</v>
      </c>
      <c r="D34" s="206">
        <f>+VLOOKUP(C34,'GRADUADOS '!$A$2:$B$230,2,0)</f>
        <v>16</v>
      </c>
      <c r="E34" s="15"/>
      <c r="F34" s="143"/>
      <c r="G34" s="15"/>
      <c r="H34" s="204"/>
      <c r="I34" s="204"/>
      <c r="J34" s="9"/>
    </row>
    <row r="35" spans="1:10" ht="14.4" customHeight="1" x14ac:dyDescent="0.3">
      <c r="A35" s="76">
        <v>33</v>
      </c>
      <c r="B35" s="145" t="s">
        <v>660</v>
      </c>
      <c r="C35" s="9" t="s">
        <v>112</v>
      </c>
      <c r="D35" s="206">
        <f>+VLOOKUP(C35,'GRADUADOS '!$A$2:$B$230,2,0)</f>
        <v>16</v>
      </c>
      <c r="E35" s="15" t="s">
        <v>28</v>
      </c>
      <c r="F35" s="143" t="s">
        <v>28</v>
      </c>
      <c r="G35" s="15" t="s">
        <v>28</v>
      </c>
      <c r="H35" s="143" t="s">
        <v>28</v>
      </c>
      <c r="I35" s="143" t="s">
        <v>28</v>
      </c>
      <c r="J35" s="9"/>
    </row>
    <row r="36" spans="1:10" ht="14.4" customHeight="1" x14ac:dyDescent="0.3">
      <c r="A36" s="76">
        <v>34</v>
      </c>
      <c r="B36" s="145" t="s">
        <v>660</v>
      </c>
      <c r="C36" s="9" t="s">
        <v>361</v>
      </c>
      <c r="D36" s="206">
        <f>+VLOOKUP(C36,'GRADUADOS '!$A$2:$B$230,2,0)</f>
        <v>16</v>
      </c>
      <c r="E36" s="15"/>
      <c r="F36" s="143"/>
      <c r="G36" s="15"/>
      <c r="H36" s="204"/>
      <c r="I36" s="204"/>
      <c r="J36" s="9"/>
    </row>
    <row r="37" spans="1:10" ht="14.4" customHeight="1" x14ac:dyDescent="0.3">
      <c r="A37" s="76">
        <v>35</v>
      </c>
      <c r="B37" s="145" t="s">
        <v>660</v>
      </c>
      <c r="C37" s="9" t="s">
        <v>101</v>
      </c>
      <c r="D37" s="206">
        <f>+VLOOKUP(C37,'GRADUADOS '!$A$2:$B$230,2,0)</f>
        <v>16</v>
      </c>
      <c r="E37" s="15"/>
      <c r="F37" s="143"/>
      <c r="G37" s="15"/>
      <c r="H37" s="204"/>
      <c r="I37" s="204"/>
      <c r="J37" s="9"/>
    </row>
    <row r="38" spans="1:10" ht="14.4" customHeight="1" x14ac:dyDescent="0.3">
      <c r="A38" s="76">
        <v>36</v>
      </c>
      <c r="B38" s="145" t="s">
        <v>20</v>
      </c>
      <c r="C38" s="9" t="s">
        <v>827</v>
      </c>
      <c r="D38" s="237">
        <v>16</v>
      </c>
      <c r="E38" s="15" t="s">
        <v>16</v>
      </c>
      <c r="F38" s="143" t="s">
        <v>110</v>
      </c>
      <c r="G38" s="15" t="s">
        <v>110</v>
      </c>
      <c r="H38" s="143" t="s">
        <v>110</v>
      </c>
      <c r="I38" s="204" t="s">
        <v>110</v>
      </c>
      <c r="J38" s="9"/>
    </row>
    <row r="39" spans="1:10" ht="14.4" customHeight="1" x14ac:dyDescent="0.3">
      <c r="A39" s="76">
        <v>37</v>
      </c>
      <c r="B39" s="145" t="s">
        <v>23</v>
      </c>
      <c r="C39" s="9" t="s">
        <v>117</v>
      </c>
      <c r="D39" s="206">
        <f>+VLOOKUP(C39,'GRADUADOS '!$A$2:$B$230,2,0)</f>
        <v>17</v>
      </c>
      <c r="E39" s="15" t="s">
        <v>24</v>
      </c>
      <c r="F39" s="143"/>
      <c r="G39" s="15"/>
      <c r="H39" s="143"/>
      <c r="I39" s="143"/>
      <c r="J39" s="9"/>
    </row>
    <row r="40" spans="1:10" ht="14.4" customHeight="1" x14ac:dyDescent="0.3">
      <c r="A40" s="76">
        <v>38</v>
      </c>
      <c r="B40" s="145" t="s">
        <v>23</v>
      </c>
      <c r="C40" s="9" t="s">
        <v>371</v>
      </c>
      <c r="D40" s="5">
        <f>+VLOOKUP(C40,'GRADUADOS '!$A$2:$B$230,2,0)</f>
        <v>17</v>
      </c>
      <c r="E40" s="15"/>
      <c r="F40" s="143"/>
      <c r="G40" s="15"/>
      <c r="H40" s="143"/>
      <c r="I40" s="143"/>
      <c r="J40" s="9"/>
    </row>
    <row r="41" spans="1:10" ht="14.4" customHeight="1" x14ac:dyDescent="0.3">
      <c r="A41" s="76">
        <v>39</v>
      </c>
      <c r="B41" s="145" t="s">
        <v>23</v>
      </c>
      <c r="C41" s="9" t="s">
        <v>121</v>
      </c>
      <c r="D41" s="160">
        <f>+VLOOKUP(C41,'GRADUADOS '!$A$2:$B$230,2,0)</f>
        <v>17</v>
      </c>
      <c r="E41" s="142"/>
      <c r="F41" s="143"/>
      <c r="G41" s="15"/>
      <c r="H41" s="143"/>
      <c r="I41" s="143"/>
      <c r="J41" s="9"/>
    </row>
    <row r="42" spans="1:10" ht="14.4" customHeight="1" x14ac:dyDescent="0.3">
      <c r="A42" s="76">
        <v>40</v>
      </c>
      <c r="B42" s="145" t="s">
        <v>20</v>
      </c>
      <c r="C42" s="9" t="s">
        <v>369</v>
      </c>
      <c r="D42" s="160">
        <f>+VLOOKUP(C42,'GRADUADOS '!$A$2:$B$230,2,0)</f>
        <v>17</v>
      </c>
      <c r="E42" s="142" t="s">
        <v>110</v>
      </c>
      <c r="F42" s="143" t="s">
        <v>110</v>
      </c>
      <c r="G42" s="15" t="s">
        <v>110</v>
      </c>
      <c r="H42" s="143" t="s">
        <v>110</v>
      </c>
      <c r="I42" s="204" t="s">
        <v>110</v>
      </c>
      <c r="J42" s="9"/>
    </row>
    <row r="43" spans="1:10" ht="14.4" customHeight="1" x14ac:dyDescent="0.3">
      <c r="A43" s="76">
        <v>41</v>
      </c>
      <c r="B43" s="145" t="s">
        <v>20</v>
      </c>
      <c r="C43" s="9" t="s">
        <v>373</v>
      </c>
      <c r="D43" s="160">
        <f>+VLOOKUP(C43,'GRADUADOS '!$A$2:$B$230,2,0)</f>
        <v>17</v>
      </c>
      <c r="E43" s="142" t="s">
        <v>24</v>
      </c>
      <c r="F43" s="143" t="s">
        <v>110</v>
      </c>
      <c r="G43" s="15" t="s">
        <v>110</v>
      </c>
      <c r="H43" s="143" t="s">
        <v>110</v>
      </c>
      <c r="I43" s="204" t="s">
        <v>110</v>
      </c>
      <c r="J43" s="9"/>
    </row>
    <row r="44" spans="1:10" ht="14.4" customHeight="1" x14ac:dyDescent="0.3">
      <c r="A44" s="76">
        <v>42</v>
      </c>
      <c r="B44" s="145" t="s">
        <v>20</v>
      </c>
      <c r="C44" s="9" t="s">
        <v>113</v>
      </c>
      <c r="D44" s="160">
        <f>+VLOOKUP(C44,'GRADUADOS '!$A$2:$B$230,2,0)</f>
        <v>17</v>
      </c>
      <c r="E44" s="142" t="s">
        <v>110</v>
      </c>
      <c r="F44" s="143" t="s">
        <v>110</v>
      </c>
      <c r="G44" s="143" t="s">
        <v>110</v>
      </c>
      <c r="H44" s="143" t="s">
        <v>110</v>
      </c>
      <c r="I44" s="204" t="s">
        <v>110</v>
      </c>
      <c r="J44" s="9"/>
    </row>
    <row r="45" spans="1:10" ht="14.4" customHeight="1" x14ac:dyDescent="0.3">
      <c r="A45" s="76">
        <v>43</v>
      </c>
      <c r="B45" s="145" t="s">
        <v>660</v>
      </c>
      <c r="C45" s="9" t="s">
        <v>364</v>
      </c>
      <c r="D45" s="160">
        <f>+VLOOKUP(C45,'GRADUADOS '!$A$2:$B$230,2,0)</f>
        <v>17</v>
      </c>
      <c r="E45" s="143" t="s">
        <v>110</v>
      </c>
      <c r="F45" s="15" t="s">
        <v>110</v>
      </c>
      <c r="G45" s="15" t="s">
        <v>110</v>
      </c>
      <c r="H45" s="15" t="s">
        <v>110</v>
      </c>
      <c r="I45" s="91" t="s">
        <v>110</v>
      </c>
      <c r="J45" s="9"/>
    </row>
    <row r="46" spans="1:10" ht="14.4" customHeight="1" x14ac:dyDescent="0.3">
      <c r="A46" s="76">
        <v>44</v>
      </c>
      <c r="B46" s="145" t="s">
        <v>660</v>
      </c>
      <c r="C46" s="126" t="s">
        <v>125</v>
      </c>
      <c r="D46" s="173">
        <f>+VLOOKUP(C46,'GRADUADOS '!$A$2:$B$230,2,0)</f>
        <v>17</v>
      </c>
      <c r="E46" s="141"/>
      <c r="F46" s="141"/>
      <c r="G46" s="141"/>
      <c r="H46" s="56"/>
      <c r="I46" s="140"/>
      <c r="J46" s="9"/>
    </row>
    <row r="47" spans="1:10" ht="14.4" customHeight="1" x14ac:dyDescent="0.3">
      <c r="A47" s="76">
        <v>45</v>
      </c>
      <c r="B47" s="145" t="s">
        <v>660</v>
      </c>
      <c r="C47" s="9" t="s">
        <v>115</v>
      </c>
      <c r="D47" s="160">
        <f>+VLOOKUP(C47,'GRADUADOS '!$A$2:$B$230,2,0)</f>
        <v>17</v>
      </c>
      <c r="E47" s="142" t="s">
        <v>24</v>
      </c>
      <c r="F47" s="15" t="s">
        <v>24</v>
      </c>
      <c r="G47" s="15" t="s">
        <v>24</v>
      </c>
      <c r="H47" s="15" t="s">
        <v>24</v>
      </c>
      <c r="I47" s="91" t="s">
        <v>24</v>
      </c>
      <c r="J47" s="9"/>
    </row>
    <row r="48" spans="1:10" ht="14.4" customHeight="1" x14ac:dyDescent="0.3">
      <c r="A48" s="76">
        <v>46</v>
      </c>
      <c r="B48" s="145" t="s">
        <v>660</v>
      </c>
      <c r="C48" s="9" t="s">
        <v>122</v>
      </c>
      <c r="D48" s="160">
        <f>+VLOOKUP(C48,'GRADUADOS '!$A$2:$B$230,2,0)</f>
        <v>17</v>
      </c>
      <c r="E48" s="141"/>
      <c r="F48" s="28"/>
      <c r="G48" s="28"/>
      <c r="H48" s="28"/>
      <c r="I48" s="240"/>
      <c r="J48" s="9"/>
    </row>
    <row r="49" spans="1:10" ht="14.4" customHeight="1" x14ac:dyDescent="0.3">
      <c r="A49" s="76">
        <v>47</v>
      </c>
      <c r="B49" s="145" t="s">
        <v>23</v>
      </c>
      <c r="C49" s="126" t="s">
        <v>102</v>
      </c>
      <c r="D49" s="160">
        <f>+VLOOKUP(C49,'GRADUADOS '!$A$2:$B$230,2,0)</f>
        <v>18</v>
      </c>
      <c r="E49" s="142"/>
      <c r="F49" s="142"/>
      <c r="G49" s="142"/>
      <c r="H49" s="146"/>
      <c r="I49" s="229"/>
      <c r="J49" s="9"/>
    </row>
    <row r="50" spans="1:10" ht="14.4" customHeight="1" x14ac:dyDescent="0.3">
      <c r="A50" s="76">
        <v>48</v>
      </c>
      <c r="B50" s="145" t="s">
        <v>20</v>
      </c>
      <c r="C50" s="126" t="s">
        <v>127</v>
      </c>
      <c r="D50" s="160">
        <f>+VLOOKUP(C50,'GRADUADOS '!$A$2:$B$230,2,0)</f>
        <v>18</v>
      </c>
      <c r="E50" s="141" t="s">
        <v>24</v>
      </c>
      <c r="F50" s="141" t="s">
        <v>110</v>
      </c>
      <c r="G50" s="141" t="s">
        <v>110</v>
      </c>
      <c r="H50" s="141" t="s">
        <v>110</v>
      </c>
      <c r="I50" s="140" t="s">
        <v>110</v>
      </c>
      <c r="J50" s="9"/>
    </row>
    <row r="51" spans="1:10" ht="14.4" customHeight="1" x14ac:dyDescent="0.3">
      <c r="A51" s="76">
        <v>49</v>
      </c>
      <c r="B51" s="145" t="s">
        <v>20</v>
      </c>
      <c r="C51" s="126" t="s">
        <v>138</v>
      </c>
      <c r="D51" s="160">
        <f>+VLOOKUP(C51,'GRADUADOS '!$A$2:$B$230,2,0)</f>
        <v>18</v>
      </c>
      <c r="E51" s="142" t="s">
        <v>24</v>
      </c>
      <c r="F51" s="143" t="s">
        <v>110</v>
      </c>
      <c r="G51" s="15" t="s">
        <v>110</v>
      </c>
      <c r="H51" s="143" t="s">
        <v>110</v>
      </c>
      <c r="I51" s="204" t="s">
        <v>110</v>
      </c>
      <c r="J51" s="79"/>
    </row>
    <row r="52" spans="1:10" ht="14.4" customHeight="1" x14ac:dyDescent="0.3">
      <c r="A52" s="76">
        <v>50</v>
      </c>
      <c r="B52" s="145" t="s">
        <v>660</v>
      </c>
      <c r="C52" s="126" t="s">
        <v>137</v>
      </c>
      <c r="D52" s="160">
        <f>+VLOOKUP(C52,'GRADUADOS '!$A$2:$B$230,2,0)</f>
        <v>18</v>
      </c>
      <c r="E52" s="142" t="s">
        <v>24</v>
      </c>
      <c r="F52" s="143" t="s">
        <v>24</v>
      </c>
      <c r="G52" s="15" t="s">
        <v>24</v>
      </c>
      <c r="H52" s="143" t="s">
        <v>24</v>
      </c>
      <c r="I52" s="143" t="s">
        <v>24</v>
      </c>
      <c r="J52" s="9"/>
    </row>
    <row r="53" spans="1:10" ht="14.4" customHeight="1" x14ac:dyDescent="0.3">
      <c r="A53" s="76">
        <v>51</v>
      </c>
      <c r="B53" s="145" t="s">
        <v>660</v>
      </c>
      <c r="C53" s="9" t="s">
        <v>135</v>
      </c>
      <c r="D53" s="99">
        <v>18</v>
      </c>
      <c r="E53" s="141" t="s">
        <v>28</v>
      </c>
      <c r="F53" s="143" t="s">
        <v>28</v>
      </c>
      <c r="G53" s="15" t="s">
        <v>16</v>
      </c>
      <c r="H53" s="143" t="s">
        <v>16</v>
      </c>
      <c r="I53" s="143" t="s">
        <v>28</v>
      </c>
      <c r="J53" s="9"/>
    </row>
    <row r="54" spans="1:10" ht="14.4" customHeight="1" x14ac:dyDescent="0.3">
      <c r="A54" s="76">
        <v>52</v>
      </c>
      <c r="B54" s="145" t="s">
        <v>13</v>
      </c>
      <c r="C54" s="9" t="s">
        <v>134</v>
      </c>
      <c r="D54" s="99">
        <v>18</v>
      </c>
      <c r="E54" s="142" t="s">
        <v>16</v>
      </c>
      <c r="F54" s="143" t="s">
        <v>28</v>
      </c>
      <c r="G54" s="15" t="s">
        <v>28</v>
      </c>
      <c r="H54" s="143" t="s">
        <v>28</v>
      </c>
      <c r="I54" s="143" t="s">
        <v>28</v>
      </c>
      <c r="J54" s="9"/>
    </row>
    <row r="55" spans="1:10" ht="14.4" customHeight="1" x14ac:dyDescent="0.3">
      <c r="A55" s="76">
        <v>53</v>
      </c>
      <c r="B55" s="145" t="s">
        <v>23</v>
      </c>
      <c r="C55" s="9" t="s">
        <v>385</v>
      </c>
      <c r="D55" s="160">
        <f>+VLOOKUP(C55,'GRADUADOS '!$A$2:$B$230,2,0)</f>
        <v>19</v>
      </c>
      <c r="E55" s="142" t="s">
        <v>24</v>
      </c>
      <c r="F55" s="143"/>
      <c r="G55" s="15"/>
      <c r="H55" s="204"/>
      <c r="I55" s="204"/>
      <c r="J55" s="9"/>
    </row>
    <row r="56" spans="1:10" ht="14.4" customHeight="1" x14ac:dyDescent="0.3">
      <c r="A56" s="76">
        <v>54</v>
      </c>
      <c r="B56" s="145" t="s">
        <v>23</v>
      </c>
      <c r="C56" s="9" t="s">
        <v>140</v>
      </c>
      <c r="D56" s="160">
        <f>+VLOOKUP(C56,'GRADUADOS '!$A$2:$B$230,2,0)</f>
        <v>19</v>
      </c>
      <c r="E56" s="141"/>
      <c r="F56" s="143"/>
      <c r="G56" s="15"/>
      <c r="H56" s="204"/>
      <c r="I56" s="204"/>
      <c r="J56" s="9"/>
    </row>
    <row r="57" spans="1:10" ht="14.4" x14ac:dyDescent="0.3">
      <c r="A57" s="76">
        <v>55</v>
      </c>
      <c r="B57" s="145" t="s">
        <v>23</v>
      </c>
      <c r="C57" s="9" t="s">
        <v>154</v>
      </c>
      <c r="D57" s="160">
        <f>+VLOOKUP(C57,'GRADUADOS '!$A$2:$B$230,2,0)</f>
        <v>19</v>
      </c>
      <c r="E57" s="142"/>
      <c r="F57" s="143"/>
      <c r="G57" s="15"/>
      <c r="H57" s="204"/>
      <c r="I57" s="204"/>
      <c r="J57" s="9" t="s">
        <v>958</v>
      </c>
    </row>
    <row r="58" spans="1:10" ht="14.4" x14ac:dyDescent="0.3">
      <c r="A58" s="76">
        <v>56</v>
      </c>
      <c r="B58" s="145" t="s">
        <v>23</v>
      </c>
      <c r="C58" s="9" t="s">
        <v>142</v>
      </c>
      <c r="D58" s="160">
        <f>+VLOOKUP(C58,'GRADUADOS '!$A$2:$B$230,2,0)</f>
        <v>19</v>
      </c>
      <c r="E58" s="20"/>
      <c r="F58" s="15"/>
      <c r="G58" s="15"/>
      <c r="H58" s="9"/>
      <c r="I58" s="76"/>
      <c r="J58" s="9"/>
    </row>
    <row r="59" spans="1:10" ht="14.4" x14ac:dyDescent="0.3">
      <c r="A59" s="76">
        <v>57</v>
      </c>
      <c r="B59" s="145" t="s">
        <v>20</v>
      </c>
      <c r="C59" s="9" t="s">
        <v>386</v>
      </c>
      <c r="D59" s="160">
        <f>+VLOOKUP(C59,'GRADUADOS '!$A$2:$B$230,2,0)</f>
        <v>19</v>
      </c>
      <c r="E59" s="141" t="s">
        <v>28</v>
      </c>
      <c r="F59" s="15" t="s">
        <v>110</v>
      </c>
      <c r="G59" s="15" t="s">
        <v>110</v>
      </c>
      <c r="H59" s="15" t="s">
        <v>110</v>
      </c>
      <c r="I59" s="76" t="s">
        <v>110</v>
      </c>
      <c r="J59" s="9"/>
    </row>
    <row r="60" spans="1:10" ht="14.4" x14ac:dyDescent="0.3">
      <c r="A60" s="76">
        <v>58</v>
      </c>
      <c r="B60" s="145" t="s">
        <v>20</v>
      </c>
      <c r="C60" s="9" t="s">
        <v>390</v>
      </c>
      <c r="D60" s="160">
        <f>+VLOOKUP(C60,'GRADUADOS '!$A$2:$B$230,2,0)</f>
        <v>19</v>
      </c>
      <c r="E60" s="142" t="s">
        <v>28</v>
      </c>
      <c r="F60" s="15" t="s">
        <v>110</v>
      </c>
      <c r="G60" s="15" t="s">
        <v>110</v>
      </c>
      <c r="H60" s="15" t="s">
        <v>110</v>
      </c>
      <c r="I60" s="76" t="s">
        <v>110</v>
      </c>
      <c r="J60" s="9"/>
    </row>
    <row r="61" spans="1:10" ht="14.4" x14ac:dyDescent="0.3">
      <c r="A61" s="76">
        <v>59</v>
      </c>
      <c r="B61" s="145" t="s">
        <v>20</v>
      </c>
      <c r="C61" s="9" t="s">
        <v>152</v>
      </c>
      <c r="D61" s="160">
        <f>+VLOOKUP(C61,'GRADUADOS '!$A$2:$B$230,2,0)</f>
        <v>19</v>
      </c>
      <c r="E61" s="142" t="s">
        <v>24</v>
      </c>
      <c r="F61" s="15" t="s">
        <v>110</v>
      </c>
      <c r="G61" s="15" t="s">
        <v>110</v>
      </c>
      <c r="H61" s="15" t="s">
        <v>110</v>
      </c>
      <c r="I61" s="9" t="s">
        <v>110</v>
      </c>
      <c r="J61" s="68"/>
    </row>
    <row r="62" spans="1:10" ht="14.4" x14ac:dyDescent="0.3">
      <c r="A62" s="76">
        <v>60</v>
      </c>
      <c r="B62" s="145" t="s">
        <v>660</v>
      </c>
      <c r="C62" s="9" t="s">
        <v>383</v>
      </c>
      <c r="D62" s="160">
        <f>+VLOOKUP(C62,'GRADUADOS '!$A$2:$B$230,2,0)</f>
        <v>19</v>
      </c>
      <c r="E62" s="171" t="s">
        <v>110</v>
      </c>
      <c r="F62" s="82" t="s">
        <v>110</v>
      </c>
      <c r="G62" s="82" t="s">
        <v>110</v>
      </c>
      <c r="H62" s="82" t="s">
        <v>110</v>
      </c>
      <c r="I62" s="82" t="s">
        <v>110</v>
      </c>
      <c r="J62" s="68"/>
    </row>
    <row r="63" spans="1:10" ht="14.4" x14ac:dyDescent="0.3">
      <c r="A63" s="76">
        <v>61</v>
      </c>
      <c r="B63" s="145" t="s">
        <v>660</v>
      </c>
      <c r="C63" s="9" t="s">
        <v>175</v>
      </c>
      <c r="D63" s="160">
        <f>+VLOOKUP(C63,'GRADUADOS '!$A$2:$B$230,2,0)</f>
        <v>19</v>
      </c>
      <c r="E63" s="141" t="s">
        <v>28</v>
      </c>
      <c r="F63" s="28" t="s">
        <v>16</v>
      </c>
      <c r="G63" s="28" t="s">
        <v>28</v>
      </c>
      <c r="H63" s="1"/>
      <c r="I63" s="1"/>
      <c r="J63" s="79"/>
    </row>
    <row r="64" spans="1:10" ht="14.4" x14ac:dyDescent="0.3">
      <c r="A64" s="76">
        <v>62</v>
      </c>
      <c r="B64" s="145" t="s">
        <v>660</v>
      </c>
      <c r="C64" s="9" t="s">
        <v>828</v>
      </c>
      <c r="D64" s="160">
        <v>19</v>
      </c>
      <c r="E64" s="141" t="s">
        <v>28</v>
      </c>
      <c r="F64" s="141" t="s">
        <v>28</v>
      </c>
      <c r="G64" s="141" t="s">
        <v>28</v>
      </c>
      <c r="H64" s="141" t="s">
        <v>28</v>
      </c>
      <c r="I64" s="141" t="s">
        <v>28</v>
      </c>
      <c r="J64" s="79"/>
    </row>
    <row r="65" spans="1:10" ht="14.4" x14ac:dyDescent="0.3">
      <c r="A65" s="76">
        <v>63</v>
      </c>
      <c r="B65" s="145" t="s">
        <v>660</v>
      </c>
      <c r="C65" s="9" t="s">
        <v>144</v>
      </c>
      <c r="D65" s="160">
        <f>+VLOOKUP(C65,'GRADUADOS '!$A$2:$B$230,2,0)</f>
        <v>19</v>
      </c>
      <c r="E65" s="141" t="s">
        <v>24</v>
      </c>
      <c r="F65" s="141"/>
      <c r="G65" s="141"/>
      <c r="H65" s="56"/>
      <c r="I65" s="56"/>
      <c r="J65" s="79"/>
    </row>
    <row r="66" spans="1:10" ht="14.4" x14ac:dyDescent="0.3">
      <c r="A66" s="76">
        <v>64</v>
      </c>
      <c r="B66" s="145" t="s">
        <v>20</v>
      </c>
      <c r="C66" s="9" t="s">
        <v>959</v>
      </c>
      <c r="D66" s="160">
        <v>20</v>
      </c>
      <c r="E66" s="142" t="s">
        <v>24</v>
      </c>
      <c r="F66" s="15" t="s">
        <v>110</v>
      </c>
      <c r="G66" s="15" t="s">
        <v>110</v>
      </c>
      <c r="H66" s="15" t="s">
        <v>110</v>
      </c>
      <c r="I66" s="76" t="s">
        <v>110</v>
      </c>
      <c r="J66" s="79"/>
    </row>
    <row r="67" spans="1:10" ht="15.6" x14ac:dyDescent="0.3">
      <c r="A67" s="76">
        <v>65</v>
      </c>
      <c r="B67" s="145" t="s">
        <v>20</v>
      </c>
      <c r="C67" s="215" t="s">
        <v>960</v>
      </c>
      <c r="D67" s="99">
        <v>20</v>
      </c>
      <c r="E67" s="141" t="s">
        <v>28</v>
      </c>
      <c r="F67" s="28" t="s">
        <v>110</v>
      </c>
      <c r="G67" s="28" t="s">
        <v>110</v>
      </c>
      <c r="H67" s="28" t="s">
        <v>110</v>
      </c>
      <c r="I67" s="1" t="s">
        <v>110</v>
      </c>
      <c r="J67" s="79"/>
    </row>
    <row r="68" spans="1:10" ht="14.4" x14ac:dyDescent="0.3">
      <c r="A68" s="76">
        <v>66</v>
      </c>
      <c r="B68" s="145" t="s">
        <v>660</v>
      </c>
      <c r="C68" s="162" t="s">
        <v>961</v>
      </c>
      <c r="D68" s="160">
        <v>20</v>
      </c>
      <c r="E68" s="142" t="s">
        <v>24</v>
      </c>
      <c r="F68" s="142"/>
      <c r="G68" s="142"/>
      <c r="H68" s="142"/>
      <c r="I68" s="142"/>
      <c r="J68" s="79"/>
    </row>
    <row r="69" spans="1:10" ht="14.4" x14ac:dyDescent="0.3">
      <c r="A69" s="76">
        <v>67</v>
      </c>
      <c r="B69" s="145" t="s">
        <v>660</v>
      </c>
      <c r="C69" s="162" t="s">
        <v>829</v>
      </c>
      <c r="D69" s="160">
        <v>21</v>
      </c>
      <c r="E69" s="143" t="s">
        <v>16</v>
      </c>
      <c r="F69" s="80" t="s">
        <v>28</v>
      </c>
      <c r="G69" s="80" t="s">
        <v>28</v>
      </c>
      <c r="H69" s="80" t="s">
        <v>28</v>
      </c>
      <c r="I69" s="251" t="s">
        <v>28</v>
      </c>
      <c r="J69" s="9"/>
    </row>
    <row r="70" spans="1:10" ht="14.4" x14ac:dyDescent="0.3">
      <c r="A70" s="76">
        <v>68</v>
      </c>
      <c r="B70" s="145" t="s">
        <v>23</v>
      </c>
      <c r="C70" s="9" t="s">
        <v>831</v>
      </c>
      <c r="D70" s="160">
        <v>21</v>
      </c>
      <c r="E70" s="141" t="s">
        <v>24</v>
      </c>
      <c r="F70" s="15"/>
      <c r="G70" s="15"/>
      <c r="H70" s="9"/>
      <c r="I70" s="76"/>
      <c r="J70" s="79"/>
    </row>
    <row r="71" spans="1:10" ht="15.6" x14ac:dyDescent="0.3">
      <c r="A71" s="76">
        <v>69</v>
      </c>
      <c r="B71" s="145" t="s">
        <v>23</v>
      </c>
      <c r="C71" s="210" t="s">
        <v>832</v>
      </c>
      <c r="D71" s="160">
        <v>21</v>
      </c>
      <c r="E71" s="142"/>
      <c r="F71" s="143"/>
      <c r="G71" s="15"/>
      <c r="H71" s="204"/>
      <c r="I71" s="204"/>
      <c r="J71" s="96"/>
    </row>
    <row r="72" spans="1:10" ht="15.6" x14ac:dyDescent="0.3">
      <c r="A72" s="76">
        <v>70</v>
      </c>
      <c r="B72" s="145" t="s">
        <v>660</v>
      </c>
      <c r="C72" s="210" t="s">
        <v>833</v>
      </c>
      <c r="D72" s="160">
        <v>21</v>
      </c>
      <c r="E72" s="141" t="s">
        <v>28</v>
      </c>
      <c r="F72" s="141" t="s">
        <v>14</v>
      </c>
      <c r="G72" s="141" t="s">
        <v>14</v>
      </c>
      <c r="H72" s="56" t="s">
        <v>14</v>
      </c>
      <c r="I72" s="56" t="s">
        <v>14</v>
      </c>
      <c r="J72" s="68"/>
    </row>
    <row r="73" spans="1:10" ht="15.6" x14ac:dyDescent="0.3">
      <c r="A73" s="76">
        <v>71</v>
      </c>
      <c r="B73" s="145" t="s">
        <v>660</v>
      </c>
      <c r="C73" s="210" t="s">
        <v>834</v>
      </c>
      <c r="D73" s="160">
        <v>21</v>
      </c>
      <c r="E73" s="142" t="s">
        <v>24</v>
      </c>
      <c r="F73" s="15" t="s">
        <v>24</v>
      </c>
      <c r="G73" s="15" t="s">
        <v>24</v>
      </c>
      <c r="H73" s="15" t="s">
        <v>24</v>
      </c>
      <c r="I73" s="91" t="s">
        <v>24</v>
      </c>
      <c r="J73" s="9"/>
    </row>
    <row r="74" spans="1:10" ht="15.6" x14ac:dyDescent="0.3">
      <c r="A74" s="76">
        <v>72</v>
      </c>
      <c r="B74" s="145" t="s">
        <v>23</v>
      </c>
      <c r="C74" s="210" t="s">
        <v>835</v>
      </c>
      <c r="D74" s="208">
        <v>21</v>
      </c>
      <c r="E74" s="15" t="s">
        <v>16</v>
      </c>
      <c r="F74" s="143" t="s">
        <v>28</v>
      </c>
      <c r="G74" s="15" t="s">
        <v>28</v>
      </c>
      <c r="H74" s="143" t="s">
        <v>28</v>
      </c>
      <c r="I74" s="143" t="s">
        <v>28</v>
      </c>
      <c r="J74" s="9"/>
    </row>
    <row r="75" spans="1:10" ht="14.4" customHeight="1" x14ac:dyDescent="0.3">
      <c r="A75" s="76">
        <v>73</v>
      </c>
      <c r="B75" s="145" t="s">
        <v>20</v>
      </c>
      <c r="C75" s="210" t="s">
        <v>836</v>
      </c>
      <c r="D75" s="208">
        <v>21</v>
      </c>
      <c r="E75" s="15"/>
      <c r="F75" s="143" t="s">
        <v>110</v>
      </c>
      <c r="G75" s="15" t="s">
        <v>110</v>
      </c>
      <c r="H75" s="143" t="s">
        <v>110</v>
      </c>
      <c r="I75" s="204" t="s">
        <v>110</v>
      </c>
      <c r="J75" s="9"/>
    </row>
    <row r="76" spans="1:10" ht="15.6" x14ac:dyDescent="0.3">
      <c r="A76" s="76">
        <v>74</v>
      </c>
      <c r="B76" s="145" t="s">
        <v>660</v>
      </c>
      <c r="C76" s="210" t="s">
        <v>837</v>
      </c>
      <c r="D76" s="208">
        <v>21</v>
      </c>
      <c r="E76" s="15" t="s">
        <v>16</v>
      </c>
      <c r="F76" s="143" t="s">
        <v>14</v>
      </c>
      <c r="G76" s="15" t="s">
        <v>14</v>
      </c>
      <c r="H76" s="204" t="s">
        <v>14</v>
      </c>
      <c r="I76" s="204" t="s">
        <v>14</v>
      </c>
      <c r="J76" s="9"/>
    </row>
    <row r="77" spans="1:10" ht="14.4" x14ac:dyDescent="0.3">
      <c r="A77" s="76">
        <v>75</v>
      </c>
      <c r="B77" s="145" t="s">
        <v>23</v>
      </c>
      <c r="C77" s="126" t="s">
        <v>280</v>
      </c>
      <c r="D77" s="208">
        <v>21</v>
      </c>
      <c r="E77" s="15" t="s">
        <v>16</v>
      </c>
      <c r="F77" s="143" t="s">
        <v>28</v>
      </c>
      <c r="G77" s="15" t="s">
        <v>28</v>
      </c>
      <c r="H77" s="143" t="s">
        <v>28</v>
      </c>
      <c r="I77" s="143" t="s">
        <v>28</v>
      </c>
      <c r="J77" s="9"/>
    </row>
    <row r="78" spans="1:10" ht="15.6" x14ac:dyDescent="0.3">
      <c r="A78" s="76">
        <v>76</v>
      </c>
      <c r="B78" s="145" t="s">
        <v>20</v>
      </c>
      <c r="C78" s="210" t="s">
        <v>838</v>
      </c>
      <c r="D78" s="208">
        <v>21</v>
      </c>
      <c r="E78" s="15"/>
      <c r="F78" s="15" t="s">
        <v>110</v>
      </c>
      <c r="G78" s="15" t="s">
        <v>110</v>
      </c>
      <c r="H78" s="15" t="s">
        <v>110</v>
      </c>
      <c r="I78" s="9" t="s">
        <v>110</v>
      </c>
      <c r="J78" s="9" t="s">
        <v>962</v>
      </c>
    </row>
    <row r="79" spans="1:10" ht="15.6" x14ac:dyDescent="0.3">
      <c r="A79" s="76">
        <v>77</v>
      </c>
      <c r="B79" s="145" t="s">
        <v>20</v>
      </c>
      <c r="C79" s="210" t="s">
        <v>839</v>
      </c>
      <c r="D79" s="208">
        <v>21</v>
      </c>
      <c r="E79" s="15" t="s">
        <v>16</v>
      </c>
      <c r="F79" s="15" t="s">
        <v>110</v>
      </c>
      <c r="G79" s="15" t="s">
        <v>110</v>
      </c>
      <c r="H79" s="15" t="s">
        <v>110</v>
      </c>
      <c r="I79" s="9" t="s">
        <v>110</v>
      </c>
      <c r="J79" s="9"/>
    </row>
    <row r="80" spans="1:10" ht="14.4" x14ac:dyDescent="0.3">
      <c r="A80" s="76">
        <v>78</v>
      </c>
      <c r="B80" s="145" t="s">
        <v>20</v>
      </c>
      <c r="C80" s="9" t="s">
        <v>182</v>
      </c>
      <c r="D80" s="208">
        <v>21</v>
      </c>
      <c r="E80" s="15" t="s">
        <v>16</v>
      </c>
      <c r="F80" s="15" t="s">
        <v>28</v>
      </c>
      <c r="G80" s="15" t="s">
        <v>28</v>
      </c>
      <c r="H80" s="15" t="s">
        <v>28</v>
      </c>
      <c r="I80" s="15" t="s">
        <v>28</v>
      </c>
      <c r="J80" s="9"/>
    </row>
    <row r="81" spans="1:10" ht="15.6" x14ac:dyDescent="0.3">
      <c r="A81" s="76">
        <v>79</v>
      </c>
      <c r="B81" s="145" t="s">
        <v>660</v>
      </c>
      <c r="C81" s="210" t="s">
        <v>840</v>
      </c>
      <c r="D81" s="208">
        <v>22</v>
      </c>
      <c r="E81" s="15" t="s">
        <v>24</v>
      </c>
      <c r="F81" s="15" t="s">
        <v>14</v>
      </c>
      <c r="G81" s="15" t="s">
        <v>14</v>
      </c>
      <c r="H81" s="9" t="s">
        <v>14</v>
      </c>
      <c r="I81" s="9" t="s">
        <v>14</v>
      </c>
      <c r="J81" s="9"/>
    </row>
    <row r="82" spans="1:10" ht="15.6" x14ac:dyDescent="0.3">
      <c r="A82" s="76">
        <v>80</v>
      </c>
      <c r="B82" s="145" t="s">
        <v>660</v>
      </c>
      <c r="C82" s="210" t="s">
        <v>841</v>
      </c>
      <c r="D82" s="208">
        <v>22</v>
      </c>
      <c r="E82" s="15"/>
      <c r="F82" s="15" t="s">
        <v>14</v>
      </c>
      <c r="G82" s="15" t="s">
        <v>14</v>
      </c>
      <c r="H82" s="9" t="s">
        <v>14</v>
      </c>
      <c r="I82" s="9" t="s">
        <v>14</v>
      </c>
      <c r="J82" s="9"/>
    </row>
    <row r="83" spans="1:10" ht="15.6" x14ac:dyDescent="0.3">
      <c r="A83" s="76">
        <v>81</v>
      </c>
      <c r="B83" s="145" t="s">
        <v>660</v>
      </c>
      <c r="C83" s="210" t="s">
        <v>842</v>
      </c>
      <c r="D83" s="208">
        <v>22</v>
      </c>
      <c r="E83" s="15" t="s">
        <v>28</v>
      </c>
      <c r="F83" s="143" t="s">
        <v>16</v>
      </c>
      <c r="G83" s="15" t="s">
        <v>28</v>
      </c>
      <c r="H83" s="143" t="s">
        <v>28</v>
      </c>
      <c r="I83" s="143" t="s">
        <v>28</v>
      </c>
      <c r="J83" s="9"/>
    </row>
    <row r="84" spans="1:10" ht="15.6" x14ac:dyDescent="0.3">
      <c r="A84" s="76">
        <v>82</v>
      </c>
      <c r="B84" s="145" t="s">
        <v>660</v>
      </c>
      <c r="C84" s="210" t="s">
        <v>843</v>
      </c>
      <c r="D84" s="161">
        <v>22</v>
      </c>
      <c r="E84" s="15" t="s">
        <v>28</v>
      </c>
      <c r="F84" s="143" t="s">
        <v>14</v>
      </c>
      <c r="G84" s="15" t="s">
        <v>14</v>
      </c>
      <c r="H84" s="204" t="s">
        <v>14</v>
      </c>
      <c r="I84" s="204" t="s">
        <v>14</v>
      </c>
      <c r="J84" s="146"/>
    </row>
    <row r="85" spans="1:10" ht="15.6" x14ac:dyDescent="0.3">
      <c r="A85" s="76">
        <v>83</v>
      </c>
      <c r="B85" s="145" t="s">
        <v>660</v>
      </c>
      <c r="C85" s="210" t="s">
        <v>844</v>
      </c>
      <c r="D85" s="160">
        <v>22</v>
      </c>
      <c r="E85" s="142" t="s">
        <v>110</v>
      </c>
      <c r="F85" s="143" t="s">
        <v>110</v>
      </c>
      <c r="G85" s="15" t="s">
        <v>110</v>
      </c>
      <c r="H85" s="204" t="s">
        <v>110</v>
      </c>
      <c r="I85" s="204" t="s">
        <v>110</v>
      </c>
      <c r="J85" s="146"/>
    </row>
    <row r="86" spans="1:10" ht="15.6" x14ac:dyDescent="0.3">
      <c r="A86" s="76">
        <v>84</v>
      </c>
      <c r="B86" s="145" t="s">
        <v>660</v>
      </c>
      <c r="C86" s="210" t="s">
        <v>845</v>
      </c>
      <c r="D86" s="173">
        <v>22</v>
      </c>
      <c r="E86" s="15" t="s">
        <v>16</v>
      </c>
      <c r="F86" s="15" t="s">
        <v>14</v>
      </c>
      <c r="G86" s="15" t="s">
        <v>14</v>
      </c>
      <c r="H86" s="9" t="s">
        <v>14</v>
      </c>
      <c r="I86" s="9" t="s">
        <v>14</v>
      </c>
      <c r="J86" s="146"/>
    </row>
    <row r="87" spans="1:10" ht="15.6" x14ac:dyDescent="0.3">
      <c r="A87" s="76">
        <v>85</v>
      </c>
      <c r="B87" s="145" t="s">
        <v>660</v>
      </c>
      <c r="C87" s="210" t="s">
        <v>846</v>
      </c>
      <c r="D87" s="160">
        <v>22</v>
      </c>
      <c r="E87" s="15" t="s">
        <v>28</v>
      </c>
      <c r="F87" s="15" t="s">
        <v>14</v>
      </c>
      <c r="G87" s="15" t="s">
        <v>14</v>
      </c>
      <c r="H87" s="9" t="s">
        <v>14</v>
      </c>
      <c r="I87" s="9" t="s">
        <v>14</v>
      </c>
      <c r="J87" s="146"/>
    </row>
    <row r="88" spans="1:10" ht="15.6" x14ac:dyDescent="0.3">
      <c r="A88" s="76">
        <v>86</v>
      </c>
      <c r="B88" s="145" t="s">
        <v>20</v>
      </c>
      <c r="C88" s="210" t="s">
        <v>847</v>
      </c>
      <c r="D88" s="160">
        <v>22</v>
      </c>
      <c r="E88" s="15" t="s">
        <v>110</v>
      </c>
      <c r="F88" s="15" t="s">
        <v>110</v>
      </c>
      <c r="G88" s="15" t="s">
        <v>110</v>
      </c>
      <c r="H88" s="15" t="s">
        <v>110</v>
      </c>
      <c r="I88" s="9" t="s">
        <v>110</v>
      </c>
      <c r="J88" s="146"/>
    </row>
    <row r="89" spans="1:10" ht="15.6" x14ac:dyDescent="0.3">
      <c r="A89" s="76">
        <v>87</v>
      </c>
      <c r="B89" s="145" t="s">
        <v>20</v>
      </c>
      <c r="C89" s="210" t="s">
        <v>848</v>
      </c>
      <c r="D89" s="160">
        <v>22</v>
      </c>
      <c r="E89" s="15" t="s">
        <v>16</v>
      </c>
      <c r="F89" s="15" t="s">
        <v>110</v>
      </c>
      <c r="G89" s="15" t="s">
        <v>110</v>
      </c>
      <c r="H89" s="15" t="s">
        <v>110</v>
      </c>
      <c r="I89" s="9" t="s">
        <v>110</v>
      </c>
      <c r="J89" s="146"/>
    </row>
    <row r="90" spans="1:10" ht="15.6" x14ac:dyDescent="0.3">
      <c r="A90" s="76">
        <v>88</v>
      </c>
      <c r="B90" s="145" t="s">
        <v>20</v>
      </c>
      <c r="C90" s="210" t="s">
        <v>849</v>
      </c>
      <c r="D90" s="160">
        <v>22</v>
      </c>
      <c r="E90" s="15" t="s">
        <v>110</v>
      </c>
      <c r="F90" s="15" t="s">
        <v>110</v>
      </c>
      <c r="G90" s="15" t="s">
        <v>110</v>
      </c>
      <c r="H90" s="15" t="s">
        <v>110</v>
      </c>
      <c r="I90" s="9" t="s">
        <v>110</v>
      </c>
      <c r="J90" s="146"/>
    </row>
    <row r="91" spans="1:10" ht="15.6" x14ac:dyDescent="0.3">
      <c r="A91" s="76">
        <v>89</v>
      </c>
      <c r="B91" s="145" t="s">
        <v>20</v>
      </c>
      <c r="C91" s="210" t="s">
        <v>850</v>
      </c>
      <c r="D91" s="160">
        <v>22</v>
      </c>
      <c r="E91" s="15" t="s">
        <v>110</v>
      </c>
      <c r="F91" s="143" t="s">
        <v>110</v>
      </c>
      <c r="G91" s="15" t="s">
        <v>110</v>
      </c>
      <c r="H91" s="143" t="s">
        <v>110</v>
      </c>
      <c r="I91" s="204" t="s">
        <v>110</v>
      </c>
      <c r="J91" s="146"/>
    </row>
    <row r="92" spans="1:10" ht="15.6" x14ac:dyDescent="0.3">
      <c r="A92" s="76">
        <v>90</v>
      </c>
      <c r="B92" s="145" t="s">
        <v>20</v>
      </c>
      <c r="C92" s="210" t="s">
        <v>851</v>
      </c>
      <c r="D92" s="160">
        <v>22</v>
      </c>
      <c r="E92" s="15"/>
      <c r="F92" s="143" t="s">
        <v>110</v>
      </c>
      <c r="G92" s="15" t="s">
        <v>110</v>
      </c>
      <c r="H92" s="143" t="s">
        <v>110</v>
      </c>
      <c r="I92" s="204" t="s">
        <v>110</v>
      </c>
      <c r="J92" s="146"/>
    </row>
    <row r="93" spans="1:10" ht="15.6" x14ac:dyDescent="0.3">
      <c r="A93" s="76">
        <v>91</v>
      </c>
      <c r="B93" s="145" t="s">
        <v>20</v>
      </c>
      <c r="C93" s="210" t="s">
        <v>852</v>
      </c>
      <c r="D93" s="160">
        <v>22</v>
      </c>
      <c r="E93" s="15"/>
      <c r="F93" s="15" t="s">
        <v>110</v>
      </c>
      <c r="G93" s="15" t="s">
        <v>110</v>
      </c>
      <c r="H93" s="15" t="s">
        <v>110</v>
      </c>
      <c r="I93" s="9" t="s">
        <v>110</v>
      </c>
      <c r="J93" s="146"/>
    </row>
    <row r="94" spans="1:10" ht="15.6" x14ac:dyDescent="0.3">
      <c r="A94" s="76">
        <v>92</v>
      </c>
      <c r="B94" s="145" t="s">
        <v>20</v>
      </c>
      <c r="C94" s="210" t="s">
        <v>853</v>
      </c>
      <c r="D94" s="160">
        <v>22</v>
      </c>
      <c r="E94" s="82" t="s">
        <v>110</v>
      </c>
      <c r="F94" s="82" t="s">
        <v>110</v>
      </c>
      <c r="G94" s="82" t="s">
        <v>110</v>
      </c>
      <c r="H94" s="82" t="s">
        <v>110</v>
      </c>
      <c r="I94" s="68" t="s">
        <v>110</v>
      </c>
      <c r="J94" s="146"/>
    </row>
    <row r="95" spans="1:10" ht="15.6" x14ac:dyDescent="0.3">
      <c r="A95" s="76">
        <v>93</v>
      </c>
      <c r="B95" s="145" t="s">
        <v>23</v>
      </c>
      <c r="C95" s="210" t="s">
        <v>854</v>
      </c>
      <c r="D95" s="208">
        <v>22</v>
      </c>
      <c r="E95" s="15"/>
      <c r="F95" s="15" t="s">
        <v>28</v>
      </c>
      <c r="G95" s="15" t="s">
        <v>28</v>
      </c>
      <c r="H95" s="15" t="s">
        <v>28</v>
      </c>
      <c r="I95" s="15" t="s">
        <v>28</v>
      </c>
      <c r="J95" s="146"/>
    </row>
    <row r="96" spans="1:10" ht="15.6" x14ac:dyDescent="0.3">
      <c r="A96" s="76">
        <v>94</v>
      </c>
      <c r="B96" s="145" t="s">
        <v>23</v>
      </c>
      <c r="C96" s="210" t="s">
        <v>855</v>
      </c>
      <c r="D96" s="208">
        <v>22</v>
      </c>
      <c r="E96" s="15"/>
      <c r="F96" s="15"/>
      <c r="G96" s="15"/>
      <c r="H96" s="9"/>
      <c r="I96" s="9"/>
      <c r="J96" s="146"/>
    </row>
    <row r="97" spans="1:10" ht="15.6" x14ac:dyDescent="0.3">
      <c r="A97" s="76">
        <v>95</v>
      </c>
      <c r="B97" s="145" t="s">
        <v>23</v>
      </c>
      <c r="C97" s="210" t="s">
        <v>856</v>
      </c>
      <c r="D97" s="160">
        <v>22</v>
      </c>
      <c r="E97" s="242"/>
      <c r="F97" s="242"/>
      <c r="G97" s="242"/>
      <c r="H97" s="241"/>
      <c r="I97" s="241"/>
      <c r="J97" s="146"/>
    </row>
    <row r="98" spans="1:10" ht="15.6" x14ac:dyDescent="0.3">
      <c r="A98" s="76">
        <v>96</v>
      </c>
      <c r="B98" s="145" t="s">
        <v>23</v>
      </c>
      <c r="C98" s="210" t="s">
        <v>857</v>
      </c>
      <c r="D98" s="160">
        <v>22</v>
      </c>
      <c r="E98" s="15" t="s">
        <v>24</v>
      </c>
      <c r="F98" s="15"/>
      <c r="G98" s="15"/>
      <c r="H98" s="9"/>
      <c r="I98" s="9"/>
      <c r="J98" s="146"/>
    </row>
    <row r="99" spans="1:10" ht="15.6" x14ac:dyDescent="0.3">
      <c r="A99" s="76">
        <v>97</v>
      </c>
      <c r="B99" s="145" t="s">
        <v>23</v>
      </c>
      <c r="C99" s="210" t="s">
        <v>858</v>
      </c>
      <c r="D99" s="160">
        <v>22</v>
      </c>
      <c r="E99" s="15" t="s">
        <v>16</v>
      </c>
      <c r="F99" s="15" t="s">
        <v>16</v>
      </c>
      <c r="G99" s="15" t="s">
        <v>14</v>
      </c>
      <c r="H99" s="15" t="s">
        <v>14</v>
      </c>
      <c r="I99" s="15" t="s">
        <v>14</v>
      </c>
      <c r="J99" s="146"/>
    </row>
    <row r="100" spans="1:10" ht="15.6" x14ac:dyDescent="0.3">
      <c r="A100" s="76">
        <v>98</v>
      </c>
      <c r="B100" s="145" t="s">
        <v>23</v>
      </c>
      <c r="C100" s="210" t="s">
        <v>859</v>
      </c>
      <c r="D100" s="160">
        <v>22</v>
      </c>
      <c r="E100" s="15" t="s">
        <v>28</v>
      </c>
      <c r="F100" s="143" t="s">
        <v>16</v>
      </c>
      <c r="G100" s="15" t="s">
        <v>14</v>
      </c>
      <c r="H100" s="143" t="s">
        <v>14</v>
      </c>
      <c r="I100" s="143" t="s">
        <v>14</v>
      </c>
      <c r="J100" s="146"/>
    </row>
    <row r="101" spans="1:10" ht="15.6" x14ac:dyDescent="0.3">
      <c r="A101" s="76">
        <v>99</v>
      </c>
      <c r="B101" s="145" t="s">
        <v>23</v>
      </c>
      <c r="C101" s="182" t="s">
        <v>860</v>
      </c>
      <c r="D101" s="99">
        <v>22</v>
      </c>
      <c r="E101" s="15" t="s">
        <v>16</v>
      </c>
      <c r="F101" s="143" t="s">
        <v>14</v>
      </c>
      <c r="G101" s="15" t="s">
        <v>14</v>
      </c>
      <c r="H101" s="204" t="s">
        <v>14</v>
      </c>
      <c r="I101" s="204" t="s">
        <v>14</v>
      </c>
      <c r="J101" s="199"/>
    </row>
    <row r="102" spans="1:10" ht="14.4" x14ac:dyDescent="0.3">
      <c r="A102" s="76">
        <v>100</v>
      </c>
      <c r="B102" s="145" t="s">
        <v>23</v>
      </c>
      <c r="C102" s="9" t="s">
        <v>415</v>
      </c>
      <c r="D102" s="160">
        <v>22</v>
      </c>
      <c r="E102" s="15" t="s">
        <v>16</v>
      </c>
      <c r="F102" s="143" t="s">
        <v>28</v>
      </c>
      <c r="G102" s="15" t="s">
        <v>28</v>
      </c>
      <c r="H102" s="143" t="s">
        <v>28</v>
      </c>
      <c r="I102" s="143" t="s">
        <v>28</v>
      </c>
      <c r="J102" s="146"/>
    </row>
    <row r="103" spans="1:10" ht="14.4" x14ac:dyDescent="0.3">
      <c r="A103" s="76">
        <v>101</v>
      </c>
      <c r="B103" s="145" t="s">
        <v>660</v>
      </c>
      <c r="C103" s="126" t="s">
        <v>389</v>
      </c>
      <c r="D103" s="160">
        <v>23</v>
      </c>
      <c r="E103" s="15" t="s">
        <v>16</v>
      </c>
      <c r="F103" s="15" t="s">
        <v>14</v>
      </c>
      <c r="G103" s="15" t="s">
        <v>14</v>
      </c>
      <c r="H103" s="9" t="s">
        <v>16</v>
      </c>
      <c r="I103" s="9" t="s">
        <v>14</v>
      </c>
      <c r="J103" s="146"/>
    </row>
    <row r="104" spans="1:10" ht="14.4" x14ac:dyDescent="0.3">
      <c r="A104" s="76">
        <v>102</v>
      </c>
      <c r="B104" s="145" t="s">
        <v>660</v>
      </c>
      <c r="C104" s="9" t="s">
        <v>392</v>
      </c>
      <c r="D104" s="160">
        <v>23</v>
      </c>
      <c r="E104" s="15" t="s">
        <v>28</v>
      </c>
      <c r="F104" s="15" t="s">
        <v>14</v>
      </c>
      <c r="G104" s="15" t="s">
        <v>14</v>
      </c>
      <c r="H104" s="9" t="s">
        <v>28</v>
      </c>
      <c r="I104" s="9" t="s">
        <v>14</v>
      </c>
      <c r="J104" s="146"/>
    </row>
    <row r="105" spans="1:10" ht="14.4" x14ac:dyDescent="0.3">
      <c r="A105" s="76">
        <v>103</v>
      </c>
      <c r="B105" s="145" t="s">
        <v>660</v>
      </c>
      <c r="C105" s="207" t="s">
        <v>862</v>
      </c>
      <c r="D105" s="160">
        <v>23</v>
      </c>
      <c r="E105" s="15" t="s">
        <v>28</v>
      </c>
      <c r="F105" s="15" t="s">
        <v>14</v>
      </c>
      <c r="G105" s="15" t="s">
        <v>14</v>
      </c>
      <c r="H105" s="15" t="s">
        <v>14</v>
      </c>
      <c r="I105" s="9" t="s">
        <v>14</v>
      </c>
      <c r="J105" s="146"/>
    </row>
    <row r="106" spans="1:10" ht="14.4" x14ac:dyDescent="0.3">
      <c r="A106" s="76">
        <v>104</v>
      </c>
      <c r="B106" s="145" t="s">
        <v>660</v>
      </c>
      <c r="C106" s="207" t="s">
        <v>863</v>
      </c>
      <c r="D106" s="160">
        <v>23</v>
      </c>
      <c r="E106" s="15" t="s">
        <v>16</v>
      </c>
      <c r="F106" s="15" t="s">
        <v>14</v>
      </c>
      <c r="G106" s="15" t="s">
        <v>14</v>
      </c>
      <c r="H106" s="15" t="s">
        <v>14</v>
      </c>
      <c r="I106" s="9" t="s">
        <v>14</v>
      </c>
      <c r="J106" s="199"/>
    </row>
    <row r="107" spans="1:10" ht="14.4" x14ac:dyDescent="0.3">
      <c r="A107" s="76">
        <v>105</v>
      </c>
      <c r="B107" s="145" t="s">
        <v>660</v>
      </c>
      <c r="C107" s="207" t="s">
        <v>864</v>
      </c>
      <c r="D107" s="160">
        <v>23</v>
      </c>
      <c r="E107" s="15" t="s">
        <v>16</v>
      </c>
      <c r="F107" s="15" t="s">
        <v>14</v>
      </c>
      <c r="G107" s="15" t="s">
        <v>14</v>
      </c>
      <c r="H107" s="15" t="s">
        <v>14</v>
      </c>
      <c r="I107" s="9" t="s">
        <v>14</v>
      </c>
      <c r="J107" s="146"/>
    </row>
    <row r="108" spans="1:10" ht="14.4" x14ac:dyDescent="0.3">
      <c r="A108" s="76">
        <v>106</v>
      </c>
      <c r="B108" s="145" t="s">
        <v>660</v>
      </c>
      <c r="C108" s="207" t="s">
        <v>865</v>
      </c>
      <c r="D108" s="160">
        <v>23</v>
      </c>
      <c r="E108" s="15" t="s">
        <v>16</v>
      </c>
      <c r="F108" s="15" t="s">
        <v>14</v>
      </c>
      <c r="G108" s="15" t="s">
        <v>14</v>
      </c>
      <c r="H108" s="15" t="s">
        <v>14</v>
      </c>
      <c r="I108" s="9" t="s">
        <v>14</v>
      </c>
      <c r="J108" s="146"/>
    </row>
    <row r="109" spans="1:10" ht="14.4" x14ac:dyDescent="0.3">
      <c r="A109" s="76">
        <v>107</v>
      </c>
      <c r="B109" s="145" t="s">
        <v>660</v>
      </c>
      <c r="C109" s="207" t="s">
        <v>866</v>
      </c>
      <c r="D109" s="160">
        <v>23</v>
      </c>
      <c r="E109" s="15" t="s">
        <v>16</v>
      </c>
      <c r="F109" s="15" t="s">
        <v>14</v>
      </c>
      <c r="G109" s="15" t="s">
        <v>14</v>
      </c>
      <c r="H109" s="15" t="s">
        <v>14</v>
      </c>
      <c r="I109" s="9" t="s">
        <v>14</v>
      </c>
      <c r="J109" s="146"/>
    </row>
    <row r="110" spans="1:10" ht="14.4" x14ac:dyDescent="0.3">
      <c r="A110" s="76">
        <v>108</v>
      </c>
      <c r="B110" s="145" t="s">
        <v>660</v>
      </c>
      <c r="C110" s="207" t="s">
        <v>435</v>
      </c>
      <c r="D110" s="160">
        <v>23</v>
      </c>
      <c r="E110" s="15" t="s">
        <v>16</v>
      </c>
      <c r="F110" s="143" t="s">
        <v>14</v>
      </c>
      <c r="G110" s="15" t="s">
        <v>14</v>
      </c>
      <c r="H110" s="143" t="s">
        <v>14</v>
      </c>
      <c r="I110" s="204" t="s">
        <v>14</v>
      </c>
      <c r="J110" s="146"/>
    </row>
    <row r="111" spans="1:10" ht="14.4" x14ac:dyDescent="0.3">
      <c r="A111" s="76">
        <v>109</v>
      </c>
      <c r="B111" s="145" t="s">
        <v>660</v>
      </c>
      <c r="C111" s="207" t="s">
        <v>867</v>
      </c>
      <c r="D111" s="160">
        <v>23</v>
      </c>
      <c r="E111" s="15" t="s">
        <v>16</v>
      </c>
      <c r="F111" s="143" t="s">
        <v>14</v>
      </c>
      <c r="G111" s="15" t="s">
        <v>14</v>
      </c>
      <c r="H111" s="143" t="s">
        <v>14</v>
      </c>
      <c r="I111" s="204" t="s">
        <v>14</v>
      </c>
      <c r="J111" s="146"/>
    </row>
    <row r="112" spans="1:10" ht="14.4" x14ac:dyDescent="0.3">
      <c r="A112" s="76">
        <v>110</v>
      </c>
      <c r="B112" s="145" t="s">
        <v>660</v>
      </c>
      <c r="C112" s="207" t="s">
        <v>868</v>
      </c>
      <c r="D112" s="160">
        <v>23</v>
      </c>
      <c r="E112" s="15" t="s">
        <v>16</v>
      </c>
      <c r="F112" s="143" t="s">
        <v>14</v>
      </c>
      <c r="G112" s="15" t="s">
        <v>14</v>
      </c>
      <c r="H112" s="143" t="s">
        <v>14</v>
      </c>
      <c r="I112" s="204" t="s">
        <v>14</v>
      </c>
      <c r="J112" s="146"/>
    </row>
    <row r="113" spans="1:10" ht="14.4" x14ac:dyDescent="0.3">
      <c r="A113" s="76">
        <v>111</v>
      </c>
      <c r="B113" s="145" t="s">
        <v>660</v>
      </c>
      <c r="C113" s="214" t="s">
        <v>869</v>
      </c>
      <c r="D113" s="160">
        <v>23</v>
      </c>
      <c r="E113" s="15" t="s">
        <v>35</v>
      </c>
      <c r="F113" s="143" t="s">
        <v>14</v>
      </c>
      <c r="G113" s="15" t="s">
        <v>14</v>
      </c>
      <c r="H113" s="143" t="s">
        <v>14</v>
      </c>
      <c r="I113" s="204" t="s">
        <v>14</v>
      </c>
      <c r="J113" s="146"/>
    </row>
    <row r="114" spans="1:10" ht="14.4" x14ac:dyDescent="0.3">
      <c r="A114" s="76">
        <v>112</v>
      </c>
      <c r="B114" s="145" t="s">
        <v>660</v>
      </c>
      <c r="C114" s="207" t="s">
        <v>963</v>
      </c>
      <c r="D114" s="160">
        <v>23</v>
      </c>
      <c r="E114" s="15" t="s">
        <v>24</v>
      </c>
      <c r="F114" s="15" t="s">
        <v>14</v>
      </c>
      <c r="G114" s="15" t="s">
        <v>14</v>
      </c>
      <c r="H114" s="16" t="s">
        <v>14</v>
      </c>
      <c r="I114" t="s">
        <v>14</v>
      </c>
      <c r="J114" s="146"/>
    </row>
    <row r="115" spans="1:10" ht="14.4" x14ac:dyDescent="0.3">
      <c r="A115" s="76">
        <v>113</v>
      </c>
      <c r="B115" s="145" t="s">
        <v>660</v>
      </c>
      <c r="C115" s="9" t="s">
        <v>964</v>
      </c>
      <c r="D115" s="160">
        <v>23</v>
      </c>
      <c r="E115" s="15"/>
      <c r="F115" s="15" t="s">
        <v>14</v>
      </c>
      <c r="G115" s="15" t="s">
        <v>14</v>
      </c>
      <c r="H115" s="15" t="s">
        <v>14</v>
      </c>
      <c r="I115" s="9" t="s">
        <v>14</v>
      </c>
      <c r="J115" s="146"/>
    </row>
    <row r="116" spans="1:10" ht="14.4" x14ac:dyDescent="0.3">
      <c r="A116" s="76">
        <v>114</v>
      </c>
      <c r="B116" s="145" t="s">
        <v>20</v>
      </c>
      <c r="C116" s="126" t="s">
        <v>130</v>
      </c>
      <c r="D116" s="160">
        <v>23</v>
      </c>
      <c r="E116" s="15" t="s">
        <v>28</v>
      </c>
      <c r="F116" s="15" t="s">
        <v>110</v>
      </c>
      <c r="G116" s="15" t="s">
        <v>110</v>
      </c>
      <c r="H116" s="9" t="s">
        <v>16</v>
      </c>
      <c r="I116" s="9" t="s">
        <v>110</v>
      </c>
      <c r="J116" s="146"/>
    </row>
    <row r="117" spans="1:10" ht="14.4" x14ac:dyDescent="0.3">
      <c r="A117" s="76">
        <v>115</v>
      </c>
      <c r="B117" s="145" t="s">
        <v>20</v>
      </c>
      <c r="C117" s="126" t="s">
        <v>387</v>
      </c>
      <c r="D117" s="160">
        <v>23</v>
      </c>
      <c r="E117" s="15" t="s">
        <v>110</v>
      </c>
      <c r="F117" s="15" t="s">
        <v>110</v>
      </c>
      <c r="G117" s="15" t="s">
        <v>110</v>
      </c>
      <c r="H117" s="9"/>
      <c r="I117" s="9" t="s">
        <v>110</v>
      </c>
      <c r="J117" s="146"/>
    </row>
    <row r="118" spans="1:10" ht="14.4" x14ac:dyDescent="0.3">
      <c r="A118" s="76">
        <v>116</v>
      </c>
      <c r="B118" s="145" t="s">
        <v>20</v>
      </c>
      <c r="C118" s="205" t="s">
        <v>870</v>
      </c>
      <c r="D118" s="160">
        <v>23</v>
      </c>
      <c r="E118" s="15" t="s">
        <v>16</v>
      </c>
      <c r="F118" s="143" t="s">
        <v>110</v>
      </c>
      <c r="G118" s="15" t="s">
        <v>110</v>
      </c>
      <c r="H118" s="143" t="s">
        <v>110</v>
      </c>
      <c r="I118" s="204" t="s">
        <v>110</v>
      </c>
      <c r="J118" s="146"/>
    </row>
    <row r="119" spans="1:10" ht="14.4" x14ac:dyDescent="0.3">
      <c r="A119" s="76">
        <v>117</v>
      </c>
      <c r="B119" s="145" t="s">
        <v>20</v>
      </c>
      <c r="C119" s="207" t="s">
        <v>871</v>
      </c>
      <c r="D119" s="161">
        <v>23</v>
      </c>
      <c r="E119" s="15" t="s">
        <v>16</v>
      </c>
      <c r="F119" s="15" t="s">
        <v>110</v>
      </c>
      <c r="G119" s="15" t="s">
        <v>110</v>
      </c>
      <c r="H119" s="15" t="s">
        <v>110</v>
      </c>
      <c r="I119" s="9" t="s">
        <v>110</v>
      </c>
      <c r="J119" s="146"/>
    </row>
    <row r="120" spans="1:10" ht="14.4" x14ac:dyDescent="0.3">
      <c r="A120" s="76">
        <v>118</v>
      </c>
      <c r="B120" s="145" t="s">
        <v>20</v>
      </c>
      <c r="C120" s="207" t="s">
        <v>872</v>
      </c>
      <c r="D120" s="160">
        <v>23</v>
      </c>
      <c r="E120" s="142" t="s">
        <v>28</v>
      </c>
      <c r="F120" s="15" t="s">
        <v>110</v>
      </c>
      <c r="G120" s="15" t="s">
        <v>110</v>
      </c>
      <c r="H120" s="15" t="s">
        <v>110</v>
      </c>
      <c r="I120" s="9" t="s">
        <v>110</v>
      </c>
      <c r="J120" s="146"/>
    </row>
    <row r="121" spans="1:10" ht="14.4" x14ac:dyDescent="0.3">
      <c r="A121" s="76">
        <v>119</v>
      </c>
      <c r="B121" s="145" t="s">
        <v>20</v>
      </c>
      <c r="C121" s="207" t="s">
        <v>873</v>
      </c>
      <c r="D121" s="173">
        <v>23</v>
      </c>
      <c r="E121" s="15" t="s">
        <v>24</v>
      </c>
      <c r="F121" s="143" t="s">
        <v>110</v>
      </c>
      <c r="G121" s="15" t="s">
        <v>110</v>
      </c>
      <c r="H121" s="143" t="s">
        <v>110</v>
      </c>
      <c r="I121" s="204" t="s">
        <v>110</v>
      </c>
      <c r="J121" s="146"/>
    </row>
    <row r="122" spans="1:10" ht="14.4" x14ac:dyDescent="0.3">
      <c r="A122" s="76">
        <v>120</v>
      </c>
      <c r="B122" s="145" t="s">
        <v>20</v>
      </c>
      <c r="C122" s="207" t="s">
        <v>965</v>
      </c>
      <c r="D122" s="160">
        <v>23</v>
      </c>
      <c r="E122" s="15" t="s">
        <v>110</v>
      </c>
      <c r="F122" s="143" t="s">
        <v>110</v>
      </c>
      <c r="G122" s="15" t="s">
        <v>110</v>
      </c>
      <c r="H122" s="143" t="s">
        <v>110</v>
      </c>
      <c r="I122" s="204" t="s">
        <v>110</v>
      </c>
      <c r="J122" s="146"/>
    </row>
    <row r="123" spans="1:10" ht="14.4" x14ac:dyDescent="0.3">
      <c r="A123" s="76">
        <v>121</v>
      </c>
      <c r="B123" s="145" t="s">
        <v>20</v>
      </c>
      <c r="C123" s="207" t="s">
        <v>434</v>
      </c>
      <c r="D123" s="160">
        <v>23</v>
      </c>
      <c r="E123" s="15" t="s">
        <v>16</v>
      </c>
      <c r="F123" s="15" t="s">
        <v>110</v>
      </c>
      <c r="G123" s="15" t="s">
        <v>110</v>
      </c>
      <c r="H123" s="15" t="s">
        <v>110</v>
      </c>
      <c r="I123" s="9" t="s">
        <v>110</v>
      </c>
      <c r="J123" s="146"/>
    </row>
    <row r="124" spans="1:10" ht="14.4" x14ac:dyDescent="0.3">
      <c r="A124" s="76">
        <v>122</v>
      </c>
      <c r="B124" s="145" t="s">
        <v>20</v>
      </c>
      <c r="C124" s="207" t="s">
        <v>874</v>
      </c>
      <c r="D124" s="160">
        <v>23</v>
      </c>
      <c r="E124" s="15"/>
      <c r="F124" s="15" t="s">
        <v>110</v>
      </c>
      <c r="G124" s="15" t="s">
        <v>110</v>
      </c>
      <c r="H124" s="15" t="s">
        <v>110</v>
      </c>
      <c r="I124" s="9" t="s">
        <v>110</v>
      </c>
      <c r="J124" s="146"/>
    </row>
    <row r="125" spans="1:10" ht="14.4" x14ac:dyDescent="0.3">
      <c r="A125" s="76">
        <v>123</v>
      </c>
      <c r="B125" s="145" t="s">
        <v>20</v>
      </c>
      <c r="C125" s="207" t="s">
        <v>423</v>
      </c>
      <c r="D125" s="160">
        <v>23</v>
      </c>
      <c r="E125" s="15" t="s">
        <v>110</v>
      </c>
      <c r="F125" s="15" t="s">
        <v>110</v>
      </c>
      <c r="G125" s="15" t="s">
        <v>110</v>
      </c>
      <c r="H125" s="15" t="s">
        <v>110</v>
      </c>
      <c r="I125" s="9" t="s">
        <v>110</v>
      </c>
      <c r="J125" s="146"/>
    </row>
    <row r="126" spans="1:10" ht="14.4" x14ac:dyDescent="0.3">
      <c r="A126" s="76">
        <v>124</v>
      </c>
      <c r="B126" s="145" t="s">
        <v>20</v>
      </c>
      <c r="C126" s="207" t="s">
        <v>875</v>
      </c>
      <c r="D126" s="160">
        <v>23</v>
      </c>
      <c r="E126" s="15" t="s">
        <v>110</v>
      </c>
      <c r="F126" s="143" t="s">
        <v>110</v>
      </c>
      <c r="G126" s="15" t="s">
        <v>110</v>
      </c>
      <c r="H126" s="143" t="s">
        <v>110</v>
      </c>
      <c r="I126" s="204" t="s">
        <v>110</v>
      </c>
      <c r="J126" s="146"/>
    </row>
    <row r="127" spans="1:10" ht="14.4" x14ac:dyDescent="0.3">
      <c r="A127" s="76">
        <v>125</v>
      </c>
      <c r="B127" s="145" t="s">
        <v>20</v>
      </c>
      <c r="C127" s="207" t="s">
        <v>876</v>
      </c>
      <c r="D127" s="160">
        <v>23</v>
      </c>
      <c r="E127" s="15"/>
      <c r="F127" s="143" t="s">
        <v>110</v>
      </c>
      <c r="G127" s="15" t="s">
        <v>110</v>
      </c>
      <c r="H127" s="143" t="s">
        <v>110</v>
      </c>
      <c r="I127" s="204" t="s">
        <v>110</v>
      </c>
      <c r="J127" s="146"/>
    </row>
    <row r="128" spans="1:10" ht="14.4" x14ac:dyDescent="0.3">
      <c r="A128" s="76">
        <v>126</v>
      </c>
      <c r="B128" s="145" t="s">
        <v>20</v>
      </c>
      <c r="C128" s="9" t="s">
        <v>877</v>
      </c>
      <c r="D128" s="160">
        <v>23</v>
      </c>
      <c r="E128" s="15"/>
      <c r="F128" s="15" t="s">
        <v>110</v>
      </c>
      <c r="G128" s="15" t="s">
        <v>110</v>
      </c>
      <c r="H128" s="15" t="s">
        <v>110</v>
      </c>
      <c r="I128" s="9" t="s">
        <v>110</v>
      </c>
      <c r="J128" s="146"/>
    </row>
    <row r="129" spans="1:10" ht="14.4" x14ac:dyDescent="0.3">
      <c r="A129" s="76">
        <v>127</v>
      </c>
      <c r="B129" s="145" t="s">
        <v>23</v>
      </c>
      <c r="C129" s="126" t="s">
        <v>109</v>
      </c>
      <c r="D129" s="160">
        <v>23</v>
      </c>
      <c r="E129" s="15" t="s">
        <v>16</v>
      </c>
      <c r="F129" s="15" t="s">
        <v>14</v>
      </c>
      <c r="G129" s="15" t="s">
        <v>14</v>
      </c>
      <c r="H129" s="9" t="s">
        <v>16</v>
      </c>
      <c r="I129" s="9" t="s">
        <v>14</v>
      </c>
    </row>
    <row r="130" spans="1:10" ht="14.4" x14ac:dyDescent="0.3">
      <c r="A130" s="76">
        <v>128</v>
      </c>
      <c r="B130" s="145" t="s">
        <v>23</v>
      </c>
      <c r="C130" s="126" t="s">
        <v>355</v>
      </c>
      <c r="D130" s="228">
        <v>23</v>
      </c>
      <c r="E130" s="15" t="s">
        <v>16</v>
      </c>
      <c r="F130" s="15" t="s">
        <v>14</v>
      </c>
      <c r="G130" s="15" t="s">
        <v>14</v>
      </c>
      <c r="H130" s="9" t="s">
        <v>28</v>
      </c>
      <c r="I130" s="9" t="s">
        <v>14</v>
      </c>
      <c r="J130" s="146" t="s">
        <v>966</v>
      </c>
    </row>
    <row r="131" spans="1:10" ht="14.4" x14ac:dyDescent="0.3">
      <c r="A131" s="76">
        <v>129</v>
      </c>
      <c r="B131" s="145" t="s">
        <v>23</v>
      </c>
      <c r="C131" s="207" t="s">
        <v>878</v>
      </c>
      <c r="D131" s="173">
        <v>23</v>
      </c>
      <c r="E131" s="142"/>
      <c r="F131" s="15" t="s">
        <v>14</v>
      </c>
      <c r="G131" s="15" t="s">
        <v>14</v>
      </c>
      <c r="H131" s="15" t="s">
        <v>14</v>
      </c>
      <c r="I131" s="9" t="s">
        <v>14</v>
      </c>
      <c r="J131" s="146"/>
    </row>
    <row r="132" spans="1:10" ht="14.4" x14ac:dyDescent="0.3">
      <c r="A132" s="76">
        <v>131</v>
      </c>
      <c r="B132" s="145" t="s">
        <v>23</v>
      </c>
      <c r="C132" s="207" t="s">
        <v>879</v>
      </c>
      <c r="D132" s="160">
        <v>23</v>
      </c>
      <c r="E132" s="171" t="s">
        <v>28</v>
      </c>
      <c r="F132" s="232" t="s">
        <v>14</v>
      </c>
      <c r="G132" s="82" t="s">
        <v>14</v>
      </c>
      <c r="H132" s="232" t="s">
        <v>14</v>
      </c>
      <c r="I132" s="233" t="s">
        <v>14</v>
      </c>
      <c r="J132" s="146"/>
    </row>
    <row r="133" spans="1:10" ht="14.4" x14ac:dyDescent="0.3">
      <c r="A133" s="76">
        <v>132</v>
      </c>
      <c r="B133" s="145" t="s">
        <v>23</v>
      </c>
      <c r="C133" s="236" t="s">
        <v>880</v>
      </c>
      <c r="D133" s="230">
        <v>23</v>
      </c>
      <c r="E133" s="15" t="s">
        <v>28</v>
      </c>
      <c r="F133" s="15" t="s">
        <v>14</v>
      </c>
      <c r="G133" s="15" t="s">
        <v>14</v>
      </c>
      <c r="H133" s="15" t="s">
        <v>14</v>
      </c>
      <c r="I133" s="9" t="s">
        <v>14</v>
      </c>
      <c r="J133" s="146"/>
    </row>
    <row r="134" spans="1:10" ht="14.4" x14ac:dyDescent="0.3">
      <c r="A134" s="76">
        <v>133</v>
      </c>
      <c r="B134" s="226" t="s">
        <v>23</v>
      </c>
      <c r="C134" s="236" t="s">
        <v>881</v>
      </c>
      <c r="D134" s="231">
        <v>23</v>
      </c>
      <c r="E134" s="15" t="s">
        <v>28</v>
      </c>
      <c r="F134" s="15" t="s">
        <v>14</v>
      </c>
      <c r="G134" s="15" t="s">
        <v>14</v>
      </c>
      <c r="H134" s="15" t="s">
        <v>14</v>
      </c>
      <c r="I134" s="9" t="s">
        <v>14</v>
      </c>
      <c r="J134" s="146"/>
    </row>
    <row r="135" spans="1:10" ht="14.4" x14ac:dyDescent="0.3">
      <c r="A135" s="76">
        <v>134</v>
      </c>
      <c r="B135" s="227" t="s">
        <v>23</v>
      </c>
      <c r="C135" s="207" t="s">
        <v>967</v>
      </c>
      <c r="D135" s="17">
        <v>23</v>
      </c>
      <c r="E135" s="15" t="s">
        <v>28</v>
      </c>
      <c r="F135" s="15" t="s">
        <v>14</v>
      </c>
      <c r="G135" s="15" t="s">
        <v>14</v>
      </c>
      <c r="H135" s="15" t="s">
        <v>14</v>
      </c>
      <c r="I135" s="9" t="s">
        <v>14</v>
      </c>
      <c r="J135" s="146"/>
    </row>
    <row r="136" spans="1:10" ht="14.4" x14ac:dyDescent="0.3">
      <c r="A136" s="76">
        <v>135</v>
      </c>
      <c r="B136" s="227" t="s">
        <v>23</v>
      </c>
      <c r="C136" s="207" t="s">
        <v>882</v>
      </c>
      <c r="D136" s="17">
        <v>23</v>
      </c>
      <c r="E136" s="15" t="s">
        <v>16</v>
      </c>
      <c r="F136" s="15" t="s">
        <v>14</v>
      </c>
      <c r="G136" s="15" t="s">
        <v>14</v>
      </c>
      <c r="H136" s="15" t="s">
        <v>14</v>
      </c>
      <c r="I136" s="9" t="s">
        <v>14</v>
      </c>
      <c r="J136" s="146"/>
    </row>
    <row r="137" spans="1:10" ht="14.4" x14ac:dyDescent="0.3">
      <c r="A137" s="76">
        <v>136</v>
      </c>
      <c r="B137" s="227" t="s">
        <v>23</v>
      </c>
      <c r="C137" s="235" t="s">
        <v>968</v>
      </c>
      <c r="D137" s="216">
        <v>23</v>
      </c>
      <c r="E137" s="80"/>
      <c r="F137" s="143" t="s">
        <v>14</v>
      </c>
      <c r="G137" s="80" t="s">
        <v>14</v>
      </c>
      <c r="H137" s="143" t="s">
        <v>14</v>
      </c>
      <c r="I137" s="204" t="s">
        <v>14</v>
      </c>
      <c r="J137" s="146"/>
    </row>
    <row r="138" spans="1:10" ht="14.4" x14ac:dyDescent="0.3">
      <c r="A138" s="76">
        <v>137</v>
      </c>
      <c r="B138" s="227" t="s">
        <v>23</v>
      </c>
      <c r="C138" s="234" t="s">
        <v>883</v>
      </c>
      <c r="D138" s="3">
        <v>23</v>
      </c>
      <c r="E138" s="80"/>
      <c r="F138" s="80" t="s">
        <v>14</v>
      </c>
      <c r="G138" s="80" t="s">
        <v>14</v>
      </c>
      <c r="H138" s="80" t="s">
        <v>14</v>
      </c>
      <c r="I138" s="79" t="s">
        <v>14</v>
      </c>
      <c r="J138" s="146"/>
    </row>
    <row r="139" spans="1:10" ht="14.4" x14ac:dyDescent="0.3">
      <c r="A139" s="76">
        <v>138</v>
      </c>
      <c r="B139" s="145" t="s">
        <v>23</v>
      </c>
      <c r="C139" s="207" t="s">
        <v>969</v>
      </c>
      <c r="D139" s="173">
        <v>23</v>
      </c>
      <c r="E139" s="80"/>
      <c r="F139" s="80" t="s">
        <v>14</v>
      </c>
      <c r="G139" s="80" t="s">
        <v>14</v>
      </c>
      <c r="H139" s="80" t="s">
        <v>14</v>
      </c>
      <c r="I139" s="79" t="s">
        <v>14</v>
      </c>
      <c r="J139" s="146"/>
    </row>
    <row r="140" spans="1:10" ht="14.4" x14ac:dyDescent="0.3">
      <c r="A140" s="79"/>
      <c r="B140" s="209"/>
      <c r="C140" s="223" t="s">
        <v>903</v>
      </c>
      <c r="D140" s="216"/>
      <c r="E140" s="224">
        <f>COUNTIF(E3:E139,"OK")</f>
        <v>27</v>
      </c>
      <c r="F140" s="224">
        <f>COUNTIF(F3:F139,"OK")</f>
        <v>6</v>
      </c>
      <c r="G140" s="224">
        <f>COUNTIF(G3:G139,"OK")</f>
        <v>2</v>
      </c>
      <c r="H140" s="224">
        <f>COUNTIF(H3:H139,"OK")</f>
        <v>5</v>
      </c>
      <c r="I140" s="224">
        <f>COUNTIF(I3:I139,"OK")</f>
        <v>2</v>
      </c>
      <c r="J140" s="146"/>
    </row>
    <row r="141" spans="1:10" ht="14.4" x14ac:dyDescent="0.3"/>
    <row r="142" spans="1:10" ht="14.4" x14ac:dyDescent="0.3"/>
    <row r="143" spans="1:10" ht="14.4" x14ac:dyDescent="0.3">
      <c r="D143" s="222" t="s">
        <v>902</v>
      </c>
      <c r="E143" s="84">
        <v>30</v>
      </c>
      <c r="F143" s="84">
        <v>4</v>
      </c>
      <c r="G143" s="84">
        <v>4</v>
      </c>
      <c r="H143" s="13">
        <v>8</v>
      </c>
      <c r="I143" s="13">
        <v>8</v>
      </c>
    </row>
    <row r="144" spans="1:10" ht="14.4" x14ac:dyDescent="0.3">
      <c r="B144"/>
      <c r="E144" s="353" t="s">
        <v>905</v>
      </c>
      <c r="F144" s="353"/>
      <c r="G144" s="353"/>
      <c r="H144" s="353"/>
      <c r="I144" s="353"/>
      <c r="J144" s="53" t="s">
        <v>903</v>
      </c>
    </row>
    <row r="145" spans="3:10" ht="15.6" x14ac:dyDescent="0.3">
      <c r="C145" s="351" t="s">
        <v>904</v>
      </c>
      <c r="D145" s="352"/>
      <c r="E145" s="84">
        <f>COUNTIF(E3:E139,"OK")</f>
        <v>27</v>
      </c>
      <c r="F145" s="84">
        <f>COUNTIF(F3:F139,"OK")</f>
        <v>6</v>
      </c>
      <c r="G145" s="84">
        <f>COUNTIF(G3:G139,"OK")</f>
        <v>2</v>
      </c>
      <c r="H145" s="84">
        <f>COUNTIF(H3:H139,"OK")</f>
        <v>5</v>
      </c>
      <c r="I145" s="84">
        <f>COUNTIF(I3:I139,"OK")</f>
        <v>2</v>
      </c>
    </row>
    <row r="146" spans="3:10" ht="14.4" x14ac:dyDescent="0.3">
      <c r="E146" s="225" t="s">
        <v>820</v>
      </c>
      <c r="F146" s="225" t="s">
        <v>906</v>
      </c>
      <c r="G146" s="225" t="s">
        <v>907</v>
      </c>
      <c r="H146" s="225" t="s">
        <v>908</v>
      </c>
      <c r="I146" s="225" t="s">
        <v>909</v>
      </c>
    </row>
    <row r="147" spans="3:10" ht="14.4" x14ac:dyDescent="0.3">
      <c r="E147" s="354" t="s">
        <v>910</v>
      </c>
      <c r="F147" s="355"/>
      <c r="G147" s="355"/>
      <c r="H147" s="355"/>
      <c r="I147" s="356"/>
      <c r="J147" s="5"/>
    </row>
  </sheetData>
  <autoFilter ref="B2:I140" xr:uid="{EF45A009-86D6-4033-9673-6018C7091CC6}">
    <sortState xmlns:xlrd2="http://schemas.microsoft.com/office/spreadsheetml/2017/richdata2" ref="B3:I140">
      <sortCondition ref="D2:D140"/>
    </sortState>
  </autoFilter>
  <mergeCells count="4">
    <mergeCell ref="B1:I1"/>
    <mergeCell ref="E144:I144"/>
    <mergeCell ref="C145:D145"/>
    <mergeCell ref="E147:I147"/>
  </mergeCells>
  <conditionalFormatting sqref="C3 C42:C44 C46 C49:C72 C75:C76">
    <cfRule type="expression" dxfId="688" priority="78">
      <formula>COUNTIF($A3:AB3, "NI")</formula>
    </cfRule>
  </conditionalFormatting>
  <conditionalFormatting sqref="C10">
    <cfRule type="expression" dxfId="687" priority="438">
      <formula>COUNTIF($A11:AB11, "NI")</formula>
    </cfRule>
  </conditionalFormatting>
  <conditionalFormatting sqref="C47 C73 D131:D133 C140:C141">
    <cfRule type="expression" dxfId="686" priority="311">
      <formula>COUNTIF($B47:AA47, "C")</formula>
    </cfRule>
    <cfRule type="expression" dxfId="685" priority="312">
      <formula>COUNTIF($B47:AA47, "Q")</formula>
    </cfRule>
    <cfRule type="expression" dxfId="684" priority="313">
      <formula>COUNTIF($B47:AA47, "M")</formula>
    </cfRule>
    <cfRule type="expression" dxfId="683" priority="314">
      <formula>COUNTIF($B47:AA47, "A")</formula>
    </cfRule>
  </conditionalFormatting>
  <conditionalFormatting sqref="C73 C85:C87 C89:C90 C94:C99 C134:C135 C140:C141 D131:D133">
    <cfRule type="expression" dxfId="682" priority="39">
      <formula>COUNTIF($A73:AA73, "NI")</formula>
    </cfRule>
  </conditionalFormatting>
  <conditionalFormatting sqref="C82:C83">
    <cfRule type="expression" dxfId="681" priority="296">
      <formula>COUNTIF($B82:AA82, "C")</formula>
    </cfRule>
    <cfRule type="expression" dxfId="680" priority="297">
      <formula>COUNTIF($B82:AA82, "Q")</formula>
    </cfRule>
    <cfRule type="expression" dxfId="679" priority="298">
      <formula>COUNTIF($B82:AA82, "M")</formula>
    </cfRule>
    <cfRule type="expression" dxfId="678" priority="299">
      <formula>COUNTIF($B82:AA82, "A")</formula>
    </cfRule>
    <cfRule type="expression" dxfId="677" priority="300">
      <formula>COUNTIF($A82:AA82, "NI")</formula>
    </cfRule>
  </conditionalFormatting>
  <conditionalFormatting sqref="C140:C143 C1:C3 C12:C135 C10 C148:C1048576">
    <cfRule type="duplicateValues" dxfId="676" priority="23"/>
  </conditionalFormatting>
  <conditionalFormatting sqref="C5:D5">
    <cfRule type="expression" dxfId="675" priority="1">
      <formula>COUNTIF($B5:AA5, "C")</formula>
    </cfRule>
    <cfRule type="expression" dxfId="674" priority="2">
      <formula>COUNTIF($B5:AA5, "Q")</formula>
    </cfRule>
    <cfRule type="expression" dxfId="673" priority="3">
      <formula>COUNTIF($B5:AA5, "M")</formula>
    </cfRule>
    <cfRule type="expression" dxfId="672" priority="4">
      <formula>COUNTIF($B5:AA5, "A")</formula>
    </cfRule>
    <cfRule type="expression" dxfId="671" priority="5">
      <formula>COUNTIF($A5:AA5, "NI")</formula>
    </cfRule>
  </conditionalFormatting>
  <conditionalFormatting sqref="C130:D130 C47">
    <cfRule type="expression" dxfId="670" priority="49">
      <formula>COUNTIF($A47:AA47, "NI")</formula>
    </cfRule>
  </conditionalFormatting>
  <conditionalFormatting sqref="C130:D130">
    <cfRule type="expression" dxfId="669" priority="24">
      <formula>COUNTIF($B130:AA130, "C")</formula>
    </cfRule>
    <cfRule type="expression" dxfId="668" priority="25">
      <formula>COUNTIF($B130:AA130, "Q")</formula>
    </cfRule>
    <cfRule type="expression" dxfId="667" priority="26">
      <formula>COUNTIF($B130:AA130, "M")</formula>
    </cfRule>
    <cfRule type="expression" dxfId="666" priority="27">
      <formula>COUNTIF($B130:AA130, "A")</formula>
    </cfRule>
  </conditionalFormatting>
  <conditionalFormatting sqref="C136:D138">
    <cfRule type="expression" dxfId="665" priority="6">
      <formula>COUNTIF($B136:AA136, "C")</formula>
    </cfRule>
    <cfRule type="expression" dxfId="664" priority="7">
      <formula>COUNTIF($B136:AA136, "Q")</formula>
    </cfRule>
    <cfRule type="expression" dxfId="663" priority="8">
      <formula>COUNTIF($B136:AA136, "M")</formula>
    </cfRule>
    <cfRule type="expression" dxfId="662" priority="9">
      <formula>COUNTIF($B136:AA136, "A")</formula>
    </cfRule>
    <cfRule type="expression" dxfId="661" priority="10">
      <formula>COUNTIF($A136:AA136, "NI")</formula>
    </cfRule>
  </conditionalFormatting>
  <conditionalFormatting sqref="D3:D4 J4:J6 D6:D122 D134:D135">
    <cfRule type="expression" dxfId="660" priority="306">
      <formula>COUNTIF($B3:AD3, "C")</formula>
    </cfRule>
    <cfRule type="expression" dxfId="659" priority="307">
      <formula>COUNTIF($B3:AD3, "Q")</formula>
    </cfRule>
    <cfRule type="expression" dxfId="658" priority="308">
      <formula>COUNTIF($B3:AD3, "M")</formula>
    </cfRule>
    <cfRule type="expression" dxfId="657" priority="309">
      <formula>COUNTIF($B3:AD3, "A")</formula>
    </cfRule>
    <cfRule type="expression" dxfId="656" priority="310">
      <formula>COUNTIF($A3:AD3, "NI")</formula>
    </cfRule>
  </conditionalFormatting>
  <conditionalFormatting sqref="D123:D129">
    <cfRule type="expression" dxfId="655" priority="320">
      <formula>COUNTIF($B142:AD142, "C")</formula>
    </cfRule>
    <cfRule type="expression" dxfId="654" priority="321">
      <formula>COUNTIF($B142:AD142, "Q")</formula>
    </cfRule>
    <cfRule type="expression" dxfId="653" priority="322">
      <formula>COUNTIF($B142:AD142, "M")</formula>
    </cfRule>
    <cfRule type="expression" dxfId="652" priority="323">
      <formula>COUNTIF($B142:AD142, "A")</formula>
    </cfRule>
    <cfRule type="expression" dxfId="651" priority="324">
      <formula>COUNTIF($A142:AD142, "NI")</formula>
    </cfRule>
  </conditionalFormatting>
  <conditionalFormatting sqref="D139">
    <cfRule type="expression" dxfId="650" priority="17">
      <formula>COUNTIF($B139:AB139, "C")</formula>
    </cfRule>
    <cfRule type="expression" dxfId="649" priority="18">
      <formula>COUNTIF($B139:AB139, "Q")</formula>
    </cfRule>
    <cfRule type="expression" dxfId="648" priority="19">
      <formula>COUNTIF($B139:AB139, "M")</formula>
    </cfRule>
    <cfRule type="expression" dxfId="647" priority="20">
      <formula>COUNTIF($B139:AB139, "A")</formula>
    </cfRule>
    <cfRule type="expression" dxfId="646" priority="21">
      <formula>COUNTIF($A139:AB139, "NI")</formula>
    </cfRule>
  </conditionalFormatting>
  <conditionalFormatting sqref="E145">
    <cfRule type="cellIs" dxfId="645" priority="12" operator="lessThan">
      <formula>$E$143</formula>
    </cfRule>
  </conditionalFormatting>
  <conditionalFormatting sqref="F145">
    <cfRule type="cellIs" dxfId="644" priority="16" operator="lessThan">
      <formula>$F$143</formula>
    </cfRule>
  </conditionalFormatting>
  <conditionalFormatting sqref="G145">
    <cfRule type="cellIs" dxfId="643" priority="14" operator="lessThan">
      <formula>$G$143</formula>
    </cfRule>
  </conditionalFormatting>
  <conditionalFormatting sqref="H145:I145">
    <cfRule type="cellIs" dxfId="642" priority="11" operator="lessThan">
      <formula>$H$143</formula>
    </cfRule>
  </conditionalFormatting>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4DF09-6B2A-4EB0-8C28-C7329F418F99}">
  <sheetPr>
    <tabColor theme="7" tint="0.39997558519241921"/>
  </sheetPr>
  <dimension ref="A1:N128"/>
  <sheetViews>
    <sheetView topLeftCell="D1" zoomScale="89" workbookViewId="0">
      <pane ySplit="2" topLeftCell="A3" activePane="bottomLeft" state="frozen"/>
      <selection activeCell="D1" sqref="D1"/>
      <selection pane="bottomLeft" activeCell="D1" sqref="D1"/>
    </sheetView>
  </sheetViews>
  <sheetFormatPr baseColWidth="10" defaultColWidth="8.88671875" defaultRowHeight="14.4" x14ac:dyDescent="0.3"/>
  <cols>
    <col min="1" max="1" width="11.33203125" customWidth="1"/>
    <col min="2" max="2" width="49.5546875" customWidth="1"/>
    <col min="3" max="3" width="9.109375" style="5"/>
    <col min="4" max="4" width="27.33203125" style="5" bestFit="1" customWidth="1"/>
    <col min="5" max="5" width="24.33203125" style="5" bestFit="1" customWidth="1"/>
    <col min="6" max="6" width="28.6640625" style="5" bestFit="1" customWidth="1"/>
    <col min="7" max="7" width="51" bestFit="1" customWidth="1"/>
    <col min="8" max="9" width="9.109375"/>
    <col min="10" max="10" width="21.6640625" customWidth="1"/>
  </cols>
  <sheetData>
    <row r="1" spans="1:14" x14ac:dyDescent="0.3">
      <c r="I1" s="366" t="s">
        <v>970</v>
      </c>
      <c r="J1" s="366"/>
    </row>
    <row r="2" spans="1:14" ht="18.75" customHeight="1" x14ac:dyDescent="0.35">
      <c r="A2" s="367" t="s">
        <v>816</v>
      </c>
      <c r="B2" s="367"/>
      <c r="C2" s="367"/>
      <c r="D2" s="104" t="s">
        <v>971</v>
      </c>
      <c r="E2" s="104" t="s">
        <v>971</v>
      </c>
      <c r="F2" s="104" t="s">
        <v>971</v>
      </c>
      <c r="G2" s="111" t="s">
        <v>817</v>
      </c>
      <c r="I2" s="105" t="s">
        <v>110</v>
      </c>
      <c r="J2" s="106" t="s">
        <v>972</v>
      </c>
    </row>
    <row r="3" spans="1:14" x14ac:dyDescent="0.3">
      <c r="A3" t="s">
        <v>4</v>
      </c>
      <c r="B3" t="s">
        <v>739</v>
      </c>
      <c r="C3" s="5" t="s">
        <v>740</v>
      </c>
      <c r="D3" s="5" t="s">
        <v>973</v>
      </c>
      <c r="E3" s="5" t="s">
        <v>974</v>
      </c>
      <c r="F3" s="5" t="s">
        <v>975</v>
      </c>
      <c r="I3" t="s">
        <v>16</v>
      </c>
      <c r="J3" t="s">
        <v>976</v>
      </c>
    </row>
    <row r="4" spans="1:14" ht="14.4" hidden="1" customHeight="1" x14ac:dyDescent="0.3">
      <c r="A4" s="1" t="s">
        <v>922</v>
      </c>
      <c r="B4" s="288" t="s">
        <v>249</v>
      </c>
      <c r="C4" s="6">
        <v>5</v>
      </c>
      <c r="D4" s="3" t="s">
        <v>16</v>
      </c>
      <c r="E4" s="150" t="s">
        <v>16</v>
      </c>
      <c r="F4" s="3" t="s">
        <v>16</v>
      </c>
      <c r="G4" s="1"/>
    </row>
    <row r="5" spans="1:14" ht="14.4" customHeight="1" x14ac:dyDescent="0.3">
      <c r="A5" s="1" t="s">
        <v>977</v>
      </c>
      <c r="B5" s="36" t="s">
        <v>253</v>
      </c>
      <c r="C5" s="6">
        <v>6</v>
      </c>
      <c r="D5" s="3" t="s">
        <v>28</v>
      </c>
      <c r="E5" s="3" t="s">
        <v>16</v>
      </c>
      <c r="F5" s="190" t="s">
        <v>28</v>
      </c>
      <c r="G5" s="1"/>
      <c r="M5">
        <v>1875</v>
      </c>
      <c r="N5">
        <f>+M5/3.34</f>
        <v>561.37724550898201</v>
      </c>
    </row>
    <row r="6" spans="1:14" ht="14.4" hidden="1" customHeight="1" x14ac:dyDescent="0.3">
      <c r="A6" s="1" t="s">
        <v>978</v>
      </c>
      <c r="B6" s="288" t="s">
        <v>255</v>
      </c>
      <c r="C6" s="6">
        <v>7</v>
      </c>
      <c r="D6" s="3" t="s">
        <v>28</v>
      </c>
      <c r="E6" s="150"/>
      <c r="F6" s="190"/>
      <c r="G6" s="1"/>
    </row>
    <row r="7" spans="1:14" ht="14.4" hidden="1" customHeight="1" x14ac:dyDescent="0.3">
      <c r="A7" s="1" t="s">
        <v>922</v>
      </c>
      <c r="B7" s="36" t="s">
        <v>305</v>
      </c>
      <c r="C7" s="6">
        <v>10</v>
      </c>
      <c r="D7" s="3" t="s">
        <v>16</v>
      </c>
      <c r="E7" s="3" t="s">
        <v>28</v>
      </c>
      <c r="F7" s="190" t="s">
        <v>24</v>
      </c>
      <c r="G7" s="1"/>
    </row>
    <row r="8" spans="1:14" ht="14.4" hidden="1" customHeight="1" x14ac:dyDescent="0.3">
      <c r="A8" s="1" t="s">
        <v>977</v>
      </c>
      <c r="B8" s="288" t="s">
        <v>278</v>
      </c>
      <c r="C8" s="6">
        <v>10</v>
      </c>
      <c r="D8" s="3" t="s">
        <v>24</v>
      </c>
      <c r="E8" s="150"/>
      <c r="F8" s="190"/>
      <c r="G8" s="1"/>
    </row>
    <row r="9" spans="1:14" ht="14.4" customHeight="1" x14ac:dyDescent="0.3">
      <c r="A9" s="1" t="s">
        <v>978</v>
      </c>
      <c r="B9" s="36" t="s">
        <v>38</v>
      </c>
      <c r="C9" s="6">
        <v>11</v>
      </c>
      <c r="D9" s="3" t="s">
        <v>28</v>
      </c>
      <c r="E9" s="3"/>
      <c r="F9" s="190"/>
      <c r="G9" s="1"/>
    </row>
    <row r="10" spans="1:14" ht="14.4" hidden="1" customHeight="1" x14ac:dyDescent="0.3">
      <c r="A10" s="1" t="s">
        <v>922</v>
      </c>
      <c r="B10" s="36" t="s">
        <v>41</v>
      </c>
      <c r="C10" s="6">
        <v>11</v>
      </c>
      <c r="D10" s="3" t="s">
        <v>24</v>
      </c>
      <c r="E10" s="3" t="s">
        <v>24</v>
      </c>
      <c r="F10" s="3" t="s">
        <v>24</v>
      </c>
      <c r="G10" s="1"/>
    </row>
    <row r="11" spans="1:14" ht="14.4" hidden="1" customHeight="1" x14ac:dyDescent="0.3">
      <c r="A11" s="1" t="s">
        <v>977</v>
      </c>
      <c r="B11" s="36" t="s">
        <v>53</v>
      </c>
      <c r="C11" s="6">
        <v>11</v>
      </c>
      <c r="D11" s="3" t="s">
        <v>24</v>
      </c>
      <c r="E11" s="3"/>
      <c r="F11" s="190"/>
      <c r="G11" s="1"/>
    </row>
    <row r="12" spans="1:14" ht="14.4" hidden="1" customHeight="1" x14ac:dyDescent="0.3">
      <c r="A12" s="1" t="s">
        <v>978</v>
      </c>
      <c r="B12" s="36" t="s">
        <v>284</v>
      </c>
      <c r="C12" s="6">
        <v>11</v>
      </c>
      <c r="D12" s="3" t="s">
        <v>28</v>
      </c>
      <c r="E12" s="3" t="s">
        <v>28</v>
      </c>
      <c r="F12" s="3" t="s">
        <v>28</v>
      </c>
      <c r="G12" s="1"/>
    </row>
    <row r="13" spans="1:14" ht="14.4" customHeight="1" x14ac:dyDescent="0.3">
      <c r="A13" s="1" t="s">
        <v>922</v>
      </c>
      <c r="B13" s="288" t="s">
        <v>575</v>
      </c>
      <c r="C13" s="6">
        <v>11</v>
      </c>
      <c r="D13" s="3" t="s">
        <v>28</v>
      </c>
      <c r="E13" s="150" t="s">
        <v>28</v>
      </c>
      <c r="F13" s="190" t="s">
        <v>28</v>
      </c>
      <c r="G13" s="1"/>
    </row>
    <row r="14" spans="1:14" ht="14.4" hidden="1" customHeight="1" x14ac:dyDescent="0.3">
      <c r="A14" s="1" t="s">
        <v>977</v>
      </c>
      <c r="B14" s="36" t="s">
        <v>300</v>
      </c>
      <c r="C14" s="6">
        <v>12</v>
      </c>
      <c r="D14" s="3" t="s">
        <v>24</v>
      </c>
      <c r="E14" s="3"/>
      <c r="F14" s="3"/>
      <c r="G14" s="1"/>
    </row>
    <row r="15" spans="1:14" ht="14.4" hidden="1" customHeight="1" x14ac:dyDescent="0.3">
      <c r="A15" s="1" t="s">
        <v>978</v>
      </c>
      <c r="B15" s="36" t="s">
        <v>295</v>
      </c>
      <c r="C15" s="154">
        <v>12</v>
      </c>
      <c r="D15" s="14" t="s">
        <v>28</v>
      </c>
      <c r="E15" s="14" t="s">
        <v>28</v>
      </c>
      <c r="F15" s="252" t="s">
        <v>28</v>
      </c>
      <c r="G15" s="1"/>
    </row>
    <row r="16" spans="1:14" x14ac:dyDescent="0.3">
      <c r="A16" s="1" t="s">
        <v>922</v>
      </c>
      <c r="B16" s="288" t="s">
        <v>62</v>
      </c>
      <c r="C16" s="6">
        <v>13</v>
      </c>
      <c r="D16" s="3" t="s">
        <v>16</v>
      </c>
      <c r="E16" s="150" t="s">
        <v>28</v>
      </c>
      <c r="F16" s="190" t="s">
        <v>28</v>
      </c>
      <c r="G16" s="1"/>
    </row>
    <row r="17" spans="1:7" hidden="1" x14ac:dyDescent="0.3">
      <c r="A17" s="1" t="s">
        <v>977</v>
      </c>
      <c r="B17" s="36" t="s">
        <v>979</v>
      </c>
      <c r="C17" s="6">
        <v>13</v>
      </c>
      <c r="D17" s="3" t="s">
        <v>28</v>
      </c>
      <c r="E17" s="3"/>
      <c r="F17" s="190"/>
      <c r="G17" s="1"/>
    </row>
    <row r="18" spans="1:7" hidden="1" x14ac:dyDescent="0.3">
      <c r="A18" s="1" t="s">
        <v>978</v>
      </c>
      <c r="B18" s="1" t="s">
        <v>63</v>
      </c>
      <c r="C18" s="6">
        <v>13</v>
      </c>
      <c r="D18" s="3" t="s">
        <v>28</v>
      </c>
      <c r="E18" s="3" t="s">
        <v>16</v>
      </c>
      <c r="F18" s="190"/>
      <c r="G18" s="1"/>
    </row>
    <row r="19" spans="1:7" hidden="1" x14ac:dyDescent="0.3">
      <c r="A19" s="1" t="s">
        <v>922</v>
      </c>
      <c r="B19" s="36" t="s">
        <v>328</v>
      </c>
      <c r="C19" s="6">
        <v>14</v>
      </c>
      <c r="D19" s="3" t="s">
        <v>28</v>
      </c>
      <c r="E19" s="3" t="s">
        <v>28</v>
      </c>
      <c r="F19" s="3" t="s">
        <v>28</v>
      </c>
      <c r="G19" s="1"/>
    </row>
    <row r="20" spans="1:7" x14ac:dyDescent="0.3">
      <c r="A20" s="1" t="s">
        <v>977</v>
      </c>
      <c r="B20" s="36" t="s">
        <v>155</v>
      </c>
      <c r="C20" s="6">
        <v>14</v>
      </c>
      <c r="D20" s="3" t="s">
        <v>28</v>
      </c>
      <c r="E20" s="3"/>
      <c r="F20" s="190" t="s">
        <v>28</v>
      </c>
      <c r="G20" s="1"/>
    </row>
    <row r="21" spans="1:7" hidden="1" x14ac:dyDescent="0.3">
      <c r="A21" s="1" t="s">
        <v>978</v>
      </c>
      <c r="B21" s="288" t="s">
        <v>342</v>
      </c>
      <c r="C21" s="6">
        <v>15</v>
      </c>
      <c r="D21" s="48" t="s">
        <v>28</v>
      </c>
      <c r="E21" s="150" t="s">
        <v>16</v>
      </c>
      <c r="F21" s="190"/>
      <c r="G21" s="1"/>
    </row>
    <row r="22" spans="1:7" hidden="1" x14ac:dyDescent="0.3">
      <c r="A22" s="1" t="s">
        <v>922</v>
      </c>
      <c r="B22" s="36" t="s">
        <v>336</v>
      </c>
      <c r="C22" s="6">
        <v>15</v>
      </c>
      <c r="D22" s="48" t="s">
        <v>28</v>
      </c>
      <c r="E22" s="48" t="s">
        <v>28</v>
      </c>
      <c r="F22" s="190" t="s">
        <v>28</v>
      </c>
      <c r="G22" s="1"/>
    </row>
    <row r="23" spans="1:7" x14ac:dyDescent="0.3">
      <c r="A23" s="1" t="s">
        <v>977</v>
      </c>
      <c r="B23" s="36" t="s">
        <v>354</v>
      </c>
      <c r="C23" s="6">
        <v>16</v>
      </c>
      <c r="D23" s="3" t="s">
        <v>24</v>
      </c>
      <c r="E23" s="3"/>
      <c r="F23" s="3"/>
      <c r="G23" s="1"/>
    </row>
    <row r="24" spans="1:7" hidden="1" x14ac:dyDescent="0.3">
      <c r="A24" s="1" t="s">
        <v>978</v>
      </c>
      <c r="B24" s="36" t="s">
        <v>355</v>
      </c>
      <c r="C24" s="6">
        <v>16</v>
      </c>
      <c r="D24" s="3" t="s">
        <v>28</v>
      </c>
      <c r="E24" s="3" t="s">
        <v>28</v>
      </c>
      <c r="F24" s="190" t="s">
        <v>28</v>
      </c>
      <c r="G24" s="1"/>
    </row>
    <row r="25" spans="1:7" hidden="1" x14ac:dyDescent="0.3">
      <c r="A25" s="1" t="s">
        <v>922</v>
      </c>
      <c r="B25" s="288" t="s">
        <v>360</v>
      </c>
      <c r="C25" s="6">
        <v>16</v>
      </c>
      <c r="D25" s="3" t="s">
        <v>28</v>
      </c>
      <c r="E25" s="150" t="s">
        <v>28</v>
      </c>
      <c r="F25" s="190" t="s">
        <v>28</v>
      </c>
      <c r="G25" s="1" t="s">
        <v>980</v>
      </c>
    </row>
    <row r="26" spans="1:7" hidden="1" x14ac:dyDescent="0.3">
      <c r="A26" s="1" t="s">
        <v>977</v>
      </c>
      <c r="B26" s="36" t="s">
        <v>368</v>
      </c>
      <c r="C26" s="6">
        <v>17</v>
      </c>
      <c r="D26" s="3" t="s">
        <v>24</v>
      </c>
      <c r="E26" s="3"/>
      <c r="F26" s="3"/>
      <c r="G26" s="1"/>
    </row>
    <row r="27" spans="1:7" hidden="1" x14ac:dyDescent="0.3">
      <c r="A27" s="1" t="s">
        <v>978</v>
      </c>
      <c r="B27" s="36" t="s">
        <v>370</v>
      </c>
      <c r="C27" s="6">
        <v>17</v>
      </c>
      <c r="D27" s="3"/>
      <c r="E27" s="3"/>
      <c r="F27" s="190"/>
      <c r="G27" s="1"/>
    </row>
    <row r="28" spans="1:7" hidden="1" x14ac:dyDescent="0.3">
      <c r="A28" s="1" t="s">
        <v>977</v>
      </c>
      <c r="B28" s="36" t="s">
        <v>625</v>
      </c>
      <c r="C28" s="6">
        <v>17</v>
      </c>
      <c r="D28" s="3"/>
      <c r="E28" s="3"/>
      <c r="F28" s="190"/>
      <c r="G28" s="1"/>
    </row>
    <row r="29" spans="1:7" hidden="1" x14ac:dyDescent="0.3">
      <c r="A29" s="1" t="s">
        <v>978</v>
      </c>
      <c r="B29" s="36" t="s">
        <v>379</v>
      </c>
      <c r="C29" s="6">
        <v>18</v>
      </c>
      <c r="D29" s="189" t="s">
        <v>28</v>
      </c>
      <c r="E29" s="3" t="s">
        <v>28</v>
      </c>
      <c r="F29" s="190" t="s">
        <v>28</v>
      </c>
      <c r="G29" s="1"/>
    </row>
    <row r="30" spans="1:7" hidden="1" x14ac:dyDescent="0.3">
      <c r="A30" s="1" t="s">
        <v>922</v>
      </c>
      <c r="B30" s="36" t="s">
        <v>127</v>
      </c>
      <c r="C30" s="6">
        <v>18</v>
      </c>
      <c r="D30" s="3" t="s">
        <v>24</v>
      </c>
      <c r="E30" s="3" t="s">
        <v>24</v>
      </c>
      <c r="F30" s="190" t="s">
        <v>24</v>
      </c>
      <c r="G30" s="1"/>
    </row>
    <row r="31" spans="1:7" x14ac:dyDescent="0.3">
      <c r="A31" s="1" t="s">
        <v>977</v>
      </c>
      <c r="B31" s="36" t="s">
        <v>134</v>
      </c>
      <c r="C31" s="6">
        <v>18</v>
      </c>
      <c r="D31" s="3"/>
      <c r="E31" s="3" t="s">
        <v>16</v>
      </c>
      <c r="F31" s="190"/>
      <c r="G31" s="1"/>
    </row>
    <row r="32" spans="1:7" hidden="1" x14ac:dyDescent="0.3">
      <c r="A32" s="1" t="s">
        <v>978</v>
      </c>
      <c r="B32" s="197" t="s">
        <v>981</v>
      </c>
      <c r="C32" s="177">
        <v>18</v>
      </c>
      <c r="D32" s="14"/>
      <c r="E32" s="14"/>
      <c r="F32" s="252"/>
      <c r="G32" s="1"/>
    </row>
    <row r="33" spans="1:7" hidden="1" x14ac:dyDescent="0.3">
      <c r="A33" s="1" t="s">
        <v>922</v>
      </c>
      <c r="B33" s="197" t="s">
        <v>384</v>
      </c>
      <c r="C33" s="19">
        <v>19</v>
      </c>
      <c r="D33" s="14" t="s">
        <v>28</v>
      </c>
      <c r="E33" s="189" t="s">
        <v>28</v>
      </c>
      <c r="F33" s="190" t="s">
        <v>28</v>
      </c>
      <c r="G33" s="1"/>
    </row>
    <row r="34" spans="1:7" hidden="1" x14ac:dyDescent="0.3">
      <c r="A34" s="1" t="s">
        <v>110</v>
      </c>
      <c r="B34" s="197" t="s">
        <v>385</v>
      </c>
      <c r="C34" s="19">
        <v>19</v>
      </c>
      <c r="D34" s="3"/>
      <c r="E34" s="3"/>
      <c r="F34" s="190"/>
      <c r="G34" s="1"/>
    </row>
    <row r="35" spans="1:7" hidden="1" x14ac:dyDescent="0.3">
      <c r="A35" s="1" t="s">
        <v>978</v>
      </c>
      <c r="B35" s="197" t="s">
        <v>386</v>
      </c>
      <c r="C35" s="19">
        <v>19</v>
      </c>
      <c r="D35" s="14"/>
      <c r="E35" s="189"/>
      <c r="F35" s="190"/>
      <c r="G35" s="1"/>
    </row>
    <row r="36" spans="1:7" hidden="1" x14ac:dyDescent="0.3">
      <c r="A36" s="1" t="s">
        <v>977</v>
      </c>
      <c r="B36" s="197" t="s">
        <v>109</v>
      </c>
      <c r="C36" s="19">
        <v>19</v>
      </c>
      <c r="D36" s="3" t="s">
        <v>28</v>
      </c>
      <c r="E36" s="3" t="s">
        <v>28</v>
      </c>
      <c r="F36" s="190" t="s">
        <v>28</v>
      </c>
      <c r="G36" s="1"/>
    </row>
    <row r="37" spans="1:7" x14ac:dyDescent="0.3">
      <c r="A37" s="1" t="s">
        <v>978</v>
      </c>
      <c r="B37" s="197" t="s">
        <v>175</v>
      </c>
      <c r="C37" s="19">
        <v>19</v>
      </c>
      <c r="D37" s="14" t="s">
        <v>28</v>
      </c>
      <c r="E37" s="189"/>
      <c r="F37" s="190"/>
      <c r="G37" s="1"/>
    </row>
    <row r="38" spans="1:7" hidden="1" x14ac:dyDescent="0.3">
      <c r="A38" s="1" t="s">
        <v>110</v>
      </c>
      <c r="B38" s="197" t="s">
        <v>143</v>
      </c>
      <c r="C38" s="19">
        <v>19</v>
      </c>
      <c r="D38" s="14" t="s">
        <v>110</v>
      </c>
      <c r="E38" s="189" t="s">
        <v>110</v>
      </c>
      <c r="F38" s="190" t="s">
        <v>110</v>
      </c>
      <c r="G38" s="1"/>
    </row>
    <row r="39" spans="1:7" x14ac:dyDescent="0.3">
      <c r="A39" s="1" t="s">
        <v>977</v>
      </c>
      <c r="B39" s="197" t="s">
        <v>140</v>
      </c>
      <c r="C39" s="19">
        <v>19</v>
      </c>
      <c r="D39" s="14" t="s">
        <v>24</v>
      </c>
      <c r="E39" s="189"/>
      <c r="F39" s="190"/>
      <c r="G39" s="1"/>
    </row>
    <row r="40" spans="1:7" hidden="1" x14ac:dyDescent="0.3">
      <c r="A40" s="1" t="s">
        <v>978</v>
      </c>
      <c r="B40" s="197" t="s">
        <v>389</v>
      </c>
      <c r="C40" s="19">
        <v>19</v>
      </c>
      <c r="D40" s="190" t="s">
        <v>24</v>
      </c>
      <c r="E40" s="190" t="s">
        <v>24</v>
      </c>
      <c r="F40" s="190" t="s">
        <v>16</v>
      </c>
      <c r="G40" s="1"/>
    </row>
    <row r="41" spans="1:7" hidden="1" x14ac:dyDescent="0.3">
      <c r="A41" s="1" t="s">
        <v>922</v>
      </c>
      <c r="B41" s="197" t="s">
        <v>149</v>
      </c>
      <c r="C41" s="19">
        <v>19</v>
      </c>
      <c r="D41" s="190" t="s">
        <v>24</v>
      </c>
      <c r="E41" s="190" t="s">
        <v>24</v>
      </c>
      <c r="F41" s="190" t="s">
        <v>24</v>
      </c>
      <c r="G41" s="1"/>
    </row>
    <row r="42" spans="1:7" hidden="1" x14ac:dyDescent="0.3">
      <c r="A42" s="1" t="s">
        <v>977</v>
      </c>
      <c r="B42" s="197" t="s">
        <v>152</v>
      </c>
      <c r="C42" s="19">
        <v>19</v>
      </c>
      <c r="D42" s="190"/>
      <c r="E42" s="190"/>
      <c r="F42" s="190"/>
      <c r="G42" s="1"/>
    </row>
    <row r="43" spans="1:7" ht="15.6" hidden="1" x14ac:dyDescent="0.3">
      <c r="A43" s="1" t="s">
        <v>978</v>
      </c>
      <c r="B43" s="328" t="s">
        <v>982</v>
      </c>
      <c r="C43" s="183">
        <v>20</v>
      </c>
      <c r="D43" s="189"/>
      <c r="E43" s="189"/>
      <c r="F43" s="189"/>
      <c r="G43" s="1"/>
    </row>
    <row r="44" spans="1:7" x14ac:dyDescent="0.3">
      <c r="A44" s="1" t="s">
        <v>922</v>
      </c>
      <c r="B44" s="197" t="s">
        <v>145</v>
      </c>
      <c r="C44" s="19">
        <v>20</v>
      </c>
      <c r="D44" s="189" t="s">
        <v>28</v>
      </c>
      <c r="E44" s="3"/>
      <c r="F44" s="190"/>
      <c r="G44" s="1"/>
    </row>
    <row r="45" spans="1:7" ht="15.6" hidden="1" x14ac:dyDescent="0.3">
      <c r="A45" s="1" t="s">
        <v>977</v>
      </c>
      <c r="B45" s="328" t="s">
        <v>395</v>
      </c>
      <c r="C45" s="183">
        <v>20</v>
      </c>
      <c r="D45" s="189" t="s">
        <v>16</v>
      </c>
      <c r="E45" s="150"/>
      <c r="F45" s="190"/>
      <c r="G45" s="1"/>
    </row>
    <row r="46" spans="1:7" ht="15.6" x14ac:dyDescent="0.3">
      <c r="A46" s="1" t="s">
        <v>978</v>
      </c>
      <c r="B46" s="329" t="s">
        <v>396</v>
      </c>
      <c r="C46" s="183">
        <v>20</v>
      </c>
      <c r="D46" s="189"/>
      <c r="E46" s="150"/>
      <c r="F46" s="190" t="s">
        <v>16</v>
      </c>
      <c r="G46" s="1"/>
    </row>
    <row r="47" spans="1:7" ht="15.6" hidden="1" x14ac:dyDescent="0.3">
      <c r="A47" s="1" t="s">
        <v>922</v>
      </c>
      <c r="B47" s="328" t="s">
        <v>167</v>
      </c>
      <c r="C47" s="183">
        <v>20</v>
      </c>
      <c r="D47" s="189"/>
      <c r="E47" s="3"/>
      <c r="F47" s="190"/>
      <c r="G47" s="1"/>
    </row>
    <row r="48" spans="1:7" ht="15.6" hidden="1" x14ac:dyDescent="0.3">
      <c r="A48" s="1" t="s">
        <v>977</v>
      </c>
      <c r="B48" s="328" t="s">
        <v>153</v>
      </c>
      <c r="C48" s="183">
        <v>20</v>
      </c>
      <c r="D48" s="189" t="s">
        <v>28</v>
      </c>
      <c r="E48" s="3" t="s">
        <v>28</v>
      </c>
      <c r="F48" s="190" t="s">
        <v>16</v>
      </c>
      <c r="G48" s="1"/>
    </row>
    <row r="49" spans="1:7" ht="15.6" hidden="1" x14ac:dyDescent="0.3">
      <c r="A49" s="1" t="s">
        <v>110</v>
      </c>
      <c r="B49" s="328" t="s">
        <v>400</v>
      </c>
      <c r="C49" s="183">
        <v>20</v>
      </c>
      <c r="D49" s="189" t="s">
        <v>110</v>
      </c>
      <c r="E49" s="3" t="s">
        <v>110</v>
      </c>
      <c r="F49" s="190" t="s">
        <v>110</v>
      </c>
      <c r="G49" s="1"/>
    </row>
    <row r="50" spans="1:7" ht="15.6" x14ac:dyDescent="0.3">
      <c r="A50" s="1" t="s">
        <v>922</v>
      </c>
      <c r="B50" s="328" t="s">
        <v>394</v>
      </c>
      <c r="C50" s="183">
        <v>20</v>
      </c>
      <c r="D50" s="189" t="s">
        <v>24</v>
      </c>
      <c r="E50" s="3"/>
      <c r="F50" s="190"/>
      <c r="G50" s="1"/>
    </row>
    <row r="51" spans="1:7" ht="15.6" hidden="1" x14ac:dyDescent="0.3">
      <c r="A51" s="1" t="s">
        <v>977</v>
      </c>
      <c r="B51" s="328" t="s">
        <v>158</v>
      </c>
      <c r="C51" s="183">
        <v>20</v>
      </c>
      <c r="D51" s="189"/>
      <c r="E51" s="3"/>
      <c r="F51" s="190"/>
      <c r="G51" s="1"/>
    </row>
    <row r="52" spans="1:7" ht="15.6" hidden="1" x14ac:dyDescent="0.3">
      <c r="A52" s="1" t="s">
        <v>978</v>
      </c>
      <c r="B52" s="328" t="s">
        <v>398</v>
      </c>
      <c r="C52" s="183">
        <v>20</v>
      </c>
      <c r="D52" s="189" t="s">
        <v>28</v>
      </c>
      <c r="E52" s="3" t="s">
        <v>16</v>
      </c>
      <c r="F52" s="190" t="s">
        <v>28</v>
      </c>
      <c r="G52" s="1"/>
    </row>
    <row r="53" spans="1:7" ht="15.6" hidden="1" x14ac:dyDescent="0.3">
      <c r="A53" s="1" t="s">
        <v>922</v>
      </c>
      <c r="B53" s="330" t="s">
        <v>833</v>
      </c>
      <c r="C53" s="19">
        <v>21</v>
      </c>
      <c r="D53" s="189" t="s">
        <v>28</v>
      </c>
      <c r="E53" s="189"/>
      <c r="F53" s="189"/>
      <c r="G53" s="1"/>
    </row>
    <row r="54" spans="1:7" ht="15.6" hidden="1" x14ac:dyDescent="0.3">
      <c r="A54" s="1" t="s">
        <v>977</v>
      </c>
      <c r="B54" s="331" t="s">
        <v>836</v>
      </c>
      <c r="C54" s="99">
        <v>21</v>
      </c>
      <c r="D54" s="189"/>
      <c r="E54" s="3"/>
      <c r="F54" s="190"/>
      <c r="G54" s="1"/>
    </row>
    <row r="55" spans="1:7" ht="15.6" hidden="1" x14ac:dyDescent="0.3">
      <c r="A55" s="1" t="s">
        <v>978</v>
      </c>
      <c r="B55" s="331" t="s">
        <v>839</v>
      </c>
      <c r="C55" s="186">
        <v>21</v>
      </c>
      <c r="D55" s="189" t="s">
        <v>28</v>
      </c>
      <c r="E55" s="3" t="s">
        <v>28</v>
      </c>
      <c r="F55" s="190" t="s">
        <v>16</v>
      </c>
      <c r="G55" s="1"/>
    </row>
    <row r="56" spans="1:7" ht="15.6" x14ac:dyDescent="0.3">
      <c r="A56" s="1" t="s">
        <v>922</v>
      </c>
      <c r="B56" s="330" t="s">
        <v>834</v>
      </c>
      <c r="C56" s="19">
        <v>21</v>
      </c>
      <c r="D56" s="189" t="s">
        <v>28</v>
      </c>
      <c r="E56" s="3"/>
      <c r="F56" s="190"/>
      <c r="G56" s="1"/>
    </row>
    <row r="57" spans="1:7" hidden="1" x14ac:dyDescent="0.3">
      <c r="A57" s="1" t="s">
        <v>977</v>
      </c>
      <c r="B57" s="36" t="s">
        <v>835</v>
      </c>
      <c r="C57" s="19">
        <v>21</v>
      </c>
      <c r="D57" s="189"/>
      <c r="E57" s="189"/>
      <c r="F57" s="189"/>
      <c r="G57" s="1"/>
    </row>
    <row r="58" spans="1:7" ht="15.6" hidden="1" x14ac:dyDescent="0.3">
      <c r="A58" s="1" t="s">
        <v>978</v>
      </c>
      <c r="B58" s="330" t="s">
        <v>832</v>
      </c>
      <c r="C58" s="19">
        <v>21</v>
      </c>
      <c r="D58" s="189" t="s">
        <v>28</v>
      </c>
      <c r="E58" s="3" t="s">
        <v>28</v>
      </c>
      <c r="F58" s="190" t="s">
        <v>28</v>
      </c>
      <c r="G58" s="1"/>
    </row>
    <row r="59" spans="1:7" ht="15.6" x14ac:dyDescent="0.3">
      <c r="A59" s="1" t="s">
        <v>922</v>
      </c>
      <c r="B59" s="330" t="s">
        <v>983</v>
      </c>
      <c r="C59" s="19">
        <v>21</v>
      </c>
      <c r="D59" s="189" t="s">
        <v>24</v>
      </c>
      <c r="E59" s="3"/>
      <c r="F59" s="190"/>
      <c r="G59" s="1"/>
    </row>
    <row r="60" spans="1:7" ht="15.6" hidden="1" x14ac:dyDescent="0.3">
      <c r="A60" s="1" t="s">
        <v>977</v>
      </c>
      <c r="B60" s="330" t="s">
        <v>984</v>
      </c>
      <c r="C60" s="19">
        <v>21</v>
      </c>
      <c r="D60" s="187" t="s">
        <v>28</v>
      </c>
      <c r="E60" s="3" t="s">
        <v>28</v>
      </c>
      <c r="F60" s="190" t="s">
        <v>28</v>
      </c>
      <c r="G60" s="1"/>
    </row>
    <row r="61" spans="1:7" ht="15.6" hidden="1" x14ac:dyDescent="0.3">
      <c r="A61" s="1" t="s">
        <v>978</v>
      </c>
      <c r="B61" s="330" t="s">
        <v>985</v>
      </c>
      <c r="C61" s="157">
        <v>21</v>
      </c>
      <c r="D61" s="14" t="s">
        <v>24</v>
      </c>
      <c r="E61" s="189" t="s">
        <v>24</v>
      </c>
      <c r="F61" s="190" t="s">
        <v>24</v>
      </c>
      <c r="G61" s="1"/>
    </row>
    <row r="62" spans="1:7" ht="15.6" hidden="1" x14ac:dyDescent="0.3">
      <c r="A62" s="1" t="s">
        <v>922</v>
      </c>
      <c r="B62" s="330" t="s">
        <v>986</v>
      </c>
      <c r="C62" s="157">
        <v>21</v>
      </c>
      <c r="D62" s="3" t="s">
        <v>28</v>
      </c>
      <c r="E62" s="1"/>
      <c r="F62" s="1"/>
      <c r="G62" s="1"/>
    </row>
    <row r="63" spans="1:7" ht="15.6" hidden="1" x14ac:dyDescent="0.3">
      <c r="A63" s="1" t="s">
        <v>977</v>
      </c>
      <c r="B63" s="338" t="s">
        <v>987</v>
      </c>
      <c r="C63" s="178">
        <v>21</v>
      </c>
      <c r="D63" s="33"/>
      <c r="E63" s="33"/>
      <c r="F63" s="33"/>
      <c r="G63" s="33"/>
    </row>
    <row r="64" spans="1:7" hidden="1" x14ac:dyDescent="0.3">
      <c r="A64" s="1" t="s">
        <v>978</v>
      </c>
      <c r="B64" s="121" t="s">
        <v>848</v>
      </c>
      <c r="C64" s="99">
        <v>22</v>
      </c>
      <c r="D64" s="1"/>
      <c r="E64" s="1"/>
      <c r="F64" s="1"/>
      <c r="G64" s="1"/>
    </row>
    <row r="65" spans="1:7" ht="15.6" hidden="1" x14ac:dyDescent="0.3">
      <c r="A65" s="1" t="s">
        <v>922</v>
      </c>
      <c r="B65" s="331" t="s">
        <v>988</v>
      </c>
      <c r="C65" s="99">
        <v>22</v>
      </c>
      <c r="D65" s="189" t="s">
        <v>28</v>
      </c>
      <c r="E65" s="189" t="s">
        <v>28</v>
      </c>
      <c r="F65" s="189" t="s">
        <v>16</v>
      </c>
      <c r="G65" s="33"/>
    </row>
    <row r="66" spans="1:7" ht="15.6" hidden="1" x14ac:dyDescent="0.3">
      <c r="A66" s="1" t="s">
        <v>977</v>
      </c>
      <c r="B66" s="331" t="s">
        <v>851</v>
      </c>
      <c r="C66" s="99">
        <v>22</v>
      </c>
      <c r="D66" s="187" t="s">
        <v>28</v>
      </c>
      <c r="E66" s="1"/>
      <c r="F66" s="1"/>
      <c r="G66" s="1"/>
    </row>
    <row r="67" spans="1:7" ht="15.6" x14ac:dyDescent="0.3">
      <c r="A67" s="1" t="s">
        <v>978</v>
      </c>
      <c r="B67" s="331" t="s">
        <v>860</v>
      </c>
      <c r="C67" s="99">
        <v>22</v>
      </c>
      <c r="D67" s="189" t="s">
        <v>24</v>
      </c>
      <c r="E67" s="33"/>
      <c r="F67" s="33"/>
      <c r="G67" s="33"/>
    </row>
    <row r="68" spans="1:7" ht="15.6" hidden="1" x14ac:dyDescent="0.3">
      <c r="A68" s="1" t="s">
        <v>922</v>
      </c>
      <c r="B68" s="331" t="s">
        <v>857</v>
      </c>
      <c r="C68" s="99">
        <v>22</v>
      </c>
      <c r="D68" s="1"/>
      <c r="E68" s="1"/>
      <c r="F68" s="1"/>
      <c r="G68" s="1"/>
    </row>
    <row r="69" spans="1:7" ht="15.6" hidden="1" x14ac:dyDescent="0.3">
      <c r="A69" s="1" t="s">
        <v>977</v>
      </c>
      <c r="B69" s="332" t="s">
        <v>841</v>
      </c>
      <c r="C69" s="99">
        <v>22</v>
      </c>
      <c r="D69" s="216"/>
      <c r="E69" s="14"/>
      <c r="F69" s="14"/>
      <c r="G69" s="79"/>
    </row>
    <row r="70" spans="1:7" x14ac:dyDescent="0.3">
      <c r="A70" s="1" t="s">
        <v>110</v>
      </c>
      <c r="B70" s="36" t="s">
        <v>404</v>
      </c>
      <c r="C70" s="6">
        <v>22</v>
      </c>
      <c r="D70" s="14" t="s">
        <v>110</v>
      </c>
      <c r="E70" s="14" t="s">
        <v>110</v>
      </c>
      <c r="F70" s="14" t="s">
        <v>110</v>
      </c>
      <c r="G70" s="233"/>
    </row>
    <row r="71" spans="1:7" hidden="1" x14ac:dyDescent="0.3">
      <c r="A71" s="1" t="s">
        <v>922</v>
      </c>
      <c r="B71" s="333" t="s">
        <v>414</v>
      </c>
      <c r="C71" s="99">
        <v>22</v>
      </c>
      <c r="D71" s="216" t="s">
        <v>110</v>
      </c>
      <c r="E71" s="216" t="s">
        <v>110</v>
      </c>
      <c r="F71" s="216" t="s">
        <v>110</v>
      </c>
      <c r="G71" s="79"/>
    </row>
    <row r="72" spans="1:7" ht="15.6" hidden="1" x14ac:dyDescent="0.3">
      <c r="A72" s="1" t="s">
        <v>977</v>
      </c>
      <c r="B72" s="331" t="s">
        <v>989</v>
      </c>
      <c r="C72" s="99">
        <v>23</v>
      </c>
      <c r="D72" s="216" t="s">
        <v>28</v>
      </c>
      <c r="E72" s="216" t="s">
        <v>28</v>
      </c>
      <c r="F72" s="216" t="s">
        <v>28</v>
      </c>
      <c r="G72" s="79"/>
    </row>
    <row r="73" spans="1:7" ht="15.6" x14ac:dyDescent="0.3">
      <c r="A73" s="1" t="s">
        <v>978</v>
      </c>
      <c r="B73" s="331" t="s">
        <v>990</v>
      </c>
      <c r="C73" s="99">
        <v>23</v>
      </c>
      <c r="D73" s="216" t="s">
        <v>24</v>
      </c>
      <c r="E73" s="14"/>
      <c r="F73" s="14"/>
      <c r="G73" s="79"/>
    </row>
    <row r="74" spans="1:7" ht="15.6" hidden="1" x14ac:dyDescent="0.3">
      <c r="A74" s="1" t="s">
        <v>922</v>
      </c>
      <c r="B74" s="331" t="s">
        <v>991</v>
      </c>
      <c r="C74" s="99">
        <v>23</v>
      </c>
      <c r="D74" s="216" t="s">
        <v>28</v>
      </c>
      <c r="E74" s="14" t="s">
        <v>28</v>
      </c>
      <c r="F74" s="14" t="s">
        <v>28</v>
      </c>
      <c r="G74" s="79"/>
    </row>
    <row r="75" spans="1:7" ht="15.6" hidden="1" x14ac:dyDescent="0.3">
      <c r="A75" s="1" t="s">
        <v>977</v>
      </c>
      <c r="B75" s="334" t="s">
        <v>992</v>
      </c>
      <c r="C75" s="99">
        <v>23</v>
      </c>
      <c r="D75" s="216"/>
      <c r="E75" s="150"/>
      <c r="F75" s="14"/>
      <c r="G75" s="79"/>
    </row>
    <row r="76" spans="1:7" x14ac:dyDescent="0.3">
      <c r="A76" s="1" t="s">
        <v>978</v>
      </c>
      <c r="B76" s="335" t="s">
        <v>880</v>
      </c>
      <c r="C76" s="281">
        <v>23</v>
      </c>
      <c r="D76" s="282" t="s">
        <v>24</v>
      </c>
      <c r="E76" s="78"/>
      <c r="F76" s="78"/>
      <c r="G76" s="79"/>
    </row>
    <row r="77" spans="1:7" ht="15.6" hidden="1" x14ac:dyDescent="0.3">
      <c r="A77" s="1" t="s">
        <v>922</v>
      </c>
      <c r="B77" s="331" t="s">
        <v>993</v>
      </c>
      <c r="C77" s="19">
        <v>23</v>
      </c>
      <c r="D77" s="14"/>
      <c r="E77" s="14"/>
      <c r="F77" s="14"/>
      <c r="G77" s="204"/>
    </row>
    <row r="78" spans="1:7" ht="15.6" hidden="1" x14ac:dyDescent="0.3">
      <c r="A78" s="1" t="s">
        <v>977</v>
      </c>
      <c r="B78" s="336" t="s">
        <v>994</v>
      </c>
      <c r="C78" s="19">
        <v>23</v>
      </c>
      <c r="D78" s="14" t="s">
        <v>24</v>
      </c>
      <c r="E78" s="14"/>
      <c r="F78" s="14"/>
      <c r="G78" s="204"/>
    </row>
    <row r="79" spans="1:7" ht="15.6" hidden="1" x14ac:dyDescent="0.3">
      <c r="A79" s="1" t="s">
        <v>978</v>
      </c>
      <c r="B79" s="336" t="s">
        <v>995</v>
      </c>
      <c r="C79" s="19">
        <v>23</v>
      </c>
      <c r="D79" s="14"/>
      <c r="E79" s="14"/>
      <c r="F79" s="14"/>
      <c r="G79" s="233"/>
    </row>
    <row r="80" spans="1:7" ht="15.6" x14ac:dyDescent="0.3">
      <c r="A80" s="1" t="s">
        <v>922</v>
      </c>
      <c r="B80" s="337" t="s">
        <v>996</v>
      </c>
      <c r="C80" s="19">
        <v>23</v>
      </c>
      <c r="D80" s="14" t="s">
        <v>28</v>
      </c>
      <c r="E80" s="14" t="s">
        <v>28</v>
      </c>
      <c r="F80" s="14" t="s">
        <v>16</v>
      </c>
      <c r="G80" s="233"/>
    </row>
    <row r="81" spans="1:7" ht="15.6" hidden="1" x14ac:dyDescent="0.3">
      <c r="A81" s="33" t="s">
        <v>977</v>
      </c>
      <c r="B81" s="343" t="s">
        <v>997</v>
      </c>
      <c r="C81" s="95">
        <v>24</v>
      </c>
      <c r="D81" s="78" t="s">
        <v>16</v>
      </c>
      <c r="E81" s="78" t="s">
        <v>28</v>
      </c>
      <c r="F81" s="78" t="s">
        <v>110</v>
      </c>
      <c r="G81" s="146"/>
    </row>
    <row r="82" spans="1:7" ht="15.6" hidden="1" x14ac:dyDescent="0.3">
      <c r="A82" s="9" t="s">
        <v>978</v>
      </c>
      <c r="B82" s="334" t="s">
        <v>896</v>
      </c>
      <c r="C82" s="19">
        <v>24</v>
      </c>
      <c r="D82" s="14" t="s">
        <v>28</v>
      </c>
      <c r="E82" s="14" t="s">
        <v>16</v>
      </c>
      <c r="F82" s="14" t="s">
        <v>28</v>
      </c>
      <c r="G82" s="179"/>
    </row>
    <row r="83" spans="1:7" ht="15.6" x14ac:dyDescent="0.3">
      <c r="A83" s="64" t="s">
        <v>922</v>
      </c>
      <c r="B83" s="344" t="s">
        <v>998</v>
      </c>
      <c r="C83" s="159">
        <v>24</v>
      </c>
      <c r="D83" s="216" t="s">
        <v>24</v>
      </c>
      <c r="E83" s="216"/>
      <c r="F83" s="216" t="s">
        <v>110</v>
      </c>
      <c r="G83" s="9"/>
    </row>
    <row r="84" spans="1:7" ht="15.6" hidden="1" x14ac:dyDescent="0.3">
      <c r="A84" s="1" t="s">
        <v>977</v>
      </c>
      <c r="B84" s="334" t="s">
        <v>999</v>
      </c>
      <c r="C84" s="19">
        <v>24</v>
      </c>
      <c r="D84" s="14"/>
      <c r="E84" s="14"/>
      <c r="F84" s="14" t="s">
        <v>110</v>
      </c>
      <c r="G84" s="9"/>
    </row>
    <row r="85" spans="1:7" ht="15.6" hidden="1" x14ac:dyDescent="0.3">
      <c r="A85" s="1" t="s">
        <v>978</v>
      </c>
      <c r="B85" s="334" t="s">
        <v>1000</v>
      </c>
      <c r="C85" s="19">
        <v>24</v>
      </c>
      <c r="D85" s="14" t="s">
        <v>28</v>
      </c>
      <c r="E85" s="14" t="s">
        <v>28</v>
      </c>
      <c r="F85" s="14" t="s">
        <v>28</v>
      </c>
      <c r="G85" s="9"/>
    </row>
    <row r="86" spans="1:7" ht="15.6" x14ac:dyDescent="0.3">
      <c r="A86" s="1" t="s">
        <v>922</v>
      </c>
      <c r="B86" s="334" t="s">
        <v>1001</v>
      </c>
      <c r="C86" s="19">
        <v>24</v>
      </c>
      <c r="D86" s="14" t="s">
        <v>24</v>
      </c>
      <c r="E86" s="14"/>
      <c r="F86" s="14" t="s">
        <v>110</v>
      </c>
      <c r="G86" s="9"/>
    </row>
    <row r="87" spans="1:7" ht="15.6" x14ac:dyDescent="0.3">
      <c r="A87" s="1" t="s">
        <v>978</v>
      </c>
      <c r="B87" s="334" t="s">
        <v>1002</v>
      </c>
      <c r="C87" s="19">
        <v>24</v>
      </c>
      <c r="D87" s="14" t="s">
        <v>16</v>
      </c>
      <c r="E87" s="14" t="s">
        <v>35</v>
      </c>
      <c r="F87" s="14" t="s">
        <v>110</v>
      </c>
      <c r="G87" s="9"/>
    </row>
    <row r="88" spans="1:7" ht="15.6" x14ac:dyDescent="0.3">
      <c r="A88" s="1" t="s">
        <v>922</v>
      </c>
      <c r="B88" s="334" t="s">
        <v>1003</v>
      </c>
      <c r="C88" s="19">
        <v>24</v>
      </c>
      <c r="D88" s="14" t="s">
        <v>35</v>
      </c>
      <c r="E88" s="14" t="s">
        <v>16</v>
      </c>
      <c r="F88" s="14" t="s">
        <v>110</v>
      </c>
      <c r="G88" s="9"/>
    </row>
    <row r="89" spans="1:7" ht="15.6" x14ac:dyDescent="0.3">
      <c r="A89" s="1" t="s">
        <v>978</v>
      </c>
      <c r="B89" s="334" t="s">
        <v>1004</v>
      </c>
      <c r="C89" s="19">
        <v>24</v>
      </c>
      <c r="D89" s="14" t="s">
        <v>28</v>
      </c>
      <c r="E89" s="14" t="s">
        <v>16</v>
      </c>
      <c r="F89" s="14" t="s">
        <v>110</v>
      </c>
      <c r="G89" s="9"/>
    </row>
    <row r="90" spans="1:7" ht="15.6" x14ac:dyDescent="0.3">
      <c r="A90" s="1" t="s">
        <v>922</v>
      </c>
      <c r="B90" s="334" t="s">
        <v>1005</v>
      </c>
      <c r="C90" s="19">
        <v>24</v>
      </c>
      <c r="D90" s="14" t="s">
        <v>35</v>
      </c>
      <c r="E90" s="14" t="s">
        <v>110</v>
      </c>
      <c r="F90" s="14" t="s">
        <v>110</v>
      </c>
      <c r="G90" s="9"/>
    </row>
    <row r="91" spans="1:7" ht="15.6" x14ac:dyDescent="0.3">
      <c r="A91" s="1" t="s">
        <v>978</v>
      </c>
      <c r="B91" s="334" t="s">
        <v>1006</v>
      </c>
      <c r="C91" s="19">
        <v>24</v>
      </c>
      <c r="D91" s="14"/>
      <c r="E91" s="14"/>
      <c r="F91" s="14" t="s">
        <v>110</v>
      </c>
      <c r="G91" s="9"/>
    </row>
    <row r="92" spans="1:7" ht="15.6" x14ac:dyDescent="0.3">
      <c r="A92" s="1" t="s">
        <v>922</v>
      </c>
      <c r="B92" s="334" t="s">
        <v>1007</v>
      </c>
      <c r="C92" s="19">
        <v>24</v>
      </c>
      <c r="D92" s="14" t="s">
        <v>28</v>
      </c>
      <c r="E92" s="14" t="s">
        <v>28</v>
      </c>
      <c r="F92" s="14" t="s">
        <v>110</v>
      </c>
      <c r="G92" s="9"/>
    </row>
    <row r="93" spans="1:7" ht="15.6" x14ac:dyDescent="0.3">
      <c r="A93" s="1" t="s">
        <v>977</v>
      </c>
      <c r="B93" s="334" t="s">
        <v>1008</v>
      </c>
      <c r="C93" s="19"/>
      <c r="D93" s="14"/>
      <c r="E93" s="14"/>
      <c r="F93" s="14"/>
      <c r="G93" s="9"/>
    </row>
    <row r="94" spans="1:7" ht="15.6" x14ac:dyDescent="0.3">
      <c r="A94" s="1" t="s">
        <v>978</v>
      </c>
      <c r="B94" s="334" t="s">
        <v>1009</v>
      </c>
      <c r="C94" s="19">
        <v>24</v>
      </c>
      <c r="D94" s="14" t="s">
        <v>28</v>
      </c>
      <c r="E94" s="14" t="s">
        <v>28</v>
      </c>
      <c r="F94" s="14" t="s">
        <v>110</v>
      </c>
      <c r="G94" s="9"/>
    </row>
    <row r="95" spans="1:7" ht="15.6" x14ac:dyDescent="0.3">
      <c r="A95" s="1" t="s">
        <v>922</v>
      </c>
      <c r="B95" s="334" t="s">
        <v>1010</v>
      </c>
      <c r="C95" s="19">
        <v>24</v>
      </c>
      <c r="D95" s="14" t="s">
        <v>28</v>
      </c>
      <c r="E95" s="14" t="s">
        <v>28</v>
      </c>
      <c r="F95" s="14" t="s">
        <v>110</v>
      </c>
      <c r="G95" s="9"/>
    </row>
    <row r="96" spans="1:7" ht="15.6" x14ac:dyDescent="0.3">
      <c r="A96" s="1" t="s">
        <v>978</v>
      </c>
      <c r="B96" s="334" t="s">
        <v>1011</v>
      </c>
      <c r="C96" s="19">
        <v>24</v>
      </c>
      <c r="D96" s="14" t="s">
        <v>24</v>
      </c>
      <c r="E96" s="14" t="s">
        <v>24</v>
      </c>
      <c r="F96" s="14" t="s">
        <v>110</v>
      </c>
      <c r="G96" s="9"/>
    </row>
    <row r="97" spans="1:7" ht="15.6" x14ac:dyDescent="0.3">
      <c r="A97" s="1" t="s">
        <v>922</v>
      </c>
      <c r="B97" s="334" t="s">
        <v>1012</v>
      </c>
      <c r="C97" s="19">
        <v>24</v>
      </c>
      <c r="D97" s="14" t="s">
        <v>24</v>
      </c>
      <c r="E97" s="14" t="s">
        <v>24</v>
      </c>
      <c r="F97" s="14" t="s">
        <v>110</v>
      </c>
      <c r="G97" s="9"/>
    </row>
    <row r="98" spans="1:7" ht="15.6" x14ac:dyDescent="0.3">
      <c r="A98" s="1" t="s">
        <v>978</v>
      </c>
      <c r="B98" s="334" t="s">
        <v>1013</v>
      </c>
      <c r="C98" s="19">
        <v>24</v>
      </c>
      <c r="D98" s="14" t="s">
        <v>35</v>
      </c>
      <c r="E98" s="14" t="s">
        <v>110</v>
      </c>
      <c r="F98" s="14" t="s">
        <v>110</v>
      </c>
      <c r="G98" s="9"/>
    </row>
    <row r="99" spans="1:7" ht="15.6" x14ac:dyDescent="0.3">
      <c r="A99" s="1" t="s">
        <v>922</v>
      </c>
      <c r="B99" s="334" t="s">
        <v>1014</v>
      </c>
      <c r="C99" s="19">
        <v>24</v>
      </c>
      <c r="D99" s="14" t="s">
        <v>28</v>
      </c>
      <c r="E99" s="14" t="s">
        <v>28</v>
      </c>
      <c r="F99" s="14" t="s">
        <v>110</v>
      </c>
      <c r="G99" s="9"/>
    </row>
    <row r="100" spans="1:7" ht="15.6" x14ac:dyDescent="0.3">
      <c r="A100" s="1" t="s">
        <v>978</v>
      </c>
      <c r="B100" s="334" t="s">
        <v>1015</v>
      </c>
      <c r="C100" s="19">
        <v>24</v>
      </c>
      <c r="D100" s="14" t="s">
        <v>28</v>
      </c>
      <c r="E100" s="14" t="s">
        <v>35</v>
      </c>
      <c r="F100" s="14" t="s">
        <v>110</v>
      </c>
      <c r="G100" s="9"/>
    </row>
    <row r="101" spans="1:7" ht="15.6" x14ac:dyDescent="0.3">
      <c r="A101" s="1" t="s">
        <v>922</v>
      </c>
      <c r="B101" s="334" t="s">
        <v>950</v>
      </c>
      <c r="C101" s="19">
        <v>24</v>
      </c>
      <c r="D101" s="14" t="s">
        <v>16</v>
      </c>
      <c r="E101" s="14"/>
      <c r="F101" s="14" t="s">
        <v>110</v>
      </c>
      <c r="G101" s="9"/>
    </row>
    <row r="102" spans="1:7" ht="15.6" x14ac:dyDescent="0.3">
      <c r="A102" s="1" t="s">
        <v>978</v>
      </c>
      <c r="B102" s="334" t="s">
        <v>1016</v>
      </c>
      <c r="C102" s="19">
        <v>24</v>
      </c>
      <c r="D102" s="14" t="s">
        <v>16</v>
      </c>
      <c r="E102" s="14" t="s">
        <v>16</v>
      </c>
      <c r="F102" s="14" t="s">
        <v>110</v>
      </c>
      <c r="G102" s="9"/>
    </row>
    <row r="103" spans="1:7" hidden="1" x14ac:dyDescent="0.3">
      <c r="A103" s="1" t="s">
        <v>922</v>
      </c>
      <c r="B103" s="339" t="s">
        <v>916</v>
      </c>
      <c r="C103" s="19">
        <v>25</v>
      </c>
      <c r="D103" s="14" t="s">
        <v>16</v>
      </c>
      <c r="E103" s="14" t="s">
        <v>16</v>
      </c>
      <c r="F103" s="14" t="s">
        <v>110</v>
      </c>
      <c r="G103" s="9"/>
    </row>
    <row r="104" spans="1:7" hidden="1" x14ac:dyDescent="0.3">
      <c r="A104" s="1" t="s">
        <v>977</v>
      </c>
      <c r="B104" s="339" t="s">
        <v>923</v>
      </c>
      <c r="C104" s="19">
        <v>25</v>
      </c>
      <c r="D104" s="14" t="s">
        <v>24</v>
      </c>
      <c r="E104" s="14"/>
      <c r="F104" s="14" t="s">
        <v>110</v>
      </c>
      <c r="G104" s="9"/>
    </row>
    <row r="105" spans="1:7" hidden="1" x14ac:dyDescent="0.3">
      <c r="A105" s="1" t="s">
        <v>978</v>
      </c>
      <c r="B105" s="340" t="s">
        <v>1017</v>
      </c>
      <c r="C105" s="19">
        <v>25</v>
      </c>
      <c r="D105" s="14" t="s">
        <v>16</v>
      </c>
      <c r="E105" s="14" t="s">
        <v>110</v>
      </c>
      <c r="F105" s="14" t="s">
        <v>110</v>
      </c>
      <c r="G105" s="9"/>
    </row>
    <row r="106" spans="1:7" hidden="1" x14ac:dyDescent="0.3">
      <c r="A106" s="1" t="s">
        <v>922</v>
      </c>
      <c r="B106" s="339" t="s">
        <v>925</v>
      </c>
      <c r="C106" s="19">
        <v>25</v>
      </c>
      <c r="D106" s="14"/>
      <c r="E106" s="14" t="s">
        <v>35</v>
      </c>
      <c r="F106" s="14" t="s">
        <v>110</v>
      </c>
      <c r="G106" s="9"/>
    </row>
    <row r="107" spans="1:7" x14ac:dyDescent="0.3">
      <c r="A107" s="1" t="s">
        <v>977</v>
      </c>
      <c r="B107" s="340" t="s">
        <v>926</v>
      </c>
      <c r="C107" s="19">
        <v>25</v>
      </c>
      <c r="D107" s="14"/>
      <c r="E107" s="14"/>
      <c r="F107" s="14" t="s">
        <v>110</v>
      </c>
      <c r="G107" s="9"/>
    </row>
    <row r="108" spans="1:7" hidden="1" x14ac:dyDescent="0.3">
      <c r="A108" s="1" t="s">
        <v>978</v>
      </c>
      <c r="B108" s="340" t="s">
        <v>927</v>
      </c>
      <c r="C108" s="19">
        <v>25</v>
      </c>
      <c r="D108" s="14" t="s">
        <v>28</v>
      </c>
      <c r="E108" s="14"/>
      <c r="F108" s="14" t="s">
        <v>110</v>
      </c>
      <c r="G108" s="9"/>
    </row>
    <row r="109" spans="1:7" hidden="1" x14ac:dyDescent="0.3">
      <c r="A109" s="1" t="s">
        <v>922</v>
      </c>
      <c r="B109" s="339" t="s">
        <v>929</v>
      </c>
      <c r="C109" s="19">
        <v>25</v>
      </c>
      <c r="D109" s="14"/>
      <c r="E109" s="14"/>
      <c r="F109" s="14" t="s">
        <v>110</v>
      </c>
      <c r="G109" s="9"/>
    </row>
    <row r="110" spans="1:7" hidden="1" x14ac:dyDescent="0.3">
      <c r="A110" s="1" t="s">
        <v>977</v>
      </c>
      <c r="B110" s="340" t="s">
        <v>931</v>
      </c>
      <c r="C110" s="19">
        <v>25</v>
      </c>
      <c r="D110" s="14" t="s">
        <v>16</v>
      </c>
      <c r="E110" s="14"/>
      <c r="F110" s="14" t="s">
        <v>110</v>
      </c>
      <c r="G110" s="9"/>
    </row>
    <row r="111" spans="1:7" x14ac:dyDescent="0.3">
      <c r="A111" s="1" t="s">
        <v>978</v>
      </c>
      <c r="B111" s="339" t="s">
        <v>1018</v>
      </c>
      <c r="C111" s="19">
        <v>25</v>
      </c>
      <c r="D111" s="14" t="s">
        <v>28</v>
      </c>
      <c r="E111" s="14"/>
      <c r="F111" s="14" t="s">
        <v>110</v>
      </c>
      <c r="G111" s="9"/>
    </row>
    <row r="112" spans="1:7" hidden="1" x14ac:dyDescent="0.3">
      <c r="A112" s="1" t="s">
        <v>978</v>
      </c>
      <c r="B112" s="339" t="s">
        <v>1019</v>
      </c>
      <c r="C112" s="19">
        <v>25</v>
      </c>
      <c r="D112" s="14" t="s">
        <v>28</v>
      </c>
      <c r="E112" s="14" t="s">
        <v>16</v>
      </c>
      <c r="F112" s="14" t="s">
        <v>110</v>
      </c>
      <c r="G112" s="9"/>
    </row>
    <row r="113" spans="1:7" hidden="1" x14ac:dyDescent="0.3">
      <c r="A113" s="1" t="s">
        <v>977</v>
      </c>
      <c r="B113" s="340" t="s">
        <v>938</v>
      </c>
      <c r="C113" s="19">
        <v>25</v>
      </c>
      <c r="D113" s="14" t="s">
        <v>28</v>
      </c>
      <c r="E113" s="14" t="s">
        <v>28</v>
      </c>
      <c r="F113" s="14" t="s">
        <v>110</v>
      </c>
      <c r="G113" s="9"/>
    </row>
    <row r="114" spans="1:7" x14ac:dyDescent="0.3">
      <c r="A114" s="1" t="s">
        <v>978</v>
      </c>
      <c r="B114" s="339" t="s">
        <v>939</v>
      </c>
      <c r="C114" s="19">
        <v>25</v>
      </c>
      <c r="D114" s="14" t="s">
        <v>28</v>
      </c>
      <c r="E114" s="14" t="s">
        <v>28</v>
      </c>
      <c r="F114" s="14" t="s">
        <v>110</v>
      </c>
      <c r="G114" s="9"/>
    </row>
    <row r="115" spans="1:7" hidden="1" x14ac:dyDescent="0.3">
      <c r="A115" s="1" t="s">
        <v>922</v>
      </c>
      <c r="B115" s="340" t="s">
        <v>940</v>
      </c>
      <c r="C115" s="19">
        <v>25</v>
      </c>
      <c r="D115" s="14"/>
      <c r="E115" s="14"/>
      <c r="F115" s="14" t="s">
        <v>110</v>
      </c>
      <c r="G115" s="9"/>
    </row>
    <row r="116" spans="1:7" hidden="1" x14ac:dyDescent="0.3">
      <c r="A116" s="1" t="s">
        <v>977</v>
      </c>
      <c r="B116" s="339" t="s">
        <v>941</v>
      </c>
      <c r="C116" s="19">
        <v>25</v>
      </c>
      <c r="D116" s="14" t="s">
        <v>16</v>
      </c>
      <c r="E116" s="14"/>
      <c r="F116" s="14" t="s">
        <v>110</v>
      </c>
      <c r="G116" s="9"/>
    </row>
    <row r="117" spans="1:7" hidden="1" x14ac:dyDescent="0.3">
      <c r="A117" s="1" t="s">
        <v>978</v>
      </c>
      <c r="B117" s="340" t="s">
        <v>942</v>
      </c>
      <c r="C117" s="19">
        <v>25</v>
      </c>
      <c r="D117" s="14" t="s">
        <v>28</v>
      </c>
      <c r="E117" s="14" t="s">
        <v>28</v>
      </c>
      <c r="F117" s="14" t="s">
        <v>110</v>
      </c>
      <c r="G117" s="9"/>
    </row>
    <row r="118" spans="1:7" x14ac:dyDescent="0.3">
      <c r="A118" s="1" t="s">
        <v>922</v>
      </c>
      <c r="B118" s="339" t="s">
        <v>1020</v>
      </c>
      <c r="C118" s="19">
        <v>25</v>
      </c>
      <c r="D118" s="14" t="s">
        <v>24</v>
      </c>
      <c r="E118" s="14"/>
      <c r="F118" s="14" t="s">
        <v>110</v>
      </c>
      <c r="G118" s="9"/>
    </row>
    <row r="119" spans="1:7" hidden="1" x14ac:dyDescent="0.3">
      <c r="A119" s="1" t="s">
        <v>977</v>
      </c>
      <c r="B119" s="341" t="s">
        <v>1021</v>
      </c>
      <c r="C119" s="19">
        <v>25</v>
      </c>
      <c r="D119" s="14"/>
      <c r="E119" s="14"/>
      <c r="F119" s="14" t="s">
        <v>110</v>
      </c>
      <c r="G119" s="9"/>
    </row>
    <row r="120" spans="1:7" hidden="1" x14ac:dyDescent="0.3">
      <c r="A120" s="1" t="s">
        <v>978</v>
      </c>
      <c r="B120" s="340" t="s">
        <v>1022</v>
      </c>
      <c r="C120" s="19">
        <v>25</v>
      </c>
      <c r="D120" s="14" t="s">
        <v>16</v>
      </c>
      <c r="E120" s="14" t="s">
        <v>16</v>
      </c>
      <c r="F120" s="14" t="s">
        <v>110</v>
      </c>
      <c r="G120" s="9"/>
    </row>
    <row r="121" spans="1:7" x14ac:dyDescent="0.3">
      <c r="A121" s="1" t="s">
        <v>922</v>
      </c>
      <c r="B121" s="340" t="s">
        <v>1023</v>
      </c>
      <c r="C121" s="19">
        <v>25</v>
      </c>
      <c r="D121" s="14" t="s">
        <v>24</v>
      </c>
      <c r="E121" s="14"/>
      <c r="F121" s="14" t="s">
        <v>110</v>
      </c>
      <c r="G121" s="9"/>
    </row>
    <row r="122" spans="1:7" hidden="1" x14ac:dyDescent="0.3">
      <c r="A122" s="33" t="s">
        <v>977</v>
      </c>
      <c r="B122" s="345" t="s">
        <v>948</v>
      </c>
      <c r="C122" s="95">
        <v>25</v>
      </c>
      <c r="D122" s="78"/>
      <c r="E122" s="78"/>
      <c r="F122" s="78" t="s">
        <v>110</v>
      </c>
      <c r="G122" s="9"/>
    </row>
    <row r="123" spans="1:7" x14ac:dyDescent="0.3">
      <c r="A123" s="9" t="s">
        <v>922</v>
      </c>
      <c r="B123" s="340" t="s">
        <v>1024</v>
      </c>
      <c r="C123" s="19"/>
      <c r="D123" s="14" t="s">
        <v>28</v>
      </c>
      <c r="E123" s="14" t="s">
        <v>28</v>
      </c>
      <c r="F123" s="14" t="s">
        <v>16</v>
      </c>
    </row>
    <row r="124" spans="1:7" x14ac:dyDescent="0.3">
      <c r="B124" s="342"/>
      <c r="C124" s="26"/>
    </row>
    <row r="125" spans="1:7" x14ac:dyDescent="0.3">
      <c r="B125" s="342"/>
      <c r="C125" s="26"/>
    </row>
    <row r="127" spans="1:7" x14ac:dyDescent="0.3">
      <c r="B127" s="108" t="s">
        <v>1025</v>
      </c>
      <c r="C127" s="222"/>
      <c r="D127" s="294">
        <f>+COUNTIF(D4:D126,"OK")</f>
        <v>13</v>
      </c>
      <c r="E127" s="294">
        <f>+COUNTIF(E4:E126,"OK")</f>
        <v>13</v>
      </c>
      <c r="F127" s="294">
        <f>+COUNTIF(F4:F126,"OK")</f>
        <v>8</v>
      </c>
    </row>
    <row r="128" spans="1:7" x14ac:dyDescent="0.3">
      <c r="B128" s="108" t="s">
        <v>902</v>
      </c>
      <c r="D128" s="294">
        <v>15</v>
      </c>
      <c r="E128" s="294">
        <v>20</v>
      </c>
      <c r="F128" s="294">
        <v>8</v>
      </c>
    </row>
  </sheetData>
  <autoFilter ref="A3:N3" xr:uid="{F654DF09-6B2A-4EB0-8C28-C7329F418F99}"/>
  <mergeCells count="2">
    <mergeCell ref="I1:J1"/>
    <mergeCell ref="A2:C2"/>
  </mergeCells>
  <conditionalFormatting sqref="B40 B64:C64 B4:C17 B19:C27">
    <cfRule type="expression" dxfId="641" priority="27">
      <formula>COUNTIF($B4:Z4, "C")</formula>
    </cfRule>
    <cfRule type="expression" dxfId="640" priority="28">
      <formula>COUNTIF($B4:Z4, "Q")</formula>
    </cfRule>
    <cfRule type="expression" dxfId="639" priority="29">
      <formula>COUNTIF($B4:Z4, "M")</formula>
    </cfRule>
    <cfRule type="expression" dxfId="638" priority="30">
      <formula>COUNTIF($B4:Z4, "A")</formula>
    </cfRule>
    <cfRule type="expression" dxfId="637" priority="31">
      <formula>COUNTIF($A4:Z4, "NI")</formula>
    </cfRule>
  </conditionalFormatting>
  <conditionalFormatting sqref="B69 B71">
    <cfRule type="duplicateValues" dxfId="636" priority="20"/>
    <cfRule type="expression" dxfId="635" priority="21">
      <formula>COUNTIF($B69:Z69, "C")</formula>
    </cfRule>
    <cfRule type="expression" dxfId="634" priority="22">
      <formula>COUNTIF($B69:Z69, "Q")</formula>
    </cfRule>
    <cfRule type="expression" dxfId="633" priority="23">
      <formula>COUNTIF($B69:Z69, "M")</formula>
    </cfRule>
    <cfRule type="expression" dxfId="632" priority="24">
      <formula>COUNTIF($B69:Z69, "A")</formula>
    </cfRule>
    <cfRule type="expression" dxfId="631" priority="25">
      <formula>COUNTIF($A69:Z69, "NI")</formula>
    </cfRule>
  </conditionalFormatting>
  <conditionalFormatting sqref="B3:C3">
    <cfRule type="expression" dxfId="630" priority="46">
      <formula>COUNTIF($A3:W3, "NI")</formula>
    </cfRule>
  </conditionalFormatting>
  <conditionalFormatting sqref="B41:C42 B29:C39">
    <cfRule type="expression" dxfId="629" priority="15">
      <formula>COUNTIF($A29:Z29, "NI")</formula>
    </cfRule>
  </conditionalFormatting>
  <conditionalFormatting sqref="B29:C32 C33:C42">
    <cfRule type="expression" dxfId="628" priority="11">
      <formula>COUNTIF($B29:Z29, "C")</formula>
    </cfRule>
    <cfRule type="expression" dxfId="627" priority="12">
      <formula>COUNTIF($B29:Z29, "Q")</formula>
    </cfRule>
    <cfRule type="expression" dxfId="626" priority="13">
      <formula>COUNTIF($B29:Z29, "M")</formula>
    </cfRule>
    <cfRule type="expression" dxfId="625" priority="14">
      <formula>COUNTIF($B29:Z29, "A")</formula>
    </cfRule>
  </conditionalFormatting>
  <conditionalFormatting sqref="C40">
    <cfRule type="expression" dxfId="624" priority="36">
      <formula>COUNTIF($A40:AA40, "NI")</formula>
    </cfRule>
  </conditionalFormatting>
  <conditionalFormatting sqref="B70:C70 B28">
    <cfRule type="expression" dxfId="623" priority="26">
      <formula>COUNTIF($A28:Z28, "NI")</formula>
    </cfRule>
  </conditionalFormatting>
  <conditionalFormatting sqref="B70:C70">
    <cfRule type="expression" dxfId="622" priority="16">
      <formula>COUNTIF($B70:Z70, "A")</formula>
    </cfRule>
  </conditionalFormatting>
  <conditionalFormatting sqref="C3">
    <cfRule type="expression" dxfId="621" priority="42">
      <formula>COUNTIF($A3:X3, "C")</formula>
    </cfRule>
    <cfRule type="expression" dxfId="620" priority="43">
      <formula>COUNTIF($A3:X3, "Q")</formula>
    </cfRule>
    <cfRule type="expression" dxfId="619" priority="44">
      <formula>COUNTIF($A3:X3, "M")</formula>
    </cfRule>
    <cfRule type="expression" dxfId="618" priority="45">
      <formula>COUNTIF($A3:X3, "A")</formula>
    </cfRule>
  </conditionalFormatting>
  <conditionalFormatting sqref="C28 B53 C56:C63 B56:B62 C65:C125">
    <cfRule type="expression" dxfId="617" priority="38">
      <formula>COUNTIF($B28:Z28, "Q")</formula>
    </cfRule>
    <cfRule type="expression" dxfId="616" priority="39">
      <formula>COUNTIF($B28:Z28, "M")</formula>
    </cfRule>
  </conditionalFormatting>
  <conditionalFormatting sqref="C28 B53 C56:C63 B56:B62 C65:C69 C71:C125">
    <cfRule type="expression" dxfId="615" priority="40">
      <formula>COUNTIF($B28:Z28, "A")</formula>
    </cfRule>
    <cfRule type="expression" dxfId="614" priority="41">
      <formula>COUNTIF($A28:Z28, "NI")</formula>
    </cfRule>
  </conditionalFormatting>
  <conditionalFormatting sqref="C43:C44 C48">
    <cfRule type="expression" dxfId="613" priority="57">
      <formula>COUNTIF($B129:AA129, "C")</formula>
    </cfRule>
    <cfRule type="expression" dxfId="612" priority="58">
      <formula>COUNTIF($B129:AA129, "Q")</formula>
    </cfRule>
    <cfRule type="expression" dxfId="611" priority="59">
      <formula>COUNTIF($B129:AA129, "M")</formula>
    </cfRule>
    <cfRule type="expression" dxfId="610" priority="60">
      <formula>COUNTIF($B129:AA129, "A")</formula>
    </cfRule>
    <cfRule type="expression" dxfId="609" priority="61">
      <formula>COUNTIF($A129:AA129, "NI")</formula>
    </cfRule>
  </conditionalFormatting>
  <conditionalFormatting sqref="C47">
    <cfRule type="expression" dxfId="608" priority="67">
      <formula>COUNTIF($B132:AA132, "C")</formula>
    </cfRule>
    <cfRule type="expression" dxfId="607" priority="68">
      <formula>COUNTIF($B132:AA132, "Q")</formula>
    </cfRule>
    <cfRule type="expression" dxfId="606" priority="69">
      <formula>COUNTIF($B132:AA132, "M")</formula>
    </cfRule>
    <cfRule type="expression" dxfId="605" priority="70">
      <formula>COUNTIF($B132:AA132, "A")</formula>
    </cfRule>
    <cfRule type="expression" dxfId="604" priority="71">
      <formula>COUNTIF($A132:AA132, "NI")</formula>
    </cfRule>
  </conditionalFormatting>
  <conditionalFormatting sqref="C50">
    <cfRule type="expression" dxfId="603" priority="72">
      <formula>COUNTIF($B139:AA139, "C")</formula>
    </cfRule>
    <cfRule type="expression" dxfId="602" priority="73">
      <formula>COUNTIF($B139:AA139, "Q")</formula>
    </cfRule>
    <cfRule type="expression" dxfId="601" priority="74">
      <formula>COUNTIF($B139:AA139, "M")</formula>
    </cfRule>
    <cfRule type="expression" dxfId="600" priority="75">
      <formula>COUNTIF($B139:AA139, "A")</formula>
    </cfRule>
    <cfRule type="expression" dxfId="599" priority="76">
      <formula>COUNTIF($A139:AA139, "NI")</formula>
    </cfRule>
  </conditionalFormatting>
  <conditionalFormatting sqref="C51:C52">
    <cfRule type="expression" dxfId="598" priority="52">
      <formula>COUNTIF($B141:AA141, "C")</formula>
    </cfRule>
    <cfRule type="expression" dxfId="597" priority="53">
      <formula>COUNTIF($B141:AA141, "Q")</formula>
    </cfRule>
    <cfRule type="expression" dxfId="596" priority="54">
      <formula>COUNTIF($B141:AA141, "M")</formula>
    </cfRule>
    <cfRule type="expression" dxfId="595" priority="55">
      <formula>COUNTIF($B141:AA141, "A")</formula>
    </cfRule>
    <cfRule type="expression" dxfId="594" priority="56">
      <formula>COUNTIF($A141:AA141, "NI")</formula>
    </cfRule>
  </conditionalFormatting>
  <conditionalFormatting sqref="C28 B53 C56:C63 B56:B62 C65:C125">
    <cfRule type="expression" dxfId="593" priority="37">
      <formula>COUNTIF($B28:Z28, "C")</formula>
    </cfRule>
  </conditionalFormatting>
  <conditionalFormatting sqref="B18:C18">
    <cfRule type="expression" dxfId="592" priority="5">
      <formula>COUNTIF($A18:Z18, "NI")</formula>
    </cfRule>
  </conditionalFormatting>
  <conditionalFormatting sqref="B18:C18">
    <cfRule type="expression" dxfId="591" priority="1">
      <formula>COUNTIF($B18:Z18, "C")</formula>
    </cfRule>
    <cfRule type="expression" dxfId="590" priority="2">
      <formula>COUNTIF($B18:Z18, "Q")</formula>
    </cfRule>
    <cfRule type="expression" dxfId="589" priority="3">
      <formula>COUNTIF($B18:Z18, "M")</formula>
    </cfRule>
  </conditionalFormatting>
  <conditionalFormatting sqref="B18:C18">
    <cfRule type="expression" dxfId="588" priority="4">
      <formula>COUNTIF($B18:Z18, "A")</formula>
    </cfRule>
  </conditionalFormatting>
  <conditionalFormatting sqref="C45:C46 C53:C55">
    <cfRule type="expression" dxfId="587" priority="1339">
      <formula>COUNTIF(#REF!, "C")</formula>
    </cfRule>
    <cfRule type="expression" dxfId="586" priority="1340">
      <formula>COUNTIF(#REF!, "Q")</formula>
    </cfRule>
    <cfRule type="expression" dxfId="585" priority="1341">
      <formula>COUNTIF(#REF!, "M")</formula>
    </cfRule>
    <cfRule type="expression" dxfId="584" priority="1342">
      <formula>COUNTIF(#REF!, "A")</formula>
    </cfRule>
    <cfRule type="expression" dxfId="583" priority="1343">
      <formula>COUNTIF(#REF!, "NI")</formula>
    </cfRule>
  </conditionalFormatting>
  <conditionalFormatting sqref="C49">
    <cfRule type="expression" dxfId="582" priority="1355">
      <formula>COUNTIF($B137:AA137, "C")</formula>
    </cfRule>
    <cfRule type="expression" dxfId="581" priority="1356">
      <formula>COUNTIF($B137:AA137, "Q")</formula>
    </cfRule>
    <cfRule type="expression" dxfId="580" priority="1357">
      <formula>COUNTIF($B137:AA137, "M")</formula>
    </cfRule>
    <cfRule type="expression" dxfId="579" priority="1358">
      <formula>COUNTIF($B137:AA137, "A")</formula>
    </cfRule>
    <cfRule type="expression" dxfId="578" priority="1359">
      <formula>COUNTIF($A137:AA137, "NI")</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7E6C1-5C57-45E1-A5F7-E34C085531A5}">
  <dimension ref="A1:N138"/>
  <sheetViews>
    <sheetView topLeftCell="D1" zoomScale="89" workbookViewId="0">
      <pane ySplit="3" topLeftCell="A4" activePane="bottomLeft" state="frozen"/>
      <selection activeCell="D1" sqref="D1"/>
      <selection pane="bottomLeft" activeCell="D1" sqref="D1"/>
    </sheetView>
  </sheetViews>
  <sheetFormatPr baseColWidth="10" defaultColWidth="8.88671875" defaultRowHeight="14.4" x14ac:dyDescent="0.3"/>
  <cols>
    <col min="1" max="1" width="11.33203125" customWidth="1"/>
    <col min="2" max="2" width="49.5546875" customWidth="1"/>
    <col min="3" max="3" width="9.109375" style="5"/>
    <col min="4" max="4" width="27.33203125" style="5" bestFit="1" customWidth="1"/>
    <col min="5" max="5" width="24.33203125" style="5" bestFit="1" customWidth="1"/>
    <col min="6" max="6" width="28.6640625" style="5" bestFit="1" customWidth="1"/>
    <col min="7" max="7" width="51" bestFit="1" customWidth="1"/>
    <col min="8" max="9" width="9.109375"/>
    <col min="10" max="10" width="21.6640625" customWidth="1"/>
  </cols>
  <sheetData>
    <row r="1" spans="1:14" x14ac:dyDescent="0.3">
      <c r="I1" s="366" t="s">
        <v>970</v>
      </c>
      <c r="J1" s="366"/>
    </row>
    <row r="2" spans="1:14" ht="18.75" customHeight="1" x14ac:dyDescent="0.35">
      <c r="A2" s="368" t="s">
        <v>816</v>
      </c>
      <c r="B2" s="369"/>
      <c r="C2" s="370"/>
      <c r="D2" s="104" t="s">
        <v>971</v>
      </c>
      <c r="E2" s="104" t="s">
        <v>971</v>
      </c>
      <c r="F2" s="104" t="s">
        <v>971</v>
      </c>
      <c r="G2" s="111" t="s">
        <v>817</v>
      </c>
      <c r="I2" s="105" t="s">
        <v>110</v>
      </c>
      <c r="J2" s="106" t="s">
        <v>972</v>
      </c>
    </row>
    <row r="3" spans="1:14" s="5" customFormat="1" x14ac:dyDescent="0.3">
      <c r="A3" s="110" t="s">
        <v>4</v>
      </c>
      <c r="B3" s="107" t="s">
        <v>739</v>
      </c>
      <c r="C3" s="107" t="s">
        <v>740</v>
      </c>
      <c r="D3" s="107" t="s">
        <v>973</v>
      </c>
      <c r="E3" s="107" t="s">
        <v>974</v>
      </c>
      <c r="F3" s="112" t="s">
        <v>975</v>
      </c>
      <c r="G3" s="3"/>
      <c r="I3" s="105" t="s">
        <v>16</v>
      </c>
      <c r="J3" s="106" t="s">
        <v>976</v>
      </c>
    </row>
    <row r="4" spans="1:14" ht="14.4" customHeight="1" x14ac:dyDescent="0.3">
      <c r="A4" s="1"/>
      <c r="B4" s="149" t="s">
        <v>249</v>
      </c>
      <c r="C4" s="6">
        <v>5</v>
      </c>
      <c r="D4" s="3"/>
      <c r="E4" s="150" t="s">
        <v>16</v>
      </c>
      <c r="F4" s="3" t="s">
        <v>16</v>
      </c>
      <c r="G4" s="1"/>
    </row>
    <row r="5" spans="1:14" ht="14.4" customHeight="1" x14ac:dyDescent="0.3">
      <c r="A5" s="1"/>
      <c r="B5" s="1" t="s">
        <v>253</v>
      </c>
      <c r="C5" s="6">
        <v>6</v>
      </c>
      <c r="D5" s="3"/>
      <c r="E5" s="3"/>
      <c r="F5" s="190"/>
      <c r="G5" s="1"/>
      <c r="M5">
        <v>1875</v>
      </c>
      <c r="N5">
        <f>+M5/3.34</f>
        <v>561.37724550898201</v>
      </c>
    </row>
    <row r="6" spans="1:14" ht="14.4" customHeight="1" x14ac:dyDescent="0.3">
      <c r="A6" s="1"/>
      <c r="B6" s="149" t="s">
        <v>255</v>
      </c>
      <c r="C6" s="6">
        <v>7</v>
      </c>
      <c r="D6" s="3" t="s">
        <v>16</v>
      </c>
      <c r="E6" s="150"/>
      <c r="F6" s="190"/>
      <c r="G6" s="1"/>
    </row>
    <row r="7" spans="1:14" ht="14.4" customHeight="1" x14ac:dyDescent="0.3">
      <c r="A7" s="1"/>
      <c r="B7" s="36" t="s">
        <v>305</v>
      </c>
      <c r="C7" s="6">
        <v>10</v>
      </c>
      <c r="D7" s="3" t="s">
        <v>16</v>
      </c>
      <c r="E7" s="3"/>
      <c r="F7" s="190"/>
      <c r="G7" s="1"/>
    </row>
    <row r="8" spans="1:14" ht="14.4" customHeight="1" x14ac:dyDescent="0.3">
      <c r="A8" s="1"/>
      <c r="B8" s="288" t="s">
        <v>278</v>
      </c>
      <c r="C8" s="6">
        <v>10</v>
      </c>
      <c r="D8" s="3"/>
      <c r="E8" s="150" t="s">
        <v>16</v>
      </c>
      <c r="F8" s="190"/>
      <c r="G8" s="1"/>
    </row>
    <row r="9" spans="1:14" ht="14.4" customHeight="1" x14ac:dyDescent="0.3">
      <c r="A9" s="1"/>
      <c r="B9" s="1" t="s">
        <v>38</v>
      </c>
      <c r="C9" s="6">
        <v>11</v>
      </c>
      <c r="D9" s="3"/>
      <c r="E9" s="3"/>
      <c r="F9" s="190"/>
      <c r="G9" s="1"/>
    </row>
    <row r="10" spans="1:14" ht="14.4" customHeight="1" x14ac:dyDescent="0.3">
      <c r="A10" s="1"/>
      <c r="B10" s="1" t="s">
        <v>41</v>
      </c>
      <c r="C10" s="6">
        <v>11</v>
      </c>
      <c r="D10" s="3"/>
      <c r="E10" s="3"/>
      <c r="F10" s="3" t="s">
        <v>16</v>
      </c>
      <c r="G10" s="1"/>
    </row>
    <row r="11" spans="1:14" ht="14.4" customHeight="1" x14ac:dyDescent="0.3">
      <c r="A11" s="1"/>
      <c r="B11" s="1" t="s">
        <v>53</v>
      </c>
      <c r="C11" s="6">
        <v>11</v>
      </c>
      <c r="D11" s="3" t="s">
        <v>28</v>
      </c>
      <c r="E11" s="3" t="s">
        <v>28</v>
      </c>
      <c r="F11" s="190" t="s">
        <v>28</v>
      </c>
      <c r="G11" s="1"/>
    </row>
    <row r="12" spans="1:14" ht="14.4" customHeight="1" x14ac:dyDescent="0.3">
      <c r="A12" s="1"/>
      <c r="B12" s="1" t="s">
        <v>284</v>
      </c>
      <c r="C12" s="6">
        <v>11</v>
      </c>
      <c r="D12" s="3"/>
      <c r="E12" s="3" t="s">
        <v>28</v>
      </c>
      <c r="F12" s="3"/>
      <c r="G12" s="1"/>
    </row>
    <row r="13" spans="1:14" ht="14.4" customHeight="1" x14ac:dyDescent="0.3">
      <c r="A13" s="1"/>
      <c r="B13" s="149" t="s">
        <v>575</v>
      </c>
      <c r="C13" s="6">
        <v>11</v>
      </c>
      <c r="D13" s="3" t="s">
        <v>16</v>
      </c>
      <c r="E13" s="150" t="s">
        <v>16</v>
      </c>
      <c r="F13" s="190"/>
      <c r="G13" s="1" t="s">
        <v>934</v>
      </c>
    </row>
    <row r="14" spans="1:14" ht="14.4" customHeight="1" x14ac:dyDescent="0.3">
      <c r="A14" s="1"/>
      <c r="B14" s="36" t="s">
        <v>300</v>
      </c>
      <c r="C14" s="6">
        <v>12</v>
      </c>
      <c r="D14" s="3"/>
      <c r="E14" s="3"/>
      <c r="F14" s="3"/>
      <c r="G14" s="1"/>
    </row>
    <row r="15" spans="1:14" ht="14.4" customHeight="1" x14ac:dyDescent="0.3">
      <c r="A15" s="1"/>
      <c r="B15" s="1" t="s">
        <v>304</v>
      </c>
      <c r="C15" s="6">
        <v>12</v>
      </c>
      <c r="D15" s="48"/>
      <c r="E15" s="48"/>
      <c r="F15" s="3"/>
      <c r="G15" s="1"/>
    </row>
    <row r="16" spans="1:14" ht="14.4" customHeight="1" x14ac:dyDescent="0.3">
      <c r="A16" s="1"/>
      <c r="B16" s="1" t="s">
        <v>295</v>
      </c>
      <c r="C16" s="154">
        <v>12</v>
      </c>
      <c r="D16" s="14"/>
      <c r="E16" s="14" t="s">
        <v>28</v>
      </c>
      <c r="F16" s="252"/>
      <c r="G16" s="1"/>
    </row>
    <row r="17" spans="1:7" x14ac:dyDescent="0.3">
      <c r="A17" s="1"/>
      <c r="B17" s="1" t="s">
        <v>46</v>
      </c>
      <c r="C17" s="6">
        <v>12</v>
      </c>
      <c r="D17" s="3"/>
      <c r="E17" s="3" t="s">
        <v>28</v>
      </c>
      <c r="F17" s="190" t="s">
        <v>28</v>
      </c>
      <c r="G17" s="1"/>
    </row>
    <row r="18" spans="1:7" x14ac:dyDescent="0.3">
      <c r="A18" s="1"/>
      <c r="B18" s="149" t="s">
        <v>62</v>
      </c>
      <c r="C18" s="6">
        <v>13</v>
      </c>
      <c r="D18" s="3" t="s">
        <v>28</v>
      </c>
      <c r="E18" s="150" t="s">
        <v>16</v>
      </c>
      <c r="F18" s="190"/>
      <c r="G18" s="1"/>
    </row>
    <row r="19" spans="1:7" x14ac:dyDescent="0.3">
      <c r="A19" s="1"/>
      <c r="B19" s="1" t="s">
        <v>979</v>
      </c>
      <c r="C19" s="6">
        <v>13</v>
      </c>
      <c r="D19" s="3" t="s">
        <v>28</v>
      </c>
      <c r="E19" s="3"/>
      <c r="F19" s="190"/>
      <c r="G19" s="1"/>
    </row>
    <row r="20" spans="1:7" x14ac:dyDescent="0.3">
      <c r="A20" s="1"/>
      <c r="B20" s="1" t="s">
        <v>328</v>
      </c>
      <c r="C20" s="6">
        <v>14</v>
      </c>
      <c r="D20" s="3" t="s">
        <v>28</v>
      </c>
      <c r="E20" s="3" t="s">
        <v>28</v>
      </c>
      <c r="F20" s="3" t="s">
        <v>28</v>
      </c>
      <c r="G20" s="1"/>
    </row>
    <row r="21" spans="1:7" x14ac:dyDescent="0.3">
      <c r="A21" s="1"/>
      <c r="B21" s="36" t="s">
        <v>331</v>
      </c>
      <c r="C21" s="6">
        <v>14</v>
      </c>
      <c r="D21" s="3"/>
      <c r="E21" s="3"/>
      <c r="F21" s="190"/>
      <c r="G21" s="1"/>
    </row>
    <row r="22" spans="1:7" x14ac:dyDescent="0.3">
      <c r="A22" s="1"/>
      <c r="B22" s="1" t="s">
        <v>155</v>
      </c>
      <c r="C22" s="6">
        <v>14</v>
      </c>
      <c r="D22" s="3"/>
      <c r="E22" s="3"/>
      <c r="F22" s="190"/>
      <c r="G22" s="1"/>
    </row>
    <row r="23" spans="1:7" x14ac:dyDescent="0.3">
      <c r="A23" s="1"/>
      <c r="B23" s="149" t="s">
        <v>342</v>
      </c>
      <c r="C23" s="6">
        <v>15</v>
      </c>
      <c r="D23" s="48" t="s">
        <v>16</v>
      </c>
      <c r="E23" s="150"/>
      <c r="F23" s="190"/>
      <c r="G23" s="1"/>
    </row>
    <row r="24" spans="1:7" x14ac:dyDescent="0.3">
      <c r="A24" s="1"/>
      <c r="B24" s="1" t="s">
        <v>340</v>
      </c>
      <c r="C24" s="6">
        <v>15</v>
      </c>
      <c r="D24" s="48"/>
      <c r="E24" s="48"/>
      <c r="F24" s="190"/>
      <c r="G24" s="1"/>
    </row>
    <row r="25" spans="1:7" x14ac:dyDescent="0.3">
      <c r="A25" s="1"/>
      <c r="B25" s="1" t="s">
        <v>336</v>
      </c>
      <c r="C25" s="6">
        <v>15</v>
      </c>
      <c r="D25" s="48"/>
      <c r="E25" s="48"/>
      <c r="F25" s="190" t="s">
        <v>16</v>
      </c>
      <c r="G25" s="1"/>
    </row>
    <row r="26" spans="1:7" x14ac:dyDescent="0.3">
      <c r="A26" s="1"/>
      <c r="B26" s="36" t="s">
        <v>354</v>
      </c>
      <c r="C26" s="6">
        <v>16</v>
      </c>
      <c r="D26" s="3"/>
      <c r="E26" s="3"/>
      <c r="F26" s="3"/>
      <c r="G26" s="1"/>
    </row>
    <row r="27" spans="1:7" x14ac:dyDescent="0.3">
      <c r="A27" s="1"/>
      <c r="B27" s="36" t="s">
        <v>355</v>
      </c>
      <c r="C27" s="6">
        <v>16</v>
      </c>
      <c r="D27" s="3"/>
      <c r="E27" s="3"/>
      <c r="F27" s="190"/>
      <c r="G27" s="1"/>
    </row>
    <row r="28" spans="1:7" x14ac:dyDescent="0.3">
      <c r="A28" s="1"/>
      <c r="B28" s="1" t="s">
        <v>105</v>
      </c>
      <c r="C28" s="6">
        <v>16</v>
      </c>
      <c r="D28" s="3"/>
      <c r="E28" s="3"/>
      <c r="F28" s="190"/>
      <c r="G28" s="1"/>
    </row>
    <row r="29" spans="1:7" x14ac:dyDescent="0.3">
      <c r="A29" s="1"/>
      <c r="B29" s="36" t="s">
        <v>359</v>
      </c>
      <c r="C29" s="6">
        <v>16</v>
      </c>
      <c r="D29" s="3"/>
      <c r="E29" s="3"/>
      <c r="F29" s="190"/>
      <c r="G29" s="1"/>
    </row>
    <row r="30" spans="1:7" x14ac:dyDescent="0.3">
      <c r="A30" s="1"/>
      <c r="B30" s="1" t="s">
        <v>101</v>
      </c>
      <c r="C30" s="6">
        <v>16</v>
      </c>
      <c r="D30" s="3"/>
      <c r="E30" s="3"/>
      <c r="F30" s="190"/>
      <c r="G30" s="1"/>
    </row>
    <row r="31" spans="1:7" x14ac:dyDescent="0.3">
      <c r="A31" s="1"/>
      <c r="B31" s="149" t="s">
        <v>360</v>
      </c>
      <c r="C31" s="6">
        <v>16</v>
      </c>
      <c r="D31" s="3"/>
      <c r="E31" s="150" t="s">
        <v>16</v>
      </c>
      <c r="F31" s="190"/>
      <c r="G31" s="1"/>
    </row>
    <row r="32" spans="1:7" x14ac:dyDescent="0.3">
      <c r="A32" s="1"/>
      <c r="B32" s="1" t="s">
        <v>368</v>
      </c>
      <c r="C32" s="6">
        <v>17</v>
      </c>
      <c r="D32" s="3"/>
      <c r="E32" s="3"/>
      <c r="F32" s="3"/>
      <c r="G32" s="1"/>
    </row>
    <row r="33" spans="1:7" x14ac:dyDescent="0.3">
      <c r="A33" s="1"/>
      <c r="B33" s="1" t="s">
        <v>370</v>
      </c>
      <c r="C33" s="6">
        <v>17</v>
      </c>
      <c r="D33" s="3"/>
      <c r="E33" s="3"/>
      <c r="F33" s="190"/>
      <c r="G33" s="1"/>
    </row>
    <row r="34" spans="1:7" x14ac:dyDescent="0.3">
      <c r="A34" s="1"/>
      <c r="B34" s="36" t="s">
        <v>376</v>
      </c>
      <c r="C34" s="6">
        <v>17</v>
      </c>
      <c r="D34" s="3"/>
      <c r="E34" s="3"/>
      <c r="F34" s="190"/>
      <c r="G34" s="1"/>
    </row>
    <row r="35" spans="1:7" x14ac:dyDescent="0.3">
      <c r="A35" s="1"/>
      <c r="B35" s="1" t="s">
        <v>625</v>
      </c>
      <c r="C35" s="6">
        <v>17</v>
      </c>
      <c r="D35" s="3"/>
      <c r="E35" s="3"/>
      <c r="F35" s="190"/>
      <c r="G35" s="1"/>
    </row>
    <row r="36" spans="1:7" x14ac:dyDescent="0.3">
      <c r="A36" s="1"/>
      <c r="B36" s="1" t="s">
        <v>379</v>
      </c>
      <c r="C36" s="6">
        <v>18</v>
      </c>
      <c r="D36" s="189" t="s">
        <v>16</v>
      </c>
      <c r="E36" s="3"/>
      <c r="F36" s="190" t="s">
        <v>16</v>
      </c>
      <c r="G36" s="1"/>
    </row>
    <row r="37" spans="1:7" x14ac:dyDescent="0.3">
      <c r="A37" s="1"/>
      <c r="B37" s="1" t="s">
        <v>128</v>
      </c>
      <c r="C37" s="6">
        <v>18</v>
      </c>
      <c r="D37" s="3"/>
      <c r="E37" s="3"/>
      <c r="F37" s="190"/>
      <c r="G37" s="1"/>
    </row>
    <row r="38" spans="1:7" x14ac:dyDescent="0.3">
      <c r="A38" s="1"/>
      <c r="B38" s="1" t="s">
        <v>127</v>
      </c>
      <c r="C38" s="6">
        <v>18</v>
      </c>
      <c r="D38" s="3"/>
      <c r="E38" s="3"/>
      <c r="F38" s="190"/>
      <c r="G38" s="1"/>
    </row>
    <row r="39" spans="1:7" x14ac:dyDescent="0.3">
      <c r="A39" s="1"/>
      <c r="B39" s="1" t="s">
        <v>134</v>
      </c>
      <c r="C39" s="6">
        <v>18</v>
      </c>
      <c r="D39" s="3"/>
      <c r="E39" s="3" t="s">
        <v>28</v>
      </c>
      <c r="F39" s="190"/>
      <c r="G39" s="1"/>
    </row>
    <row r="40" spans="1:7" x14ac:dyDescent="0.3">
      <c r="A40" s="1"/>
      <c r="B40" s="9" t="s">
        <v>981</v>
      </c>
      <c r="C40" s="177">
        <v>18</v>
      </c>
      <c r="D40" s="14"/>
      <c r="E40" s="14"/>
      <c r="F40" s="252"/>
      <c r="G40" s="1"/>
    </row>
    <row r="41" spans="1:7" x14ac:dyDescent="0.3">
      <c r="A41" s="1"/>
      <c r="B41" s="9" t="s">
        <v>383</v>
      </c>
      <c r="C41" s="19">
        <v>19</v>
      </c>
      <c r="D41" s="3"/>
      <c r="E41" s="3"/>
      <c r="F41" s="190"/>
      <c r="G41" s="1"/>
    </row>
    <row r="42" spans="1:7" x14ac:dyDescent="0.3">
      <c r="A42" s="1"/>
      <c r="B42" s="9" t="s">
        <v>384</v>
      </c>
      <c r="C42" s="19">
        <v>19</v>
      </c>
      <c r="D42" s="14"/>
      <c r="E42" s="189"/>
      <c r="F42" s="190"/>
      <c r="G42" s="1"/>
    </row>
    <row r="43" spans="1:7" x14ac:dyDescent="0.3">
      <c r="A43" s="1"/>
      <c r="B43" s="163" t="s">
        <v>98</v>
      </c>
      <c r="C43" s="19">
        <v>19</v>
      </c>
      <c r="D43" s="14"/>
      <c r="E43" s="189"/>
      <c r="F43" s="190"/>
      <c r="G43" s="1"/>
    </row>
    <row r="44" spans="1:7" x14ac:dyDescent="0.3">
      <c r="A44" s="1"/>
      <c r="B44" s="9" t="s">
        <v>385</v>
      </c>
      <c r="C44" s="19">
        <v>19</v>
      </c>
      <c r="D44" s="3"/>
      <c r="E44" s="3"/>
      <c r="F44" s="190"/>
      <c r="G44" s="1"/>
    </row>
    <row r="45" spans="1:7" x14ac:dyDescent="0.3">
      <c r="A45" s="1"/>
      <c r="B45" s="9" t="s">
        <v>386</v>
      </c>
      <c r="C45" s="19">
        <v>19</v>
      </c>
      <c r="D45" s="14"/>
      <c r="E45" s="189"/>
      <c r="F45" s="190"/>
      <c r="G45" s="1"/>
    </row>
    <row r="46" spans="1:7" x14ac:dyDescent="0.3">
      <c r="A46" s="1"/>
      <c r="B46" s="9" t="s">
        <v>146</v>
      </c>
      <c r="C46" s="19">
        <v>19</v>
      </c>
      <c r="D46" s="14"/>
      <c r="E46" s="189"/>
      <c r="F46" s="190"/>
      <c r="G46" s="1"/>
    </row>
    <row r="47" spans="1:7" x14ac:dyDescent="0.3">
      <c r="A47" s="1"/>
      <c r="B47" s="9" t="s">
        <v>109</v>
      </c>
      <c r="C47" s="19">
        <v>19</v>
      </c>
      <c r="D47" s="3"/>
      <c r="E47" s="3"/>
      <c r="F47" s="190"/>
      <c r="G47" s="1"/>
    </row>
    <row r="48" spans="1:7" x14ac:dyDescent="0.3">
      <c r="A48" s="1"/>
      <c r="B48" s="9" t="s">
        <v>175</v>
      </c>
      <c r="C48" s="19">
        <v>19</v>
      </c>
      <c r="D48" s="14"/>
      <c r="E48" s="189"/>
      <c r="F48" s="190"/>
      <c r="G48" s="1"/>
    </row>
    <row r="49" spans="1:7" x14ac:dyDescent="0.3">
      <c r="A49" s="1"/>
      <c r="B49" s="9" t="s">
        <v>143</v>
      </c>
      <c r="C49" s="19">
        <v>19</v>
      </c>
      <c r="D49" s="14"/>
      <c r="E49" s="189"/>
      <c r="F49" s="190"/>
      <c r="G49" s="1"/>
    </row>
    <row r="50" spans="1:7" x14ac:dyDescent="0.3">
      <c r="A50" s="1"/>
      <c r="B50" s="9" t="s">
        <v>150</v>
      </c>
      <c r="C50" s="19">
        <v>19</v>
      </c>
      <c r="D50" s="3"/>
      <c r="E50" s="3"/>
      <c r="F50" s="190"/>
      <c r="G50" s="1"/>
    </row>
    <row r="51" spans="1:7" x14ac:dyDescent="0.3">
      <c r="A51" s="1"/>
      <c r="B51" s="9" t="s">
        <v>140</v>
      </c>
      <c r="C51" s="19">
        <v>19</v>
      </c>
      <c r="D51" s="14"/>
      <c r="E51" s="189"/>
      <c r="F51" s="190"/>
      <c r="G51" s="1"/>
    </row>
    <row r="52" spans="1:7" x14ac:dyDescent="0.3">
      <c r="A52" s="1"/>
      <c r="B52" s="9" t="s">
        <v>388</v>
      </c>
      <c r="C52" s="19">
        <v>19</v>
      </c>
      <c r="D52" s="14"/>
      <c r="E52" s="189"/>
      <c r="F52" s="190"/>
      <c r="G52" s="1"/>
    </row>
    <row r="53" spans="1:7" x14ac:dyDescent="0.3">
      <c r="A53" s="1"/>
      <c r="B53" s="9" t="s">
        <v>389</v>
      </c>
      <c r="C53" s="19">
        <v>19</v>
      </c>
      <c r="D53" s="14"/>
      <c r="E53" s="189"/>
      <c r="F53" s="190"/>
      <c r="G53" s="1"/>
    </row>
    <row r="54" spans="1:7" x14ac:dyDescent="0.3">
      <c r="A54" s="1"/>
      <c r="B54" s="9" t="s">
        <v>390</v>
      </c>
      <c r="C54" s="19">
        <v>19</v>
      </c>
      <c r="D54" s="14"/>
      <c r="E54" s="292"/>
      <c r="F54" s="190"/>
      <c r="G54" s="1"/>
    </row>
    <row r="55" spans="1:7" x14ac:dyDescent="0.3">
      <c r="A55" s="1"/>
      <c r="B55" s="9" t="s">
        <v>154</v>
      </c>
      <c r="C55" s="19">
        <v>19</v>
      </c>
      <c r="D55" s="14"/>
      <c r="E55" s="292"/>
      <c r="F55" s="190"/>
      <c r="G55" s="1"/>
    </row>
    <row r="56" spans="1:7" x14ac:dyDescent="0.3">
      <c r="A56" s="1"/>
      <c r="B56" s="9" t="s">
        <v>149</v>
      </c>
      <c r="C56" s="19">
        <v>19</v>
      </c>
      <c r="D56" s="14"/>
      <c r="E56" s="189"/>
      <c r="F56" s="190"/>
      <c r="G56" s="1"/>
    </row>
    <row r="57" spans="1:7" x14ac:dyDescent="0.3">
      <c r="A57" s="1"/>
      <c r="B57" s="9" t="s">
        <v>152</v>
      </c>
      <c r="C57" s="19">
        <v>19</v>
      </c>
      <c r="D57" s="14"/>
      <c r="E57" s="189"/>
      <c r="F57" s="190"/>
      <c r="G57" s="1"/>
    </row>
    <row r="58" spans="1:7" x14ac:dyDescent="0.3">
      <c r="A58" s="1"/>
      <c r="B58" s="9" t="s">
        <v>151</v>
      </c>
      <c r="C58" s="19">
        <v>19</v>
      </c>
      <c r="D58" s="78"/>
      <c r="E58" s="187"/>
      <c r="F58" s="190"/>
      <c r="G58" s="1"/>
    </row>
    <row r="59" spans="1:7" x14ac:dyDescent="0.3">
      <c r="A59" s="1"/>
      <c r="B59" s="9" t="s">
        <v>392</v>
      </c>
      <c r="C59" s="157">
        <v>19</v>
      </c>
      <c r="D59" s="14" t="s">
        <v>16</v>
      </c>
      <c r="E59" s="150" t="s">
        <v>16</v>
      </c>
      <c r="F59" s="252"/>
      <c r="G59" s="1"/>
    </row>
    <row r="60" spans="1:7" x14ac:dyDescent="0.3">
      <c r="A60" s="1"/>
      <c r="B60" s="68" t="s">
        <v>144</v>
      </c>
      <c r="C60" s="95">
        <v>19</v>
      </c>
      <c r="D60" s="216"/>
      <c r="E60" s="188"/>
      <c r="F60" s="190"/>
      <c r="G60" s="1"/>
    </row>
    <row r="61" spans="1:7" x14ac:dyDescent="0.3">
      <c r="A61" s="1"/>
      <c r="B61" s="1" t="s">
        <v>142</v>
      </c>
      <c r="C61" s="6">
        <v>19</v>
      </c>
      <c r="D61" s="14"/>
      <c r="E61" s="189"/>
      <c r="F61" s="190"/>
      <c r="G61" s="1"/>
    </row>
    <row r="62" spans="1:7" ht="15.6" x14ac:dyDescent="0.3">
      <c r="A62" s="1"/>
      <c r="B62" s="184" t="s">
        <v>982</v>
      </c>
      <c r="C62" s="183">
        <v>20</v>
      </c>
      <c r="D62" s="189"/>
      <c r="E62" s="189"/>
      <c r="F62" s="189"/>
      <c r="G62" s="1"/>
    </row>
    <row r="63" spans="1:7" x14ac:dyDescent="0.3">
      <c r="A63" s="1"/>
      <c r="B63" s="9" t="s">
        <v>145</v>
      </c>
      <c r="C63" s="19">
        <v>20</v>
      </c>
      <c r="D63" s="189" t="s">
        <v>110</v>
      </c>
      <c r="E63" s="3" t="s">
        <v>110</v>
      </c>
      <c r="F63" s="190" t="s">
        <v>110</v>
      </c>
      <c r="G63" s="1"/>
    </row>
    <row r="64" spans="1:7" ht="15.6" x14ac:dyDescent="0.3">
      <c r="A64" s="1"/>
      <c r="B64" s="184" t="s">
        <v>395</v>
      </c>
      <c r="C64" s="183">
        <v>20</v>
      </c>
      <c r="D64" s="189"/>
      <c r="E64" s="150"/>
      <c r="F64" s="190" t="s">
        <v>35</v>
      </c>
      <c r="G64" s="1"/>
    </row>
    <row r="65" spans="1:7" ht="15.6" x14ac:dyDescent="0.3">
      <c r="A65" s="1"/>
      <c r="B65" s="184" t="s">
        <v>147</v>
      </c>
      <c r="C65" s="183">
        <v>20</v>
      </c>
      <c r="D65" s="189" t="s">
        <v>110</v>
      </c>
      <c r="E65" s="3" t="s">
        <v>110</v>
      </c>
      <c r="F65" s="190" t="s">
        <v>110</v>
      </c>
      <c r="G65" s="1"/>
    </row>
    <row r="66" spans="1:7" ht="15.6" x14ac:dyDescent="0.3">
      <c r="A66" s="1"/>
      <c r="B66" s="184" t="s">
        <v>166</v>
      </c>
      <c r="C66" s="183">
        <v>20</v>
      </c>
      <c r="D66" s="189"/>
      <c r="E66" s="150"/>
      <c r="F66" s="190"/>
      <c r="G66" s="1"/>
    </row>
    <row r="67" spans="1:7" ht="15.6" x14ac:dyDescent="0.3">
      <c r="A67" s="1"/>
      <c r="B67" s="289" t="s">
        <v>396</v>
      </c>
      <c r="C67" s="183">
        <v>20</v>
      </c>
      <c r="D67" s="189" t="s">
        <v>28</v>
      </c>
      <c r="E67" s="150" t="s">
        <v>16</v>
      </c>
      <c r="F67" s="190" t="s">
        <v>28</v>
      </c>
      <c r="G67" s="1"/>
    </row>
    <row r="68" spans="1:7" ht="15.6" x14ac:dyDescent="0.3">
      <c r="A68" s="1"/>
      <c r="B68" s="184" t="s">
        <v>393</v>
      </c>
      <c r="C68" s="183">
        <v>20</v>
      </c>
      <c r="D68" s="189" t="s">
        <v>110</v>
      </c>
      <c r="E68" s="3" t="s">
        <v>110</v>
      </c>
      <c r="F68" s="190"/>
      <c r="G68" s="1"/>
    </row>
    <row r="69" spans="1:7" ht="15.6" x14ac:dyDescent="0.3">
      <c r="A69" s="1"/>
      <c r="B69" s="184" t="s">
        <v>167</v>
      </c>
      <c r="C69" s="183">
        <v>20</v>
      </c>
      <c r="D69" s="189"/>
      <c r="E69" s="3"/>
      <c r="F69" s="190"/>
      <c r="G69" s="1"/>
    </row>
    <row r="70" spans="1:7" ht="15.6" x14ac:dyDescent="0.3">
      <c r="A70" s="1"/>
      <c r="B70" s="184" t="s">
        <v>153</v>
      </c>
      <c r="C70" s="183">
        <v>20</v>
      </c>
      <c r="D70" s="189"/>
      <c r="E70" s="3"/>
      <c r="F70" s="190"/>
      <c r="G70" s="1"/>
    </row>
    <row r="71" spans="1:7" ht="15.6" x14ac:dyDescent="0.3">
      <c r="A71" s="1"/>
      <c r="B71" s="184" t="s">
        <v>156</v>
      </c>
      <c r="C71" s="183">
        <v>20</v>
      </c>
      <c r="D71" s="189"/>
      <c r="E71" s="3"/>
      <c r="F71" s="190"/>
      <c r="G71" s="1"/>
    </row>
    <row r="72" spans="1:7" ht="15.6" x14ac:dyDescent="0.3">
      <c r="A72" s="1"/>
      <c r="B72" s="184" t="s">
        <v>397</v>
      </c>
      <c r="C72" s="183">
        <v>20</v>
      </c>
      <c r="D72" s="189"/>
      <c r="E72" s="3"/>
      <c r="F72" s="190"/>
      <c r="G72" s="1"/>
    </row>
    <row r="73" spans="1:7" ht="15.6" x14ac:dyDescent="0.3">
      <c r="A73" s="1"/>
      <c r="B73" s="184" t="s">
        <v>400</v>
      </c>
      <c r="C73" s="183">
        <v>20</v>
      </c>
      <c r="D73" s="189"/>
      <c r="E73" s="3"/>
      <c r="F73" s="190"/>
      <c r="G73" s="1"/>
    </row>
    <row r="74" spans="1:7" ht="15.6" x14ac:dyDescent="0.3">
      <c r="A74" s="1"/>
      <c r="B74" s="184" t="s">
        <v>161</v>
      </c>
      <c r="C74" s="183">
        <v>20</v>
      </c>
      <c r="D74" s="189"/>
      <c r="E74" s="3"/>
      <c r="F74" s="190"/>
      <c r="G74" s="1"/>
    </row>
    <row r="75" spans="1:7" ht="15.6" x14ac:dyDescent="0.3">
      <c r="A75" s="1"/>
      <c r="B75" s="184" t="s">
        <v>394</v>
      </c>
      <c r="C75" s="183">
        <v>20</v>
      </c>
      <c r="D75" s="189"/>
      <c r="E75" s="3"/>
      <c r="F75" s="190"/>
      <c r="G75" s="1"/>
    </row>
    <row r="76" spans="1:7" ht="15.6" x14ac:dyDescent="0.3">
      <c r="A76" s="1"/>
      <c r="B76" s="184" t="s">
        <v>158</v>
      </c>
      <c r="C76" s="183">
        <v>20</v>
      </c>
      <c r="D76" s="189"/>
      <c r="E76" s="3"/>
      <c r="F76" s="190"/>
      <c r="G76" s="1"/>
    </row>
    <row r="77" spans="1:7" ht="15.6" x14ac:dyDescent="0.3">
      <c r="A77" s="1"/>
      <c r="B77" s="184" t="s">
        <v>398</v>
      </c>
      <c r="C77" s="183">
        <v>20</v>
      </c>
      <c r="D77" s="189"/>
      <c r="E77" s="3"/>
      <c r="F77" s="190"/>
      <c r="G77" s="1"/>
    </row>
    <row r="78" spans="1:7" ht="15.6" x14ac:dyDescent="0.3">
      <c r="A78" s="1"/>
      <c r="B78" s="243" t="s">
        <v>833</v>
      </c>
      <c r="C78" s="19">
        <v>21</v>
      </c>
      <c r="D78" s="189"/>
      <c r="E78" s="189"/>
      <c r="F78" s="189"/>
      <c r="G78" s="1"/>
    </row>
    <row r="79" spans="1:7" x14ac:dyDescent="0.3">
      <c r="A79" s="1"/>
      <c r="B79" t="s">
        <v>1026</v>
      </c>
      <c r="C79" s="19">
        <v>21</v>
      </c>
      <c r="D79" s="189"/>
      <c r="E79" s="3"/>
      <c r="F79" s="190"/>
      <c r="G79" s="1"/>
    </row>
    <row r="80" spans="1:7" ht="15.6" x14ac:dyDescent="0.3">
      <c r="A80" s="1"/>
      <c r="B80" s="182" t="s">
        <v>836</v>
      </c>
      <c r="C80" s="99">
        <v>21</v>
      </c>
      <c r="D80" s="189"/>
      <c r="E80" s="3"/>
      <c r="F80" s="190"/>
      <c r="G80" s="1"/>
    </row>
    <row r="81" spans="1:7" ht="15.6" x14ac:dyDescent="0.3">
      <c r="A81" s="1"/>
      <c r="B81" s="182" t="s">
        <v>839</v>
      </c>
      <c r="C81" s="186">
        <v>21</v>
      </c>
      <c r="D81" s="189"/>
      <c r="E81" s="3"/>
      <c r="F81" s="190" t="s">
        <v>16</v>
      </c>
      <c r="G81" s="1"/>
    </row>
    <row r="82" spans="1:7" ht="15.6" x14ac:dyDescent="0.3">
      <c r="A82" s="1"/>
      <c r="B82" s="243" t="s">
        <v>837</v>
      </c>
      <c r="C82" s="99">
        <v>21</v>
      </c>
      <c r="D82" s="189"/>
      <c r="E82" s="3"/>
      <c r="F82" s="190"/>
      <c r="G82" s="1"/>
    </row>
    <row r="83" spans="1:7" ht="15.6" x14ac:dyDescent="0.3">
      <c r="A83" s="1"/>
      <c r="B83" s="243" t="s">
        <v>834</v>
      </c>
      <c r="C83" s="19">
        <v>21</v>
      </c>
      <c r="D83" s="189"/>
      <c r="E83" s="3"/>
      <c r="F83" s="190"/>
      <c r="G83" s="1"/>
    </row>
    <row r="84" spans="1:7" x14ac:dyDescent="0.3">
      <c r="A84" s="1" t="s">
        <v>110</v>
      </c>
      <c r="B84" s="1" t="s">
        <v>835</v>
      </c>
      <c r="C84" s="19">
        <v>21</v>
      </c>
      <c r="D84" s="189"/>
      <c r="E84" s="189"/>
      <c r="F84" s="189"/>
      <c r="G84" s="1"/>
    </row>
    <row r="85" spans="1:7" ht="15.6" x14ac:dyDescent="0.3">
      <c r="A85" s="1"/>
      <c r="B85" s="243" t="s">
        <v>832</v>
      </c>
      <c r="C85" s="19">
        <v>21</v>
      </c>
      <c r="D85" s="189"/>
      <c r="E85" s="3"/>
      <c r="F85" s="190"/>
      <c r="G85" s="1"/>
    </row>
    <row r="86" spans="1:7" ht="15.6" x14ac:dyDescent="0.3">
      <c r="A86" s="1"/>
      <c r="B86" s="243" t="s">
        <v>983</v>
      </c>
      <c r="C86" s="19">
        <v>21</v>
      </c>
      <c r="D86" s="189"/>
      <c r="E86" s="3"/>
      <c r="F86" s="190"/>
      <c r="G86" s="1"/>
    </row>
    <row r="87" spans="1:7" ht="15.6" x14ac:dyDescent="0.3">
      <c r="A87" s="1"/>
      <c r="B87" s="243" t="s">
        <v>1027</v>
      </c>
      <c r="C87" s="19">
        <v>21</v>
      </c>
      <c r="D87" s="189"/>
      <c r="E87" s="189"/>
      <c r="F87" s="189"/>
      <c r="G87" s="1"/>
    </row>
    <row r="88" spans="1:7" ht="15.6" x14ac:dyDescent="0.3">
      <c r="A88" s="1"/>
      <c r="B88" s="243" t="s">
        <v>984</v>
      </c>
      <c r="C88" s="19">
        <v>21</v>
      </c>
      <c r="D88" s="187"/>
      <c r="E88" s="3"/>
      <c r="F88" s="190"/>
      <c r="G88" s="1"/>
    </row>
    <row r="89" spans="1:7" ht="15.6" x14ac:dyDescent="0.3">
      <c r="A89" s="1"/>
      <c r="B89" s="243" t="s">
        <v>985</v>
      </c>
      <c r="C89" s="157">
        <v>21</v>
      </c>
      <c r="D89" s="14"/>
      <c r="E89" s="189" t="s">
        <v>35</v>
      </c>
      <c r="F89" s="190"/>
      <c r="G89" s="1"/>
    </row>
    <row r="90" spans="1:7" ht="15.6" x14ac:dyDescent="0.3">
      <c r="A90" s="1"/>
      <c r="B90" s="243" t="s">
        <v>1028</v>
      </c>
      <c r="C90" s="19">
        <v>21</v>
      </c>
      <c r="D90" s="253"/>
      <c r="E90" s="48"/>
      <c r="F90" s="190"/>
      <c r="G90" s="1"/>
    </row>
    <row r="91" spans="1:7" ht="15.6" x14ac:dyDescent="0.3">
      <c r="A91" s="1"/>
      <c r="B91" s="243" t="s">
        <v>986</v>
      </c>
      <c r="C91" s="157">
        <v>21</v>
      </c>
      <c r="D91" s="14"/>
      <c r="E91" s="14"/>
      <c r="F91" s="252"/>
      <c r="G91" s="1"/>
    </row>
    <row r="92" spans="1:7" ht="15.6" x14ac:dyDescent="0.3">
      <c r="A92" s="1"/>
      <c r="B92" s="280" t="s">
        <v>987</v>
      </c>
      <c r="C92" s="178">
        <v>21</v>
      </c>
      <c r="D92" s="216"/>
      <c r="E92" s="293"/>
      <c r="F92" s="293"/>
      <c r="G92" s="33"/>
    </row>
    <row r="93" spans="1:7" x14ac:dyDescent="0.3">
      <c r="A93" s="1"/>
      <c r="B93" s="68" t="s">
        <v>848</v>
      </c>
      <c r="C93" s="99">
        <v>22</v>
      </c>
      <c r="D93" s="78"/>
      <c r="E93" s="14"/>
      <c r="F93" s="14"/>
      <c r="G93" s="9"/>
    </row>
    <row r="94" spans="1:7" ht="15.6" x14ac:dyDescent="0.3">
      <c r="A94" s="1"/>
      <c r="B94" s="182" t="s">
        <v>843</v>
      </c>
      <c r="C94" s="177">
        <v>22</v>
      </c>
      <c r="D94" s="14"/>
      <c r="E94" s="160"/>
      <c r="F94" s="14"/>
      <c r="G94" s="79"/>
    </row>
    <row r="95" spans="1:7" ht="15.6" x14ac:dyDescent="0.3">
      <c r="A95" s="1"/>
      <c r="B95" s="182" t="s">
        <v>988</v>
      </c>
      <c r="C95" s="99">
        <v>22</v>
      </c>
      <c r="D95" s="216"/>
      <c r="E95" s="150"/>
      <c r="F95" s="14" t="s">
        <v>16</v>
      </c>
      <c r="G95" s="79"/>
    </row>
    <row r="96" spans="1:7" ht="15.6" x14ac:dyDescent="0.3">
      <c r="A96" s="1"/>
      <c r="B96" s="182" t="s">
        <v>851</v>
      </c>
      <c r="C96" s="99">
        <v>22</v>
      </c>
      <c r="D96" s="216"/>
      <c r="E96" s="14"/>
      <c r="F96" s="14"/>
      <c r="G96" s="79"/>
    </row>
    <row r="97" spans="1:7" ht="15.6" x14ac:dyDescent="0.3">
      <c r="A97" s="1"/>
      <c r="B97" s="182" t="s">
        <v>1029</v>
      </c>
      <c r="C97" s="99">
        <v>22</v>
      </c>
      <c r="D97" s="216" t="s">
        <v>16</v>
      </c>
      <c r="E97" s="14"/>
      <c r="F97" s="14"/>
      <c r="G97" s="79"/>
    </row>
    <row r="98" spans="1:7" ht="15.6" x14ac:dyDescent="0.3">
      <c r="A98" s="1"/>
      <c r="B98" s="182" t="s">
        <v>860</v>
      </c>
      <c r="C98" s="99">
        <v>22</v>
      </c>
      <c r="D98" s="216"/>
      <c r="E98" s="294"/>
      <c r="F98" s="294"/>
      <c r="G98" s="79"/>
    </row>
    <row r="99" spans="1:7" ht="15.6" x14ac:dyDescent="0.3">
      <c r="A99" s="1"/>
      <c r="B99" s="182" t="s">
        <v>1030</v>
      </c>
      <c r="C99" s="99">
        <v>22</v>
      </c>
      <c r="D99" s="216"/>
      <c r="E99" s="14"/>
      <c r="F99" s="14"/>
      <c r="G99" s="79"/>
    </row>
    <row r="100" spans="1:7" ht="15.6" x14ac:dyDescent="0.3">
      <c r="A100" s="1"/>
      <c r="B100" s="182" t="s">
        <v>857</v>
      </c>
      <c r="C100" s="99">
        <v>22</v>
      </c>
      <c r="D100" s="216"/>
      <c r="E100" s="14"/>
      <c r="F100" s="14"/>
      <c r="G100" s="79"/>
    </row>
    <row r="101" spans="1:7" ht="15.6" x14ac:dyDescent="0.3">
      <c r="A101" s="1"/>
      <c r="B101" s="210" t="s">
        <v>841</v>
      </c>
      <c r="C101" s="99">
        <v>22</v>
      </c>
      <c r="D101" s="216"/>
      <c r="E101" s="14"/>
      <c r="F101" s="14" t="s">
        <v>16</v>
      </c>
      <c r="G101" s="79"/>
    </row>
    <row r="102" spans="1:7" x14ac:dyDescent="0.3">
      <c r="A102" s="9"/>
      <c r="B102" s="1" t="s">
        <v>404</v>
      </c>
      <c r="C102" s="6">
        <v>22</v>
      </c>
      <c r="D102" s="14" t="s">
        <v>28</v>
      </c>
      <c r="E102" s="14" t="s">
        <v>35</v>
      </c>
      <c r="F102" s="14" t="s">
        <v>16</v>
      </c>
      <c r="G102" s="233"/>
    </row>
    <row r="103" spans="1:7" x14ac:dyDescent="0.3">
      <c r="A103" s="1"/>
      <c r="B103" s="162" t="s">
        <v>414</v>
      </c>
      <c r="C103" s="99">
        <v>22</v>
      </c>
      <c r="D103" s="216" t="s">
        <v>16</v>
      </c>
      <c r="E103" s="150"/>
      <c r="F103" s="14"/>
      <c r="G103" s="79"/>
    </row>
    <row r="104" spans="1:7" ht="15.6" x14ac:dyDescent="0.3">
      <c r="A104" s="1"/>
      <c r="B104" s="290" t="s">
        <v>877</v>
      </c>
      <c r="C104" s="99">
        <v>23</v>
      </c>
      <c r="D104" s="216"/>
      <c r="E104" s="150" t="s">
        <v>16</v>
      </c>
      <c r="F104" s="14"/>
      <c r="G104" s="79"/>
    </row>
    <row r="105" spans="1:7" ht="15.6" x14ac:dyDescent="0.3">
      <c r="A105" s="1"/>
      <c r="B105" s="182" t="s">
        <v>989</v>
      </c>
      <c r="C105" s="99">
        <v>23</v>
      </c>
      <c r="D105" s="216" t="s">
        <v>28</v>
      </c>
      <c r="E105" s="14" t="s">
        <v>28</v>
      </c>
      <c r="F105" s="14" t="s">
        <v>28</v>
      </c>
      <c r="G105" s="79"/>
    </row>
    <row r="106" spans="1:7" ht="15.6" x14ac:dyDescent="0.3">
      <c r="A106" s="1"/>
      <c r="B106" s="182" t="s">
        <v>990</v>
      </c>
      <c r="C106" s="99">
        <v>23</v>
      </c>
      <c r="D106" s="216" t="s">
        <v>28</v>
      </c>
      <c r="E106" s="14" t="s">
        <v>28</v>
      </c>
      <c r="F106" s="14" t="s">
        <v>28</v>
      </c>
      <c r="G106" s="79"/>
    </row>
    <row r="107" spans="1:7" ht="15.6" x14ac:dyDescent="0.3">
      <c r="A107" s="1"/>
      <c r="B107" s="182" t="s">
        <v>991</v>
      </c>
      <c r="C107" s="99">
        <v>23</v>
      </c>
      <c r="D107" s="216"/>
      <c r="E107" s="14" t="s">
        <v>28</v>
      </c>
      <c r="F107" s="14" t="s">
        <v>28</v>
      </c>
      <c r="G107" s="79"/>
    </row>
    <row r="108" spans="1:7" ht="15.6" x14ac:dyDescent="0.3">
      <c r="A108" s="1"/>
      <c r="B108" s="215" t="s">
        <v>992</v>
      </c>
      <c r="C108" s="99">
        <v>23</v>
      </c>
      <c r="D108" s="216" t="s">
        <v>16</v>
      </c>
      <c r="E108" s="150" t="s">
        <v>16</v>
      </c>
      <c r="F108" s="14" t="s">
        <v>28</v>
      </c>
      <c r="G108" s="79"/>
    </row>
    <row r="109" spans="1:7" x14ac:dyDescent="0.3">
      <c r="A109" s="1"/>
      <c r="B109" s="236" t="s">
        <v>434</v>
      </c>
      <c r="C109" s="99">
        <v>23</v>
      </c>
      <c r="D109" s="216" t="s">
        <v>16</v>
      </c>
      <c r="E109" s="14"/>
      <c r="F109" s="14" t="s">
        <v>28</v>
      </c>
      <c r="G109" s="79"/>
    </row>
    <row r="110" spans="1:7" x14ac:dyDescent="0.3">
      <c r="A110" s="1"/>
      <c r="B110" s="291" t="s">
        <v>880</v>
      </c>
      <c r="C110" s="281">
        <v>23</v>
      </c>
      <c r="D110" s="282" t="s">
        <v>16</v>
      </c>
      <c r="E110" s="78"/>
      <c r="F110" s="78" t="s">
        <v>28</v>
      </c>
      <c r="G110" s="79"/>
    </row>
    <row r="111" spans="1:7" ht="15.6" x14ac:dyDescent="0.3">
      <c r="A111" s="62"/>
      <c r="B111" s="182" t="s">
        <v>993</v>
      </c>
      <c r="C111" s="19">
        <v>23</v>
      </c>
      <c r="D111" s="14"/>
      <c r="E111" s="14"/>
      <c r="F111" s="14" t="s">
        <v>28</v>
      </c>
      <c r="G111" s="204"/>
    </row>
    <row r="112" spans="1:7" ht="15.6" x14ac:dyDescent="0.3">
      <c r="A112" s="9"/>
      <c r="B112" s="284" t="s">
        <v>994</v>
      </c>
      <c r="C112" s="19">
        <v>23</v>
      </c>
      <c r="D112" s="14"/>
      <c r="E112" s="14"/>
      <c r="F112" s="14" t="s">
        <v>28</v>
      </c>
      <c r="G112" s="204"/>
    </row>
    <row r="113" spans="1:7" ht="15.6" x14ac:dyDescent="0.3">
      <c r="A113" s="9"/>
      <c r="B113" s="284" t="s">
        <v>995</v>
      </c>
      <c r="C113" s="19">
        <v>23</v>
      </c>
      <c r="D113" s="14"/>
      <c r="E113" s="14"/>
      <c r="F113" s="14" t="s">
        <v>28</v>
      </c>
      <c r="G113" s="233"/>
    </row>
    <row r="114" spans="1:7" ht="15.6" x14ac:dyDescent="0.3">
      <c r="A114" s="9"/>
      <c r="B114" s="285" t="s">
        <v>996</v>
      </c>
      <c r="C114" s="19">
        <v>23</v>
      </c>
      <c r="D114" s="14" t="s">
        <v>16</v>
      </c>
      <c r="E114" s="14"/>
      <c r="F114" s="14" t="s">
        <v>28</v>
      </c>
      <c r="G114" s="233"/>
    </row>
    <row r="115" spans="1:7" x14ac:dyDescent="0.3">
      <c r="A115" s="9"/>
      <c r="B115" s="286" t="s">
        <v>1031</v>
      </c>
      <c r="C115" s="19">
        <v>23</v>
      </c>
      <c r="D115" s="14" t="s">
        <v>16</v>
      </c>
      <c r="E115" s="14" t="s">
        <v>16</v>
      </c>
      <c r="F115" s="14"/>
      <c r="G115" s="233"/>
    </row>
    <row r="116" spans="1:7" ht="15.6" x14ac:dyDescent="0.3">
      <c r="A116" s="9"/>
      <c r="B116" s="284" t="s">
        <v>997</v>
      </c>
      <c r="C116" s="19">
        <v>24</v>
      </c>
      <c r="D116" s="14" t="s">
        <v>16</v>
      </c>
      <c r="E116" s="14" t="s">
        <v>28</v>
      </c>
      <c r="F116" s="14" t="s">
        <v>28</v>
      </c>
      <c r="G116" s="146"/>
    </row>
    <row r="117" spans="1:7" ht="15.6" x14ac:dyDescent="0.3">
      <c r="A117" s="68"/>
      <c r="B117" s="287" t="s">
        <v>896</v>
      </c>
      <c r="C117" s="95">
        <v>24</v>
      </c>
      <c r="D117" s="78" t="s">
        <v>28</v>
      </c>
      <c r="E117" s="78"/>
      <c r="F117" s="78" t="s">
        <v>28</v>
      </c>
      <c r="G117" s="179"/>
    </row>
    <row r="118" spans="1:7" ht="15.6" x14ac:dyDescent="0.3">
      <c r="A118" s="9"/>
      <c r="B118" s="215" t="s">
        <v>998</v>
      </c>
      <c r="C118" s="19">
        <v>24</v>
      </c>
      <c r="D118" s="14" t="s">
        <v>16</v>
      </c>
      <c r="E118" s="14" t="s">
        <v>16</v>
      </c>
      <c r="F118" s="14" t="s">
        <v>28</v>
      </c>
      <c r="G118" s="9"/>
    </row>
    <row r="119" spans="1:7" ht="15.6" x14ac:dyDescent="0.3">
      <c r="A119" s="9"/>
      <c r="B119" s="215" t="s">
        <v>999</v>
      </c>
      <c r="C119" s="19">
        <v>24</v>
      </c>
      <c r="D119" s="14" t="s">
        <v>16</v>
      </c>
      <c r="E119" s="14" t="s">
        <v>16</v>
      </c>
      <c r="F119" s="14"/>
      <c r="G119" s="9"/>
    </row>
    <row r="120" spans="1:7" ht="15.6" x14ac:dyDescent="0.3">
      <c r="A120" s="9"/>
      <c r="B120" s="215" t="s">
        <v>1000</v>
      </c>
      <c r="C120" s="19">
        <v>24</v>
      </c>
      <c r="D120" s="14"/>
      <c r="E120" s="14" t="s">
        <v>16</v>
      </c>
      <c r="F120" s="14"/>
      <c r="G120" s="9"/>
    </row>
    <row r="121" spans="1:7" ht="15.6" x14ac:dyDescent="0.3">
      <c r="B121" s="280"/>
      <c r="C121" s="26"/>
    </row>
    <row r="122" spans="1:7" ht="15.6" x14ac:dyDescent="0.3">
      <c r="B122" s="280"/>
      <c r="C122" s="26"/>
    </row>
    <row r="123" spans="1:7" ht="15.6" x14ac:dyDescent="0.3">
      <c r="B123" s="280"/>
      <c r="C123" s="26"/>
    </row>
    <row r="124" spans="1:7" x14ac:dyDescent="0.3">
      <c r="C124"/>
      <c r="G124">
        <f>1750-2000</f>
        <v>-250</v>
      </c>
    </row>
    <row r="126" spans="1:7" x14ac:dyDescent="0.3">
      <c r="B126" s="371" t="s">
        <v>1025</v>
      </c>
      <c r="C126" s="371"/>
      <c r="D126" s="3">
        <f>+COUNTIF(D4:D125,"OK")</f>
        <v>16</v>
      </c>
      <c r="E126" s="3">
        <f>+COUNTIF(E4:E125,"OK")</f>
        <v>13</v>
      </c>
      <c r="F126" s="3">
        <f t="shared" ref="F126" si="0">+COUNTIF(F4:F125,"OK")</f>
        <v>8</v>
      </c>
    </row>
    <row r="127" spans="1:7" x14ac:dyDescent="0.3">
      <c r="B127" s="283" t="s">
        <v>902</v>
      </c>
      <c r="D127" s="5">
        <v>15</v>
      </c>
      <c r="E127" s="5">
        <v>20</v>
      </c>
      <c r="F127" s="5">
        <v>8</v>
      </c>
    </row>
    <row r="132" spans="2:7" x14ac:dyDescent="0.3">
      <c r="D132" s="372" t="s">
        <v>905</v>
      </c>
      <c r="E132" s="372"/>
      <c r="F132" s="372"/>
      <c r="G132" s="53" t="s">
        <v>903</v>
      </c>
    </row>
    <row r="133" spans="2:7" ht="15.6" x14ac:dyDescent="0.3">
      <c r="B133" s="373" t="s">
        <v>1032</v>
      </c>
      <c r="C133" s="351"/>
      <c r="D133" s="52">
        <f>+D126</f>
        <v>16</v>
      </c>
      <c r="E133" s="52">
        <f>+E126</f>
        <v>13</v>
      </c>
      <c r="F133" s="52">
        <f t="shared" ref="F133" si="1">+F126</f>
        <v>8</v>
      </c>
    </row>
    <row r="134" spans="2:7" x14ac:dyDescent="0.3">
      <c r="D134" s="108" t="s">
        <v>1033</v>
      </c>
      <c r="E134" s="108" t="s">
        <v>1034</v>
      </c>
      <c r="F134" s="108" t="s">
        <v>1035</v>
      </c>
    </row>
    <row r="135" spans="2:7" x14ac:dyDescent="0.3">
      <c r="D135" s="354" t="s">
        <v>910</v>
      </c>
      <c r="E135" s="355"/>
      <c r="F135" s="356"/>
      <c r="G135" s="5"/>
    </row>
    <row r="138" spans="2:7" x14ac:dyDescent="0.3">
      <c r="F138" s="5">
        <f>77.5/2</f>
        <v>38.75</v>
      </c>
    </row>
  </sheetData>
  <autoFilter ref="A3:J120" xr:uid="{2CAD3197-8722-4D3D-9CCA-B526FAF486FA}">
    <filterColumn colId="8" showButton="0"/>
  </autoFilter>
  <mergeCells count="6">
    <mergeCell ref="D135:F135"/>
    <mergeCell ref="I1:J1"/>
    <mergeCell ref="A2:C2"/>
    <mergeCell ref="B126:C126"/>
    <mergeCell ref="D132:F132"/>
    <mergeCell ref="B133:C133"/>
  </mergeCells>
  <conditionalFormatting sqref="B53 B93:C93">
    <cfRule type="expression" dxfId="577" priority="61">
      <formula>COUNTIF($B53:Z53, "C")</formula>
    </cfRule>
    <cfRule type="expression" dxfId="576" priority="62">
      <formula>COUNTIF($B53:Z53, "Q")</formula>
    </cfRule>
    <cfRule type="expression" dxfId="575" priority="63">
      <formula>COUNTIF($B53:Z53, "M")</formula>
    </cfRule>
    <cfRule type="expression" dxfId="574" priority="64">
      <formula>COUNTIF($B53:Z53, "A")</formula>
    </cfRule>
    <cfRule type="expression" dxfId="573" priority="65">
      <formula>COUNTIF($A53:Z53, "NI")</formula>
    </cfRule>
  </conditionalFormatting>
  <conditionalFormatting sqref="B101 B103">
    <cfRule type="duplicateValues" dxfId="572" priority="54"/>
    <cfRule type="expression" dxfId="571" priority="55">
      <formula>COUNTIF($B101:Z101, "C")</formula>
    </cfRule>
    <cfRule type="expression" dxfId="570" priority="56">
      <formula>COUNTIF($B101:Z101, "Q")</formula>
    </cfRule>
    <cfRule type="expression" dxfId="569" priority="57">
      <formula>COUNTIF($B101:Z101, "M")</formula>
    </cfRule>
    <cfRule type="expression" dxfId="568" priority="58">
      <formula>COUNTIF($B101:Z101, "A")</formula>
    </cfRule>
    <cfRule type="expression" dxfId="567" priority="59">
      <formula>COUNTIF($A101:Z101, "NI")</formula>
    </cfRule>
  </conditionalFormatting>
  <conditionalFormatting sqref="B109">
    <cfRule type="duplicateValues" dxfId="566" priority="51"/>
  </conditionalFormatting>
  <conditionalFormatting sqref="B3:C3">
    <cfRule type="expression" dxfId="565" priority="85">
      <formula>COUNTIF($A3:W3, "NI")</formula>
    </cfRule>
  </conditionalFormatting>
  <conditionalFormatting sqref="B4:C34">
    <cfRule type="expression" dxfId="564" priority="1">
      <formula>COUNTIF($B4:Z4, "C")</formula>
    </cfRule>
    <cfRule type="expression" dxfId="563" priority="2">
      <formula>COUNTIF($B4:Z4, "Q")</formula>
    </cfRule>
    <cfRule type="expression" dxfId="562" priority="3">
      <formula>COUNTIF($B4:Z4, "M")</formula>
    </cfRule>
    <cfRule type="expression" dxfId="561" priority="4">
      <formula>COUNTIF($B4:Z4, "A")</formula>
    </cfRule>
    <cfRule type="expression" dxfId="560" priority="5">
      <formula>COUNTIF($A4:Z4, "NI")</formula>
    </cfRule>
  </conditionalFormatting>
  <conditionalFormatting sqref="B36:C39">
    <cfRule type="expression" dxfId="559" priority="15">
      <formula>COUNTIF($A36:Z36, "NI")</formula>
    </cfRule>
  </conditionalFormatting>
  <conditionalFormatting sqref="B36:C40">
    <cfRule type="expression" dxfId="558" priority="11">
      <formula>COUNTIF($B36:Z36, "C")</formula>
    </cfRule>
    <cfRule type="expression" dxfId="557" priority="12">
      <formula>COUNTIF($B36:Z36, "Q")</formula>
    </cfRule>
    <cfRule type="expression" dxfId="556" priority="13">
      <formula>COUNTIF($B36:Z36, "M")</formula>
    </cfRule>
    <cfRule type="expression" dxfId="555" priority="14">
      <formula>COUNTIF($B36:Z36, "A")</formula>
    </cfRule>
  </conditionalFormatting>
  <conditionalFormatting sqref="B40:C42 C43 B44:C52 C53">
    <cfRule type="expression" dxfId="554" priority="70">
      <formula>COUNTIF($A40:Z40, "NI")</formula>
    </cfRule>
  </conditionalFormatting>
  <conditionalFormatting sqref="B102:C102 B35 B54:C61">
    <cfRule type="expression" dxfId="553" priority="60">
      <formula>COUNTIF($A35:Z35, "NI")</formula>
    </cfRule>
  </conditionalFormatting>
  <conditionalFormatting sqref="B102:C102">
    <cfRule type="expression" dxfId="552" priority="39">
      <formula>COUNTIF($B102:Z102, "A")</formula>
    </cfRule>
  </conditionalFormatting>
  <conditionalFormatting sqref="C3">
    <cfRule type="expression" dxfId="551" priority="81">
      <formula>COUNTIF($A3:X3, "C")</formula>
    </cfRule>
    <cfRule type="expression" dxfId="550" priority="82">
      <formula>COUNTIF($A3:X3, "Q")</formula>
    </cfRule>
    <cfRule type="expression" dxfId="549" priority="83">
      <formula>COUNTIF($A3:X3, "M")</formula>
    </cfRule>
    <cfRule type="expression" dxfId="548" priority="84">
      <formula>COUNTIF($A3:X3, "A")</formula>
    </cfRule>
  </conditionalFormatting>
  <conditionalFormatting sqref="C35 B78:B79 B82:B91 C83:C92 C94:C123">
    <cfRule type="expression" dxfId="547" priority="77">
      <formula>COUNTIF($B35:Z35, "Q")</formula>
    </cfRule>
    <cfRule type="expression" dxfId="546" priority="78">
      <formula>COUNTIF($B35:Z35, "M")</formula>
    </cfRule>
  </conditionalFormatting>
  <conditionalFormatting sqref="C35 B78:B79 B82:B91 C83:C92 C103:C114">
    <cfRule type="expression" dxfId="545" priority="79">
      <formula>COUNTIF($B35:Z35, "A")</formula>
    </cfRule>
    <cfRule type="expression" dxfId="544" priority="80">
      <formula>COUNTIF($A35:Z35, "NI")</formula>
    </cfRule>
  </conditionalFormatting>
  <conditionalFormatting sqref="C41:C61">
    <cfRule type="expression" dxfId="543" priority="66">
      <formula>COUNTIF($B41:AA41, "C")</formula>
    </cfRule>
    <cfRule type="expression" dxfId="542" priority="67">
      <formula>COUNTIF($B41:AA41, "Q")</formula>
    </cfRule>
    <cfRule type="expression" dxfId="541" priority="68">
      <formula>COUNTIF($B41:AA41, "M")</formula>
    </cfRule>
    <cfRule type="expression" dxfId="540" priority="69">
      <formula>COUNTIF($B41:AA41, "A")</formula>
    </cfRule>
  </conditionalFormatting>
  <conditionalFormatting sqref="C62:C63">
    <cfRule type="expression" dxfId="539" priority="96">
      <formula>COUNTIF($B128:AA128, "C")</formula>
    </cfRule>
    <cfRule type="expression" dxfId="538" priority="97">
      <formula>COUNTIF($B128:AA128, "Q")</formula>
    </cfRule>
    <cfRule type="expression" dxfId="537" priority="98">
      <formula>COUNTIF($B128:AA128, "M")</formula>
    </cfRule>
    <cfRule type="expression" dxfId="536" priority="99">
      <formula>COUNTIF($B128:AA128, "A")</formula>
    </cfRule>
    <cfRule type="expression" dxfId="535" priority="100">
      <formula>COUNTIF($A128:AA128, "NI")</formula>
    </cfRule>
  </conditionalFormatting>
  <conditionalFormatting sqref="C64:C67">
    <cfRule type="expression" dxfId="534" priority="116">
      <formula>COUNTIF($B133:AA133, "C")</formula>
    </cfRule>
    <cfRule type="expression" dxfId="533" priority="117">
      <formula>COUNTIF($B133:AA133, "Q")</formula>
    </cfRule>
    <cfRule type="expression" dxfId="532" priority="118">
      <formula>COUNTIF($B133:AA133, "M")</formula>
    </cfRule>
    <cfRule type="expression" dxfId="531" priority="119">
      <formula>COUNTIF($B133:AA133, "A")</formula>
    </cfRule>
    <cfRule type="expression" dxfId="530" priority="120">
      <formula>COUNTIF($A133:AA133, "NI")</formula>
    </cfRule>
  </conditionalFormatting>
  <conditionalFormatting sqref="C68">
    <cfRule type="expression" dxfId="529" priority="101">
      <formula>COUNTIF($B138:AA138, "C")</formula>
    </cfRule>
    <cfRule type="expression" dxfId="528" priority="102">
      <formula>COUNTIF($B138:AA138, "Q")</formula>
    </cfRule>
    <cfRule type="expression" dxfId="527" priority="103">
      <formula>COUNTIF($B138:AA138, "M")</formula>
    </cfRule>
    <cfRule type="expression" dxfId="526" priority="104">
      <formula>COUNTIF($B138:AA138, "A")</formula>
    </cfRule>
    <cfRule type="expression" dxfId="525" priority="105">
      <formula>COUNTIF($A138:AA138, "NI")</formula>
    </cfRule>
  </conditionalFormatting>
  <conditionalFormatting sqref="C69">
    <cfRule type="expression" dxfId="524" priority="106">
      <formula>COUNTIF($B140:AA140, "C")</formula>
    </cfRule>
    <cfRule type="expression" dxfId="523" priority="107">
      <formula>COUNTIF($B140:AA140, "Q")</formula>
    </cfRule>
    <cfRule type="expression" dxfId="522" priority="108">
      <formula>COUNTIF($B140:AA140, "M")</formula>
    </cfRule>
    <cfRule type="expression" dxfId="521" priority="109">
      <formula>COUNTIF($B140:AA140, "A")</formula>
    </cfRule>
    <cfRule type="expression" dxfId="520" priority="110">
      <formula>COUNTIF($A140:AA140, "NI")</formula>
    </cfRule>
  </conditionalFormatting>
  <conditionalFormatting sqref="C70:C75">
    <cfRule type="expression" dxfId="519" priority="111">
      <formula>COUNTIF($B142:AA142, "C")</formula>
    </cfRule>
    <cfRule type="expression" dxfId="518" priority="112">
      <formula>COUNTIF($B142:AA142, "Q")</formula>
    </cfRule>
    <cfRule type="expression" dxfId="517" priority="113">
      <formula>COUNTIF($B142:AA142, "M")</formula>
    </cfRule>
    <cfRule type="expression" dxfId="516" priority="114">
      <formula>COUNTIF($B142:AA142, "A")</formula>
    </cfRule>
    <cfRule type="expression" dxfId="515" priority="115">
      <formula>COUNTIF($A142:AA142, "NI")</formula>
    </cfRule>
  </conditionalFormatting>
  <conditionalFormatting sqref="C76:C77">
    <cfRule type="expression" dxfId="514" priority="91">
      <formula>COUNTIF($B149:AA149, "C")</formula>
    </cfRule>
    <cfRule type="expression" dxfId="513" priority="92">
      <formula>COUNTIF($B149:AA149, "Q")</formula>
    </cfRule>
    <cfRule type="expression" dxfId="512" priority="93">
      <formula>COUNTIF($B149:AA149, "M")</formula>
    </cfRule>
    <cfRule type="expression" dxfId="511" priority="94">
      <formula>COUNTIF($B149:AA149, "A")</formula>
    </cfRule>
    <cfRule type="expression" dxfId="510" priority="95">
      <formula>COUNTIF($A149:AA149, "NI")</formula>
    </cfRule>
  </conditionalFormatting>
  <conditionalFormatting sqref="C78:C79">
    <cfRule type="expression" dxfId="509" priority="121">
      <formula>COUNTIF($B132:AA132, "C")</formula>
    </cfRule>
    <cfRule type="expression" dxfId="508" priority="122">
      <formula>COUNTIF($B132:AA132, "Q")</formula>
    </cfRule>
    <cfRule type="expression" dxfId="507" priority="123">
      <formula>COUNTIF($B132:AA132, "M")</formula>
    </cfRule>
    <cfRule type="expression" dxfId="506" priority="124">
      <formula>COUNTIF($B132:AA132, "A")</formula>
    </cfRule>
    <cfRule type="expression" dxfId="505" priority="125">
      <formula>COUNTIF($A132:AA132, "NI")</formula>
    </cfRule>
  </conditionalFormatting>
  <conditionalFormatting sqref="C80:C82">
    <cfRule type="expression" dxfId="504" priority="86">
      <formula>COUNTIF($B133:AA133, "C")</formula>
    </cfRule>
    <cfRule type="expression" dxfId="503" priority="87">
      <formula>COUNTIF($B133:AA133, "Q")</formula>
    </cfRule>
    <cfRule type="expression" dxfId="502" priority="88">
      <formula>COUNTIF($B133:AA133, "M")</formula>
    </cfRule>
    <cfRule type="expression" dxfId="501" priority="89">
      <formula>COUNTIF($B133:AA133, "A")</formula>
    </cfRule>
    <cfRule type="expression" dxfId="500" priority="90">
      <formula>COUNTIF($A133:AA133, "NI")</formula>
    </cfRule>
  </conditionalFormatting>
  <conditionalFormatting sqref="C94:C101 B115:C115 C116:C123">
    <cfRule type="expression" dxfId="499" priority="44">
      <formula>COUNTIF($B94:Z94, "A")</formula>
    </cfRule>
    <cfRule type="expression" dxfId="498" priority="45">
      <formula>COUNTIF($A94:Z94, "NI")</formula>
    </cfRule>
  </conditionalFormatting>
  <conditionalFormatting sqref="C94:C123 C35 B78:B79 B82:B91 C83:C92">
    <cfRule type="expression" dxfId="497" priority="76">
      <formula>COUNTIF($B35:Z35, "C")</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04954-93A2-43B5-BE5D-F491CECCCB3B}">
  <dimension ref="A1:N126"/>
  <sheetViews>
    <sheetView topLeftCell="D1" zoomScale="89" workbookViewId="0">
      <pane ySplit="3" topLeftCell="A4" activePane="bottomLeft" state="frozen"/>
      <selection activeCell="D1" sqref="D1"/>
      <selection pane="bottomLeft" activeCell="D1" sqref="D1"/>
    </sheetView>
  </sheetViews>
  <sheetFormatPr baseColWidth="10" defaultColWidth="8.88671875" defaultRowHeight="14.4" x14ac:dyDescent="0.3"/>
  <cols>
    <col min="1" max="1" width="14.6640625" customWidth="1"/>
    <col min="2" max="2" width="43.6640625" bestFit="1" customWidth="1"/>
    <col min="3" max="3" width="9.109375" style="5"/>
    <col min="4" max="4" width="27.33203125" style="5" bestFit="1" customWidth="1"/>
    <col min="5" max="5" width="24.33203125" style="5" bestFit="1" customWidth="1"/>
    <col min="6" max="6" width="25.44140625" style="5" customWidth="1"/>
    <col min="7" max="7" width="51" bestFit="1" customWidth="1"/>
    <col min="8" max="9" width="9.109375"/>
    <col min="10" max="10" width="21.6640625" customWidth="1"/>
  </cols>
  <sheetData>
    <row r="1" spans="1:14" x14ac:dyDescent="0.3">
      <c r="I1" s="366" t="s">
        <v>970</v>
      </c>
      <c r="J1" s="366"/>
    </row>
    <row r="2" spans="1:14" ht="18.75" customHeight="1" x14ac:dyDescent="0.35">
      <c r="A2" s="368" t="s">
        <v>816</v>
      </c>
      <c r="B2" s="369"/>
      <c r="C2" s="370"/>
      <c r="D2" s="104" t="s">
        <v>971</v>
      </c>
      <c r="E2" s="104" t="s">
        <v>971</v>
      </c>
      <c r="F2" s="104" t="s">
        <v>971</v>
      </c>
      <c r="G2" s="111" t="s">
        <v>817</v>
      </c>
      <c r="I2" s="105" t="s">
        <v>110</v>
      </c>
      <c r="J2" s="106" t="s">
        <v>972</v>
      </c>
    </row>
    <row r="3" spans="1:14" s="5" customFormat="1" x14ac:dyDescent="0.3">
      <c r="A3" s="110" t="s">
        <v>4</v>
      </c>
      <c r="B3" s="107" t="s">
        <v>739</v>
      </c>
      <c r="C3" s="107" t="s">
        <v>740</v>
      </c>
      <c r="D3" s="107" t="s">
        <v>973</v>
      </c>
      <c r="E3" s="107" t="s">
        <v>974</v>
      </c>
      <c r="F3" s="112" t="s">
        <v>1036</v>
      </c>
      <c r="G3" s="3"/>
      <c r="I3" s="105" t="s">
        <v>16</v>
      </c>
      <c r="J3" s="106" t="s">
        <v>976</v>
      </c>
    </row>
    <row r="4" spans="1:14" ht="14.4" customHeight="1" x14ac:dyDescent="0.3">
      <c r="A4" s="1" t="s">
        <v>23</v>
      </c>
      <c r="B4" s="36" t="s">
        <v>1037</v>
      </c>
      <c r="C4" s="6">
        <v>6</v>
      </c>
      <c r="D4" s="3" t="s">
        <v>28</v>
      </c>
      <c r="E4" s="3" t="s">
        <v>28</v>
      </c>
      <c r="F4" s="3" t="s">
        <v>28</v>
      </c>
      <c r="G4" s="1"/>
    </row>
    <row r="5" spans="1:14" ht="14.4" customHeight="1" x14ac:dyDescent="0.3">
      <c r="A5" s="1" t="s">
        <v>13</v>
      </c>
      <c r="B5" s="1" t="s">
        <v>253</v>
      </c>
      <c r="C5" s="6">
        <v>6</v>
      </c>
      <c r="D5" s="3" t="s">
        <v>28</v>
      </c>
      <c r="E5" s="3" t="s">
        <v>28</v>
      </c>
      <c r="F5" s="190" t="s">
        <v>28</v>
      </c>
      <c r="G5" s="1"/>
    </row>
    <row r="6" spans="1:14" ht="14.4" customHeight="1" x14ac:dyDescent="0.3">
      <c r="A6" s="1" t="s">
        <v>13</v>
      </c>
      <c r="B6" s="1" t="s">
        <v>261</v>
      </c>
      <c r="C6" s="6">
        <v>7</v>
      </c>
      <c r="D6" s="3" t="s">
        <v>16</v>
      </c>
      <c r="E6" s="3" t="s">
        <v>16</v>
      </c>
      <c r="F6" s="190" t="s">
        <v>28</v>
      </c>
      <c r="G6" s="1" t="s">
        <v>934</v>
      </c>
      <c r="M6">
        <v>1875</v>
      </c>
      <c r="N6">
        <f>+M6/3.34</f>
        <v>561.37724550898201</v>
      </c>
    </row>
    <row r="7" spans="1:14" ht="14.4" customHeight="1" x14ac:dyDescent="0.3">
      <c r="A7" s="1" t="s">
        <v>13</v>
      </c>
      <c r="B7" s="36" t="s">
        <v>305</v>
      </c>
      <c r="C7" s="6">
        <v>10</v>
      </c>
      <c r="D7" s="3" t="s">
        <v>28</v>
      </c>
      <c r="E7" s="3" t="s">
        <v>28</v>
      </c>
      <c r="F7" s="190" t="s">
        <v>28</v>
      </c>
      <c r="G7" s="1"/>
    </row>
    <row r="8" spans="1:14" ht="14.4" customHeight="1" x14ac:dyDescent="0.3">
      <c r="A8" s="1" t="s">
        <v>23</v>
      </c>
      <c r="B8" s="1" t="s">
        <v>38</v>
      </c>
      <c r="C8" s="6">
        <v>11</v>
      </c>
      <c r="D8" s="3"/>
      <c r="E8" s="3"/>
      <c r="F8" s="190"/>
      <c r="G8" s="1"/>
    </row>
    <row r="9" spans="1:14" ht="14.4" customHeight="1" x14ac:dyDescent="0.3">
      <c r="A9" s="1" t="s">
        <v>20</v>
      </c>
      <c r="B9" s="1" t="s">
        <v>41</v>
      </c>
      <c r="C9" s="6">
        <v>11</v>
      </c>
      <c r="D9" s="3" t="s">
        <v>28</v>
      </c>
      <c r="E9" s="3" t="s">
        <v>28</v>
      </c>
      <c r="F9" s="190" t="s">
        <v>28</v>
      </c>
      <c r="G9" s="1"/>
    </row>
    <row r="10" spans="1:14" ht="14.4" customHeight="1" x14ac:dyDescent="0.3">
      <c r="A10" s="1" t="s">
        <v>13</v>
      </c>
      <c r="B10" s="1" t="s">
        <v>53</v>
      </c>
      <c r="C10" s="6">
        <v>11</v>
      </c>
      <c r="D10" s="3" t="s">
        <v>24</v>
      </c>
      <c r="E10" s="3" t="s">
        <v>24</v>
      </c>
      <c r="F10" s="3" t="s">
        <v>24</v>
      </c>
      <c r="G10" s="1"/>
    </row>
    <row r="11" spans="1:14" ht="14.4" customHeight="1" x14ac:dyDescent="0.3">
      <c r="A11" s="1" t="s">
        <v>23</v>
      </c>
      <c r="B11" s="1" t="s">
        <v>284</v>
      </c>
      <c r="C11" s="6">
        <v>11</v>
      </c>
      <c r="D11" s="3"/>
      <c r="E11" s="3"/>
      <c r="F11" s="190"/>
      <c r="G11" s="1"/>
    </row>
    <row r="12" spans="1:14" ht="14.4" customHeight="1" x14ac:dyDescent="0.3">
      <c r="A12" s="1" t="s">
        <v>110</v>
      </c>
      <c r="B12" s="1" t="s">
        <v>575</v>
      </c>
      <c r="C12" s="6">
        <v>11</v>
      </c>
      <c r="D12" s="3" t="s">
        <v>110</v>
      </c>
      <c r="E12" s="3" t="s">
        <v>110</v>
      </c>
      <c r="F12" s="3" t="s">
        <v>110</v>
      </c>
      <c r="G12" s="1"/>
    </row>
    <row r="13" spans="1:14" ht="14.4" customHeight="1" x14ac:dyDescent="0.3">
      <c r="A13" s="1" t="s">
        <v>20</v>
      </c>
      <c r="B13" s="36" t="s">
        <v>300</v>
      </c>
      <c r="C13" s="6">
        <v>12</v>
      </c>
      <c r="D13" s="3" t="s">
        <v>24</v>
      </c>
      <c r="E13" s="3" t="s">
        <v>28</v>
      </c>
      <c r="F13" s="190" t="s">
        <v>28</v>
      </c>
      <c r="G13" s="1"/>
    </row>
    <row r="14" spans="1:14" ht="14.4" customHeight="1" x14ac:dyDescent="0.3">
      <c r="A14" s="1" t="s">
        <v>13</v>
      </c>
      <c r="B14" s="1" t="s">
        <v>304</v>
      </c>
      <c r="C14" s="6">
        <v>12</v>
      </c>
      <c r="D14" s="3"/>
      <c r="E14" s="3"/>
      <c r="F14" s="3"/>
      <c r="G14" s="1"/>
    </row>
    <row r="15" spans="1:14" ht="14.4" customHeight="1" x14ac:dyDescent="0.3">
      <c r="A15" s="1" t="s">
        <v>110</v>
      </c>
      <c r="B15" s="1" t="s">
        <v>295</v>
      </c>
      <c r="C15" s="6">
        <v>12</v>
      </c>
      <c r="D15" s="48" t="s">
        <v>110</v>
      </c>
      <c r="E15" s="48" t="s">
        <v>110</v>
      </c>
      <c r="F15" s="3" t="s">
        <v>110</v>
      </c>
      <c r="G15" s="1"/>
    </row>
    <row r="16" spans="1:14" ht="14.4" customHeight="1" x14ac:dyDescent="0.3">
      <c r="A16" s="1" t="s">
        <v>23</v>
      </c>
      <c r="B16" s="1" t="s">
        <v>46</v>
      </c>
      <c r="C16" s="154">
        <v>12</v>
      </c>
      <c r="D16" s="14" t="s">
        <v>28</v>
      </c>
      <c r="E16" s="14" t="s">
        <v>16</v>
      </c>
      <c r="F16" s="252" t="s">
        <v>28</v>
      </c>
      <c r="G16" s="1"/>
    </row>
    <row r="17" spans="1:7" x14ac:dyDescent="0.3">
      <c r="A17" s="1" t="s">
        <v>20</v>
      </c>
      <c r="B17" s="1" t="s">
        <v>58</v>
      </c>
      <c r="C17" s="6">
        <v>13</v>
      </c>
      <c r="D17" s="3" t="s">
        <v>24</v>
      </c>
      <c r="E17" s="3" t="s">
        <v>24</v>
      </c>
      <c r="F17" s="190" t="s">
        <v>24</v>
      </c>
      <c r="G17" s="1"/>
    </row>
    <row r="18" spans="1:7" x14ac:dyDescent="0.3">
      <c r="A18" s="1" t="s">
        <v>13</v>
      </c>
      <c r="B18" s="1" t="s">
        <v>62</v>
      </c>
      <c r="C18" s="6">
        <v>13</v>
      </c>
      <c r="D18" s="3" t="s">
        <v>28</v>
      </c>
      <c r="E18" s="3" t="s">
        <v>28</v>
      </c>
      <c r="F18" s="190" t="s">
        <v>28</v>
      </c>
      <c r="G18" s="1"/>
    </row>
    <row r="19" spans="1:7" x14ac:dyDescent="0.3">
      <c r="A19" s="1" t="s">
        <v>23</v>
      </c>
      <c r="B19" s="1" t="s">
        <v>979</v>
      </c>
      <c r="C19" s="6">
        <v>13</v>
      </c>
      <c r="D19" s="3" t="s">
        <v>16</v>
      </c>
      <c r="E19" s="3" t="s">
        <v>28</v>
      </c>
      <c r="F19" s="190" t="s">
        <v>28</v>
      </c>
      <c r="G19" s="1"/>
    </row>
    <row r="20" spans="1:7" x14ac:dyDescent="0.3">
      <c r="A20" s="1" t="s">
        <v>13</v>
      </c>
      <c r="B20" s="249" t="s">
        <v>328</v>
      </c>
      <c r="C20" s="6">
        <v>14</v>
      </c>
      <c r="D20" s="3" t="s">
        <v>28</v>
      </c>
      <c r="E20" s="3" t="s">
        <v>28</v>
      </c>
      <c r="F20" s="3" t="s">
        <v>28</v>
      </c>
      <c r="G20" s="1"/>
    </row>
    <row r="21" spans="1:7" x14ac:dyDescent="0.3">
      <c r="A21" s="1" t="s">
        <v>23</v>
      </c>
      <c r="B21" s="36" t="s">
        <v>331</v>
      </c>
      <c r="C21" s="6">
        <v>14</v>
      </c>
      <c r="D21" s="3" t="s">
        <v>24</v>
      </c>
      <c r="E21" s="3" t="s">
        <v>110</v>
      </c>
      <c r="F21" s="190" t="s">
        <v>110</v>
      </c>
      <c r="G21" s="1"/>
    </row>
    <row r="22" spans="1:7" x14ac:dyDescent="0.3">
      <c r="A22" s="1" t="s">
        <v>13</v>
      </c>
      <c r="B22" s="1" t="s">
        <v>155</v>
      </c>
      <c r="C22" s="6">
        <v>14</v>
      </c>
      <c r="D22" s="3" t="s">
        <v>28</v>
      </c>
      <c r="E22" s="3" t="s">
        <v>28</v>
      </c>
      <c r="F22" s="190" t="s">
        <v>28</v>
      </c>
      <c r="G22" s="1" t="s">
        <v>1038</v>
      </c>
    </row>
    <row r="23" spans="1:7" x14ac:dyDescent="0.3">
      <c r="A23" s="1" t="s">
        <v>20</v>
      </c>
      <c r="B23" s="1" t="s">
        <v>340</v>
      </c>
      <c r="C23" s="6">
        <v>15</v>
      </c>
      <c r="D23" s="48" t="s">
        <v>28</v>
      </c>
      <c r="E23" s="48" t="s">
        <v>28</v>
      </c>
      <c r="F23" s="190" t="s">
        <v>28</v>
      </c>
      <c r="G23" s="1"/>
    </row>
    <row r="24" spans="1:7" x14ac:dyDescent="0.3">
      <c r="A24" s="1" t="s">
        <v>13</v>
      </c>
      <c r="B24" s="36" t="s">
        <v>354</v>
      </c>
      <c r="C24" s="6">
        <v>16</v>
      </c>
      <c r="D24" s="3"/>
      <c r="E24" s="3"/>
      <c r="F24" s="3"/>
      <c r="G24" s="1"/>
    </row>
    <row r="25" spans="1:7" x14ac:dyDescent="0.3">
      <c r="A25" s="1" t="s">
        <v>23</v>
      </c>
      <c r="B25" s="36" t="s">
        <v>355</v>
      </c>
      <c r="C25" s="6">
        <v>16</v>
      </c>
      <c r="D25" s="3" t="s">
        <v>28</v>
      </c>
      <c r="E25" s="3" t="s">
        <v>28</v>
      </c>
      <c r="F25" s="190" t="s">
        <v>16</v>
      </c>
      <c r="G25" s="1"/>
    </row>
    <row r="26" spans="1:7" x14ac:dyDescent="0.3">
      <c r="A26" s="1" t="s">
        <v>20</v>
      </c>
      <c r="B26" s="1" t="s">
        <v>105</v>
      </c>
      <c r="C26" s="6">
        <v>16</v>
      </c>
      <c r="D26" s="3" t="s">
        <v>28</v>
      </c>
      <c r="E26" s="3" t="s">
        <v>110</v>
      </c>
      <c r="F26" s="190" t="s">
        <v>110</v>
      </c>
      <c r="G26" s="1"/>
    </row>
    <row r="27" spans="1:7" x14ac:dyDescent="0.3">
      <c r="A27" s="1" t="s">
        <v>13</v>
      </c>
      <c r="B27" s="36" t="s">
        <v>359</v>
      </c>
      <c r="C27" s="6">
        <v>16</v>
      </c>
      <c r="D27" s="3"/>
      <c r="E27" s="3"/>
      <c r="F27" s="190"/>
      <c r="G27" s="1"/>
    </row>
    <row r="28" spans="1:7" x14ac:dyDescent="0.3">
      <c r="A28" s="1" t="s">
        <v>20</v>
      </c>
      <c r="B28" s="1" t="s">
        <v>101</v>
      </c>
      <c r="C28" s="6">
        <v>16</v>
      </c>
      <c r="D28" s="3" t="s">
        <v>110</v>
      </c>
      <c r="E28" s="3" t="s">
        <v>110</v>
      </c>
      <c r="F28" s="190" t="s">
        <v>110</v>
      </c>
      <c r="G28" s="1"/>
    </row>
    <row r="29" spans="1:7" x14ac:dyDescent="0.3">
      <c r="A29" s="1" t="s">
        <v>20</v>
      </c>
      <c r="B29" s="1" t="s">
        <v>368</v>
      </c>
      <c r="C29" s="6">
        <v>17</v>
      </c>
      <c r="D29" s="3" t="s">
        <v>28</v>
      </c>
      <c r="E29" s="3" t="s">
        <v>28</v>
      </c>
      <c r="F29" s="3" t="s">
        <v>28</v>
      </c>
      <c r="G29" s="1"/>
    </row>
    <row r="30" spans="1:7" x14ac:dyDescent="0.3">
      <c r="A30" s="1" t="s">
        <v>23</v>
      </c>
      <c r="B30" s="1" t="s">
        <v>370</v>
      </c>
      <c r="C30" s="6">
        <v>17</v>
      </c>
      <c r="D30" s="3"/>
      <c r="E30" s="3"/>
      <c r="F30" s="190"/>
      <c r="G30" s="1"/>
    </row>
    <row r="31" spans="1:7" x14ac:dyDescent="0.3">
      <c r="A31" s="1" t="s">
        <v>13</v>
      </c>
      <c r="B31" s="36" t="s">
        <v>376</v>
      </c>
      <c r="C31" s="6">
        <v>17</v>
      </c>
      <c r="D31" s="3"/>
      <c r="E31" s="3"/>
      <c r="F31" s="190"/>
      <c r="G31" s="1"/>
    </row>
    <row r="32" spans="1:7" x14ac:dyDescent="0.3">
      <c r="A32" s="1" t="s">
        <v>110</v>
      </c>
      <c r="B32" s="1" t="s">
        <v>625</v>
      </c>
      <c r="C32" s="6">
        <v>17</v>
      </c>
      <c r="D32" s="3"/>
      <c r="E32" s="3"/>
      <c r="F32" s="190"/>
      <c r="G32" s="1"/>
    </row>
    <row r="33" spans="1:7" x14ac:dyDescent="0.3">
      <c r="A33" s="1" t="s">
        <v>110</v>
      </c>
      <c r="B33" s="1" t="s">
        <v>379</v>
      </c>
      <c r="C33" s="6">
        <v>18</v>
      </c>
      <c r="D33" s="189" t="s">
        <v>110</v>
      </c>
      <c r="E33" s="3" t="s">
        <v>110</v>
      </c>
      <c r="F33" s="190" t="s">
        <v>110</v>
      </c>
      <c r="G33" s="1"/>
    </row>
    <row r="34" spans="1:7" x14ac:dyDescent="0.3">
      <c r="A34" s="1" t="s">
        <v>23</v>
      </c>
      <c r="B34" s="1" t="s">
        <v>128</v>
      </c>
      <c r="C34" s="6">
        <v>18</v>
      </c>
      <c r="D34" s="3"/>
      <c r="E34" s="3"/>
      <c r="F34" s="190"/>
      <c r="G34" s="1"/>
    </row>
    <row r="35" spans="1:7" x14ac:dyDescent="0.3">
      <c r="A35" s="1" t="s">
        <v>20</v>
      </c>
      <c r="B35" s="1" t="s">
        <v>127</v>
      </c>
      <c r="C35" s="6">
        <v>18</v>
      </c>
      <c r="D35" s="3" t="s">
        <v>110</v>
      </c>
      <c r="E35" s="3" t="s">
        <v>110</v>
      </c>
      <c r="F35" s="190" t="s">
        <v>110</v>
      </c>
      <c r="G35" s="1"/>
    </row>
    <row r="36" spans="1:7" x14ac:dyDescent="0.3">
      <c r="A36" s="1" t="s">
        <v>13</v>
      </c>
      <c r="B36" s="36" t="s">
        <v>137</v>
      </c>
      <c r="C36" s="6">
        <v>18</v>
      </c>
      <c r="D36" s="3"/>
      <c r="E36" s="3"/>
      <c r="F36" s="190"/>
      <c r="G36" s="1"/>
    </row>
    <row r="37" spans="1:7" x14ac:dyDescent="0.3">
      <c r="A37" s="1" t="s">
        <v>23</v>
      </c>
      <c r="B37" s="245" t="s">
        <v>981</v>
      </c>
      <c r="C37" s="177">
        <v>18</v>
      </c>
      <c r="D37" s="14" t="s">
        <v>28</v>
      </c>
      <c r="E37" s="14" t="s">
        <v>16</v>
      </c>
      <c r="F37" s="252" t="s">
        <v>16</v>
      </c>
      <c r="G37" s="1"/>
    </row>
    <row r="38" spans="1:7" x14ac:dyDescent="0.3">
      <c r="A38" s="1" t="s">
        <v>20</v>
      </c>
      <c r="B38" s="9" t="s">
        <v>383</v>
      </c>
      <c r="C38" s="19">
        <v>19</v>
      </c>
      <c r="D38" s="3" t="s">
        <v>110</v>
      </c>
      <c r="E38" s="3" t="s">
        <v>110</v>
      </c>
      <c r="F38" s="190" t="s">
        <v>110</v>
      </c>
      <c r="G38" s="1"/>
    </row>
    <row r="39" spans="1:7" x14ac:dyDescent="0.3">
      <c r="A39" s="1" t="s">
        <v>13</v>
      </c>
      <c r="B39" s="9" t="s">
        <v>384</v>
      </c>
      <c r="C39" s="19">
        <v>19</v>
      </c>
      <c r="D39" s="14"/>
      <c r="E39" s="189"/>
      <c r="F39" s="190"/>
      <c r="G39" s="1"/>
    </row>
    <row r="40" spans="1:7" x14ac:dyDescent="0.3">
      <c r="A40" s="1" t="s">
        <v>13</v>
      </c>
      <c r="B40" s="163" t="s">
        <v>98</v>
      </c>
      <c r="C40" s="19">
        <v>19</v>
      </c>
      <c r="D40" s="14"/>
      <c r="E40" s="189" t="s">
        <v>16</v>
      </c>
      <c r="F40" s="190"/>
      <c r="G40" s="1"/>
    </row>
    <row r="41" spans="1:7" x14ac:dyDescent="0.3">
      <c r="A41" s="1" t="s">
        <v>20</v>
      </c>
      <c r="B41" s="9" t="s">
        <v>385</v>
      </c>
      <c r="C41" s="19">
        <v>19</v>
      </c>
      <c r="D41" s="3" t="s">
        <v>110</v>
      </c>
      <c r="E41" s="3" t="s">
        <v>110</v>
      </c>
      <c r="F41" s="190" t="s">
        <v>110</v>
      </c>
      <c r="G41" s="1"/>
    </row>
    <row r="42" spans="1:7" x14ac:dyDescent="0.3">
      <c r="A42" s="1" t="s">
        <v>13</v>
      </c>
      <c r="B42" s="9" t="s">
        <v>386</v>
      </c>
      <c r="C42" s="19">
        <v>19</v>
      </c>
      <c r="D42" s="14"/>
      <c r="E42" s="189"/>
      <c r="F42" s="190"/>
      <c r="G42" s="1"/>
    </row>
    <row r="43" spans="1:7" x14ac:dyDescent="0.3">
      <c r="A43" s="1" t="s">
        <v>23</v>
      </c>
      <c r="B43" s="9" t="s">
        <v>146</v>
      </c>
      <c r="C43" s="19">
        <v>19</v>
      </c>
      <c r="D43" s="14"/>
      <c r="E43" s="189"/>
      <c r="F43" s="190"/>
      <c r="G43" s="1"/>
    </row>
    <row r="44" spans="1:7" x14ac:dyDescent="0.3">
      <c r="A44" s="1" t="s">
        <v>23</v>
      </c>
      <c r="B44" s="9" t="s">
        <v>109</v>
      </c>
      <c r="C44" s="19">
        <v>19</v>
      </c>
      <c r="D44" s="3" t="s">
        <v>28</v>
      </c>
      <c r="E44" s="3" t="s">
        <v>28</v>
      </c>
      <c r="F44" s="190" t="s">
        <v>16</v>
      </c>
      <c r="G44" s="1"/>
    </row>
    <row r="45" spans="1:7" x14ac:dyDescent="0.3">
      <c r="A45" s="1" t="s">
        <v>13</v>
      </c>
      <c r="B45" s="9" t="s">
        <v>175</v>
      </c>
      <c r="C45" s="19">
        <v>19</v>
      </c>
      <c r="D45" s="14" t="s">
        <v>28</v>
      </c>
      <c r="E45" s="189" t="s">
        <v>110</v>
      </c>
      <c r="F45" s="190" t="s">
        <v>110</v>
      </c>
      <c r="G45" s="1"/>
    </row>
    <row r="46" spans="1:7" x14ac:dyDescent="0.3">
      <c r="A46" s="1" t="s">
        <v>23</v>
      </c>
      <c r="B46" s="9" t="s">
        <v>143</v>
      </c>
      <c r="C46" s="19">
        <v>19</v>
      </c>
      <c r="D46" s="14"/>
      <c r="E46" s="189"/>
      <c r="F46" s="190"/>
      <c r="G46" s="1"/>
    </row>
    <row r="47" spans="1:7" x14ac:dyDescent="0.3">
      <c r="A47" s="1" t="s">
        <v>20</v>
      </c>
      <c r="B47" s="9" t="s">
        <v>150</v>
      </c>
      <c r="C47" s="19">
        <v>19</v>
      </c>
      <c r="D47" s="3" t="s">
        <v>24</v>
      </c>
      <c r="E47" s="3" t="s">
        <v>24</v>
      </c>
      <c r="F47" s="190" t="s">
        <v>24</v>
      </c>
      <c r="G47" s="1"/>
    </row>
    <row r="48" spans="1:7" x14ac:dyDescent="0.3">
      <c r="A48" s="1" t="s">
        <v>13</v>
      </c>
      <c r="B48" s="9" t="s">
        <v>140</v>
      </c>
      <c r="C48" s="19">
        <v>19</v>
      </c>
      <c r="D48" s="14"/>
      <c r="E48" s="189"/>
      <c r="F48" s="190"/>
      <c r="G48" s="1"/>
    </row>
    <row r="49" spans="1:7" x14ac:dyDescent="0.3">
      <c r="A49" s="1" t="s">
        <v>23</v>
      </c>
      <c r="B49" s="9" t="s">
        <v>388</v>
      </c>
      <c r="C49" s="19">
        <v>19</v>
      </c>
      <c r="D49" s="14"/>
      <c r="E49" s="189"/>
      <c r="F49" s="190"/>
      <c r="G49" s="1"/>
    </row>
    <row r="50" spans="1:7" x14ac:dyDescent="0.3">
      <c r="A50" s="1" t="s">
        <v>13</v>
      </c>
      <c r="B50" s="245" t="s">
        <v>389</v>
      </c>
      <c r="C50" s="19">
        <v>19</v>
      </c>
      <c r="D50" s="14" t="s">
        <v>28</v>
      </c>
      <c r="E50" s="189" t="s">
        <v>28</v>
      </c>
      <c r="F50" s="190" t="s">
        <v>28</v>
      </c>
      <c r="G50" s="1"/>
    </row>
    <row r="51" spans="1:7" x14ac:dyDescent="0.3">
      <c r="A51" s="1" t="s">
        <v>13</v>
      </c>
      <c r="B51" s="9" t="s">
        <v>390</v>
      </c>
      <c r="C51" s="19">
        <v>19</v>
      </c>
      <c r="D51" s="14"/>
      <c r="E51" s="189"/>
      <c r="F51" s="190"/>
      <c r="G51" s="1"/>
    </row>
    <row r="52" spans="1:7" x14ac:dyDescent="0.3">
      <c r="A52" s="1" t="s">
        <v>23</v>
      </c>
      <c r="B52" s="79" t="s">
        <v>391</v>
      </c>
      <c r="C52" s="159">
        <v>19</v>
      </c>
      <c r="D52" s="14"/>
      <c r="E52" s="189"/>
      <c r="F52" s="190"/>
      <c r="G52" s="1"/>
    </row>
    <row r="53" spans="1:7" x14ac:dyDescent="0.3">
      <c r="A53" s="1" t="s">
        <v>20</v>
      </c>
      <c r="B53" s="9" t="s">
        <v>154</v>
      </c>
      <c r="C53" s="19">
        <v>19</v>
      </c>
      <c r="D53" s="14" t="s">
        <v>28</v>
      </c>
      <c r="E53" s="189" t="s">
        <v>28</v>
      </c>
      <c r="F53" s="190" t="s">
        <v>28</v>
      </c>
      <c r="G53" s="1"/>
    </row>
    <row r="54" spans="1:7" x14ac:dyDescent="0.3">
      <c r="A54" s="1" t="s">
        <v>13</v>
      </c>
      <c r="B54" s="9" t="s">
        <v>149</v>
      </c>
      <c r="C54" s="19">
        <v>19</v>
      </c>
      <c r="D54" s="14"/>
      <c r="E54" s="189"/>
      <c r="F54" s="190"/>
      <c r="G54" s="1"/>
    </row>
    <row r="55" spans="1:7" x14ac:dyDescent="0.3">
      <c r="A55" s="1" t="s">
        <v>23</v>
      </c>
      <c r="B55" s="9" t="s">
        <v>152</v>
      </c>
      <c r="C55" s="19">
        <v>19</v>
      </c>
      <c r="D55" s="14"/>
      <c r="E55" s="189"/>
      <c r="F55" s="190"/>
      <c r="G55" s="1"/>
    </row>
    <row r="56" spans="1:7" x14ac:dyDescent="0.3">
      <c r="A56" s="1" t="s">
        <v>20</v>
      </c>
      <c r="B56" s="245" t="s">
        <v>151</v>
      </c>
      <c r="C56" s="19">
        <v>19</v>
      </c>
      <c r="D56" s="78" t="s">
        <v>24</v>
      </c>
      <c r="E56" s="187" t="s">
        <v>24</v>
      </c>
      <c r="F56" s="190" t="s">
        <v>24</v>
      </c>
      <c r="G56" s="1"/>
    </row>
    <row r="57" spans="1:7" x14ac:dyDescent="0.3">
      <c r="A57" s="1" t="s">
        <v>13</v>
      </c>
      <c r="B57" s="9" t="s">
        <v>392</v>
      </c>
      <c r="C57" s="157">
        <v>19</v>
      </c>
      <c r="D57" s="14" t="s">
        <v>28</v>
      </c>
      <c r="E57" s="14" t="s">
        <v>16</v>
      </c>
      <c r="F57" s="252" t="s">
        <v>28</v>
      </c>
      <c r="G57" s="1" t="s">
        <v>1039</v>
      </c>
    </row>
    <row r="58" spans="1:7" x14ac:dyDescent="0.3">
      <c r="A58" s="1" t="s">
        <v>23</v>
      </c>
      <c r="B58" s="250" t="s">
        <v>144</v>
      </c>
      <c r="C58" s="95">
        <v>19</v>
      </c>
      <c r="D58" s="216"/>
      <c r="E58" s="188"/>
      <c r="F58" s="190"/>
      <c r="G58" s="1"/>
    </row>
    <row r="59" spans="1:7" x14ac:dyDescent="0.3">
      <c r="A59" s="1" t="s">
        <v>20</v>
      </c>
      <c r="B59" s="1" t="s">
        <v>142</v>
      </c>
      <c r="C59" s="6">
        <v>19</v>
      </c>
      <c r="D59" s="14" t="s">
        <v>110</v>
      </c>
      <c r="E59" s="189" t="s">
        <v>110</v>
      </c>
      <c r="F59" s="190" t="s">
        <v>110</v>
      </c>
      <c r="G59" s="1"/>
    </row>
    <row r="60" spans="1:7" ht="15.6" x14ac:dyDescent="0.3">
      <c r="A60" s="1" t="s">
        <v>20</v>
      </c>
      <c r="B60" s="248" t="s">
        <v>960</v>
      </c>
      <c r="C60" s="185">
        <v>20</v>
      </c>
      <c r="D60" s="14" t="s">
        <v>110</v>
      </c>
      <c r="E60" s="189" t="s">
        <v>110</v>
      </c>
      <c r="F60" s="190" t="s">
        <v>110</v>
      </c>
      <c r="G60" s="1"/>
    </row>
    <row r="61" spans="1:7" ht="15.6" x14ac:dyDescent="0.3">
      <c r="A61" s="1" t="s">
        <v>110</v>
      </c>
      <c r="B61" s="9" t="s">
        <v>1040</v>
      </c>
      <c r="C61" s="183">
        <v>20</v>
      </c>
      <c r="D61" s="188" t="s">
        <v>110</v>
      </c>
      <c r="E61" s="3" t="s">
        <v>110</v>
      </c>
      <c r="F61" s="190" t="s">
        <v>110</v>
      </c>
      <c r="G61" s="1"/>
    </row>
    <row r="62" spans="1:7" ht="15.6" x14ac:dyDescent="0.3">
      <c r="A62" s="1" t="s">
        <v>23</v>
      </c>
      <c r="B62" s="184" t="s">
        <v>982</v>
      </c>
      <c r="C62" s="183">
        <v>20</v>
      </c>
      <c r="D62" s="189" t="s">
        <v>24</v>
      </c>
      <c r="E62" s="189" t="s">
        <v>24</v>
      </c>
      <c r="F62" s="189" t="s">
        <v>24</v>
      </c>
      <c r="G62" s="1"/>
    </row>
    <row r="63" spans="1:7" x14ac:dyDescent="0.3">
      <c r="A63" s="1" t="s">
        <v>110</v>
      </c>
      <c r="B63" s="9" t="s">
        <v>145</v>
      </c>
      <c r="C63" s="19">
        <v>20</v>
      </c>
      <c r="D63" s="189" t="s">
        <v>110</v>
      </c>
      <c r="E63" s="3" t="s">
        <v>110</v>
      </c>
      <c r="F63" s="190" t="s">
        <v>110</v>
      </c>
      <c r="G63" s="1"/>
    </row>
    <row r="64" spans="1:7" ht="15.6" x14ac:dyDescent="0.3">
      <c r="A64" s="1" t="s">
        <v>110</v>
      </c>
      <c r="B64" s="184" t="s">
        <v>1041</v>
      </c>
      <c r="C64" s="183">
        <v>20</v>
      </c>
      <c r="D64" s="189" t="s">
        <v>110</v>
      </c>
      <c r="E64" s="3" t="s">
        <v>110</v>
      </c>
      <c r="F64" s="190" t="s">
        <v>110</v>
      </c>
      <c r="G64" s="1"/>
    </row>
    <row r="65" spans="1:7" ht="15.6" x14ac:dyDescent="0.3">
      <c r="A65" s="1" t="s">
        <v>110</v>
      </c>
      <c r="B65" s="184" t="s">
        <v>395</v>
      </c>
      <c r="C65" s="183">
        <v>20</v>
      </c>
      <c r="D65" s="189"/>
      <c r="E65" s="3"/>
      <c r="F65" s="190"/>
      <c r="G65" s="1"/>
    </row>
    <row r="66" spans="1:7" ht="15.6" x14ac:dyDescent="0.3">
      <c r="A66" s="1" t="s">
        <v>20</v>
      </c>
      <c r="B66" s="184" t="s">
        <v>147</v>
      </c>
      <c r="C66" s="183">
        <v>20</v>
      </c>
      <c r="D66" s="189" t="s">
        <v>110</v>
      </c>
      <c r="E66" s="3" t="s">
        <v>110</v>
      </c>
      <c r="F66" s="190" t="s">
        <v>110</v>
      </c>
      <c r="G66" s="1"/>
    </row>
    <row r="67" spans="1:7" ht="15.6" x14ac:dyDescent="0.3">
      <c r="A67" s="1" t="s">
        <v>13</v>
      </c>
      <c r="B67" s="184" t="s">
        <v>166</v>
      </c>
      <c r="C67" s="183">
        <v>20</v>
      </c>
      <c r="D67" s="189"/>
      <c r="E67" s="3"/>
      <c r="F67" s="190"/>
      <c r="G67" s="1"/>
    </row>
    <row r="68" spans="1:7" ht="15.6" x14ac:dyDescent="0.3">
      <c r="A68" s="1" t="s">
        <v>110</v>
      </c>
      <c r="B68" s="184" t="s">
        <v>396</v>
      </c>
      <c r="C68" s="183">
        <v>20</v>
      </c>
      <c r="D68" s="189"/>
      <c r="E68" s="3"/>
      <c r="F68" s="190"/>
      <c r="G68" s="1"/>
    </row>
    <row r="69" spans="1:7" ht="15.6" x14ac:dyDescent="0.3">
      <c r="A69" s="1" t="s">
        <v>110</v>
      </c>
      <c r="B69" s="184" t="s">
        <v>393</v>
      </c>
      <c r="C69" s="183">
        <v>20</v>
      </c>
      <c r="D69" s="189"/>
      <c r="E69" s="3"/>
      <c r="F69" s="190"/>
      <c r="G69" s="1"/>
    </row>
    <row r="70" spans="1:7" ht="15.6" x14ac:dyDescent="0.3">
      <c r="A70" s="1" t="s">
        <v>23</v>
      </c>
      <c r="B70" s="184" t="s">
        <v>167</v>
      </c>
      <c r="C70" s="183">
        <v>20</v>
      </c>
      <c r="D70" s="189"/>
      <c r="E70" s="3"/>
      <c r="F70" s="190"/>
      <c r="G70" s="1"/>
    </row>
    <row r="71" spans="1:7" ht="15.6" x14ac:dyDescent="0.3">
      <c r="A71" s="1" t="s">
        <v>20</v>
      </c>
      <c r="B71" s="184" t="s">
        <v>153</v>
      </c>
      <c r="C71" s="183">
        <v>20</v>
      </c>
      <c r="D71" s="189" t="s">
        <v>24</v>
      </c>
      <c r="E71" s="3" t="s">
        <v>110</v>
      </c>
      <c r="F71" s="190" t="s">
        <v>110</v>
      </c>
      <c r="G71" s="1"/>
    </row>
    <row r="72" spans="1:7" ht="15.6" x14ac:dyDescent="0.3">
      <c r="A72" s="1" t="s">
        <v>13</v>
      </c>
      <c r="B72" s="184" t="s">
        <v>156</v>
      </c>
      <c r="C72" s="183">
        <v>20</v>
      </c>
      <c r="D72" s="189"/>
      <c r="E72" s="3"/>
      <c r="F72" s="190"/>
      <c r="G72" s="1"/>
    </row>
    <row r="73" spans="1:7" ht="15.6" x14ac:dyDescent="0.3">
      <c r="A73" s="1" t="s">
        <v>23</v>
      </c>
      <c r="B73" s="184" t="s">
        <v>397</v>
      </c>
      <c r="C73" s="183">
        <v>20</v>
      </c>
      <c r="D73" s="189"/>
      <c r="E73" s="3"/>
      <c r="F73" s="190"/>
      <c r="G73" s="1"/>
    </row>
    <row r="74" spans="1:7" ht="15.6" x14ac:dyDescent="0.3">
      <c r="A74" s="1" t="s">
        <v>110</v>
      </c>
      <c r="B74" s="184" t="s">
        <v>400</v>
      </c>
      <c r="C74" s="183">
        <v>20</v>
      </c>
      <c r="D74" s="189"/>
      <c r="E74" s="3"/>
      <c r="F74" s="190"/>
      <c r="G74" s="1"/>
    </row>
    <row r="75" spans="1:7" ht="15.6" x14ac:dyDescent="0.3">
      <c r="A75" s="1" t="s">
        <v>20</v>
      </c>
      <c r="B75" s="184" t="s">
        <v>161</v>
      </c>
      <c r="C75" s="183">
        <v>20</v>
      </c>
      <c r="D75" s="189" t="s">
        <v>110</v>
      </c>
      <c r="E75" s="3" t="s">
        <v>110</v>
      </c>
      <c r="F75" s="190" t="s">
        <v>110</v>
      </c>
      <c r="G75" s="1"/>
    </row>
    <row r="76" spans="1:7" ht="15.6" x14ac:dyDescent="0.3">
      <c r="A76" s="1" t="s">
        <v>110</v>
      </c>
      <c r="B76" s="184" t="s">
        <v>394</v>
      </c>
      <c r="C76" s="183">
        <v>20</v>
      </c>
      <c r="D76" s="189"/>
      <c r="E76" s="3"/>
      <c r="F76" s="190"/>
      <c r="G76" s="1"/>
    </row>
    <row r="77" spans="1:7" ht="15.6" x14ac:dyDescent="0.3">
      <c r="A77" s="1" t="s">
        <v>13</v>
      </c>
      <c r="B77" s="184" t="s">
        <v>158</v>
      </c>
      <c r="C77" s="183">
        <v>20</v>
      </c>
      <c r="D77" s="189"/>
      <c r="E77" s="3"/>
      <c r="F77" s="190"/>
      <c r="G77" s="1"/>
    </row>
    <row r="78" spans="1:7" ht="15.6" x14ac:dyDescent="0.3">
      <c r="A78" s="1"/>
      <c r="B78" s="184" t="s">
        <v>398</v>
      </c>
      <c r="C78" s="183">
        <v>20</v>
      </c>
      <c r="D78" s="189" t="s">
        <v>28</v>
      </c>
      <c r="E78" s="3" t="s">
        <v>28</v>
      </c>
      <c r="F78" s="190" t="s">
        <v>28</v>
      </c>
      <c r="G78" s="1"/>
    </row>
    <row r="79" spans="1:7" ht="15.6" x14ac:dyDescent="0.3">
      <c r="A79" s="1" t="s">
        <v>23</v>
      </c>
      <c r="B79" s="246" t="s">
        <v>833</v>
      </c>
      <c r="C79" s="19">
        <v>21</v>
      </c>
      <c r="D79" s="189" t="s">
        <v>28</v>
      </c>
      <c r="E79" s="189" t="s">
        <v>28</v>
      </c>
      <c r="F79" s="189" t="s">
        <v>35</v>
      </c>
      <c r="G79" s="1"/>
    </row>
    <row r="80" spans="1:7" x14ac:dyDescent="0.3">
      <c r="A80" s="1" t="s">
        <v>20</v>
      </c>
      <c r="B80" s="254" t="s">
        <v>1026</v>
      </c>
      <c r="C80" s="19">
        <v>21</v>
      </c>
      <c r="D80" s="189" t="s">
        <v>28</v>
      </c>
      <c r="E80" s="3" t="s">
        <v>28</v>
      </c>
      <c r="F80" s="190" t="s">
        <v>28</v>
      </c>
      <c r="G80" s="1"/>
    </row>
    <row r="81" spans="1:7" ht="15.6" x14ac:dyDescent="0.3">
      <c r="A81" s="1" t="s">
        <v>13</v>
      </c>
      <c r="B81" s="182" t="s">
        <v>836</v>
      </c>
      <c r="C81" s="99">
        <v>21</v>
      </c>
      <c r="D81" s="189" t="s">
        <v>24</v>
      </c>
      <c r="E81" s="3" t="s">
        <v>24</v>
      </c>
      <c r="F81" s="190" t="s">
        <v>24</v>
      </c>
      <c r="G81" s="1"/>
    </row>
    <row r="82" spans="1:7" ht="15.6" x14ac:dyDescent="0.3">
      <c r="A82" s="1" t="s">
        <v>23</v>
      </c>
      <c r="B82" s="247" t="s">
        <v>839</v>
      </c>
      <c r="C82" s="186">
        <v>21</v>
      </c>
      <c r="D82" s="189" t="s">
        <v>16</v>
      </c>
      <c r="E82" s="3" t="s">
        <v>16</v>
      </c>
      <c r="F82" s="190" t="s">
        <v>35</v>
      </c>
      <c r="G82" s="1"/>
    </row>
    <row r="83" spans="1:7" ht="15.6" x14ac:dyDescent="0.3">
      <c r="A83" s="1" t="s">
        <v>20</v>
      </c>
      <c r="B83" s="246" t="s">
        <v>837</v>
      </c>
      <c r="C83" s="99">
        <v>21</v>
      </c>
      <c r="D83" s="189" t="s">
        <v>16</v>
      </c>
      <c r="E83" s="3" t="s">
        <v>110</v>
      </c>
      <c r="F83" s="190" t="s">
        <v>110</v>
      </c>
      <c r="G83" s="1"/>
    </row>
    <row r="84" spans="1:7" ht="15.6" x14ac:dyDescent="0.3">
      <c r="A84" s="1" t="s">
        <v>13</v>
      </c>
      <c r="B84" s="246" t="s">
        <v>834</v>
      </c>
      <c r="C84" s="19">
        <v>21</v>
      </c>
      <c r="D84" s="189" t="s">
        <v>28</v>
      </c>
      <c r="E84" s="3" t="s">
        <v>35</v>
      </c>
      <c r="F84" s="190"/>
      <c r="G84" s="1"/>
    </row>
    <row r="85" spans="1:7" x14ac:dyDescent="0.3">
      <c r="A85" s="1" t="s">
        <v>23</v>
      </c>
      <c r="B85" s="1" t="s">
        <v>835</v>
      </c>
      <c r="C85" s="19">
        <v>21</v>
      </c>
      <c r="D85" s="189" t="s">
        <v>28</v>
      </c>
      <c r="E85" s="189" t="s">
        <v>28</v>
      </c>
      <c r="F85" s="189" t="s">
        <v>28</v>
      </c>
      <c r="G85" s="1"/>
    </row>
    <row r="86" spans="1:7" ht="15.6" x14ac:dyDescent="0.3">
      <c r="A86" s="1" t="s">
        <v>13</v>
      </c>
      <c r="B86" s="246" t="s">
        <v>832</v>
      </c>
      <c r="C86" s="19">
        <v>21</v>
      </c>
      <c r="D86" s="189" t="s">
        <v>16</v>
      </c>
      <c r="E86" s="3" t="s">
        <v>28</v>
      </c>
      <c r="F86" s="190" t="s">
        <v>28</v>
      </c>
      <c r="G86" s="1"/>
    </row>
    <row r="87" spans="1:7" ht="15.6" x14ac:dyDescent="0.3">
      <c r="A87" s="1" t="s">
        <v>13</v>
      </c>
      <c r="B87" s="246" t="s">
        <v>983</v>
      </c>
      <c r="C87" s="19">
        <v>21</v>
      </c>
      <c r="D87" s="189" t="s">
        <v>28</v>
      </c>
      <c r="E87" s="3" t="s">
        <v>28</v>
      </c>
      <c r="F87" s="190"/>
      <c r="G87" s="1"/>
    </row>
    <row r="88" spans="1:7" ht="15.6" x14ac:dyDescent="0.3">
      <c r="A88" s="1" t="s">
        <v>23</v>
      </c>
      <c r="B88" s="246" t="s">
        <v>1027</v>
      </c>
      <c r="C88" s="19">
        <v>21</v>
      </c>
      <c r="D88" s="189" t="s">
        <v>24</v>
      </c>
      <c r="E88" s="189" t="s">
        <v>24</v>
      </c>
      <c r="F88" s="189" t="s">
        <v>24</v>
      </c>
      <c r="G88" s="1"/>
    </row>
    <row r="89" spans="1:7" ht="15.6" x14ac:dyDescent="0.3">
      <c r="A89" s="1" t="s">
        <v>20</v>
      </c>
      <c r="B89" s="246" t="s">
        <v>984</v>
      </c>
      <c r="C89" s="19">
        <v>21</v>
      </c>
      <c r="D89" s="187" t="s">
        <v>16</v>
      </c>
      <c r="E89" s="3" t="s">
        <v>28</v>
      </c>
      <c r="F89" s="190" t="s">
        <v>110</v>
      </c>
      <c r="G89" s="1"/>
    </row>
    <row r="90" spans="1:7" ht="15.6" x14ac:dyDescent="0.3">
      <c r="A90" s="1" t="s">
        <v>20</v>
      </c>
      <c r="B90" s="243" t="s">
        <v>985</v>
      </c>
      <c r="C90" s="157">
        <v>21</v>
      </c>
      <c r="D90" s="14" t="s">
        <v>110</v>
      </c>
      <c r="E90" s="189" t="s">
        <v>110</v>
      </c>
      <c r="F90" s="190" t="s">
        <v>110</v>
      </c>
      <c r="G90" s="1"/>
    </row>
    <row r="91" spans="1:7" ht="15.6" x14ac:dyDescent="0.3">
      <c r="A91" s="1" t="s">
        <v>23</v>
      </c>
      <c r="B91" s="246" t="s">
        <v>1028</v>
      </c>
      <c r="C91" s="19">
        <v>21</v>
      </c>
      <c r="D91" s="253" t="s">
        <v>16</v>
      </c>
      <c r="E91" s="48"/>
      <c r="F91" s="190"/>
      <c r="G91" s="1"/>
    </row>
    <row r="92" spans="1:7" ht="15.6" x14ac:dyDescent="0.3">
      <c r="A92" s="1" t="s">
        <v>20</v>
      </c>
      <c r="B92" s="246" t="s">
        <v>986</v>
      </c>
      <c r="C92" s="157">
        <v>21</v>
      </c>
      <c r="D92" s="14" t="s">
        <v>28</v>
      </c>
      <c r="E92" s="14" t="s">
        <v>16</v>
      </c>
      <c r="F92" s="252" t="s">
        <v>110</v>
      </c>
      <c r="G92" s="1"/>
    </row>
    <row r="93" spans="1:7" ht="15.6" x14ac:dyDescent="0.3">
      <c r="A93" s="1" t="s">
        <v>13</v>
      </c>
      <c r="B93" s="255" t="s">
        <v>987</v>
      </c>
      <c r="C93" s="178">
        <v>21</v>
      </c>
      <c r="D93" s="216" t="s">
        <v>16</v>
      </c>
      <c r="E93" s="253" t="s">
        <v>28</v>
      </c>
      <c r="F93" s="191" t="s">
        <v>28</v>
      </c>
      <c r="G93" s="33"/>
    </row>
    <row r="94" spans="1:7" ht="15.6" x14ac:dyDescent="0.3">
      <c r="A94" s="1" t="s">
        <v>23</v>
      </c>
      <c r="B94" s="244" t="s">
        <v>847</v>
      </c>
      <c r="C94" s="19">
        <v>22</v>
      </c>
      <c r="D94" s="216"/>
      <c r="E94" s="14" t="s">
        <v>110</v>
      </c>
      <c r="F94" s="14" t="s">
        <v>110</v>
      </c>
      <c r="G94" s="9"/>
    </row>
    <row r="95" spans="1:7" x14ac:dyDescent="0.3">
      <c r="A95" s="1" t="s">
        <v>20</v>
      </c>
      <c r="B95" s="68" t="s">
        <v>848</v>
      </c>
      <c r="C95" s="99">
        <v>22</v>
      </c>
      <c r="D95" s="78" t="s">
        <v>24</v>
      </c>
      <c r="E95" s="14" t="s">
        <v>110</v>
      </c>
      <c r="F95" s="14" t="s">
        <v>110</v>
      </c>
      <c r="G95" s="9"/>
    </row>
    <row r="96" spans="1:7" ht="15.6" x14ac:dyDescent="0.3">
      <c r="A96" s="1" t="s">
        <v>13</v>
      </c>
      <c r="B96" s="247" t="s">
        <v>843</v>
      </c>
      <c r="C96" s="177">
        <v>22</v>
      </c>
      <c r="D96" s="14" t="s">
        <v>28</v>
      </c>
      <c r="E96" s="160" t="s">
        <v>110</v>
      </c>
      <c r="F96" s="14" t="s">
        <v>110</v>
      </c>
      <c r="G96" s="79"/>
    </row>
    <row r="97" spans="1:7" ht="15.6" x14ac:dyDescent="0.3">
      <c r="A97" s="1" t="s">
        <v>23</v>
      </c>
      <c r="B97" s="247" t="s">
        <v>988</v>
      </c>
      <c r="C97" s="99">
        <v>22</v>
      </c>
      <c r="D97" s="216" t="s">
        <v>16</v>
      </c>
      <c r="E97" s="14" t="s">
        <v>110</v>
      </c>
      <c r="F97" s="14" t="s">
        <v>110</v>
      </c>
      <c r="G97" s="79"/>
    </row>
    <row r="98" spans="1:7" ht="15.6" x14ac:dyDescent="0.3">
      <c r="A98" s="1" t="s">
        <v>20</v>
      </c>
      <c r="B98" s="247" t="s">
        <v>851</v>
      </c>
      <c r="C98" s="99">
        <v>22</v>
      </c>
      <c r="D98" s="216" t="s">
        <v>16</v>
      </c>
      <c r="E98" s="14" t="s">
        <v>110</v>
      </c>
      <c r="F98" s="14" t="s">
        <v>110</v>
      </c>
      <c r="G98" s="79"/>
    </row>
    <row r="99" spans="1:7" ht="15.6" x14ac:dyDescent="0.3">
      <c r="A99" s="1" t="s">
        <v>13</v>
      </c>
      <c r="B99" s="247" t="s">
        <v>1029</v>
      </c>
      <c r="C99" s="99">
        <v>22</v>
      </c>
      <c r="D99" s="216" t="s">
        <v>28</v>
      </c>
      <c r="E99" s="14" t="s">
        <v>110</v>
      </c>
      <c r="F99" s="14" t="s">
        <v>110</v>
      </c>
      <c r="G99" s="79"/>
    </row>
    <row r="100" spans="1:7" ht="15.6" x14ac:dyDescent="0.3">
      <c r="A100" s="1" t="s">
        <v>23</v>
      </c>
      <c r="B100" s="247" t="s">
        <v>860</v>
      </c>
      <c r="C100" s="99">
        <v>22</v>
      </c>
      <c r="D100" s="216" t="s">
        <v>28</v>
      </c>
      <c r="E100" s="14" t="s">
        <v>110</v>
      </c>
      <c r="F100" s="14" t="s">
        <v>110</v>
      </c>
      <c r="G100" s="79"/>
    </row>
    <row r="101" spans="1:7" ht="15.6" x14ac:dyDescent="0.3">
      <c r="A101" s="1" t="s">
        <v>20</v>
      </c>
      <c r="B101" s="247" t="s">
        <v>1030</v>
      </c>
      <c r="C101" s="99">
        <v>22</v>
      </c>
      <c r="D101" s="216" t="s">
        <v>110</v>
      </c>
      <c r="E101" s="14" t="s">
        <v>110</v>
      </c>
      <c r="F101" s="14" t="s">
        <v>110</v>
      </c>
      <c r="G101" s="79"/>
    </row>
    <row r="102" spans="1:7" ht="15.6" x14ac:dyDescent="0.3">
      <c r="A102" s="1" t="s">
        <v>13</v>
      </c>
      <c r="B102" s="247" t="s">
        <v>857</v>
      </c>
      <c r="C102" s="99">
        <v>22</v>
      </c>
      <c r="D102" s="216" t="s">
        <v>28</v>
      </c>
      <c r="E102" s="14" t="s">
        <v>110</v>
      </c>
      <c r="F102" s="14" t="s">
        <v>110</v>
      </c>
      <c r="G102" s="79"/>
    </row>
    <row r="103" spans="1:7" ht="15.6" x14ac:dyDescent="0.3">
      <c r="A103" s="1" t="s">
        <v>23</v>
      </c>
      <c r="B103" s="247" t="s">
        <v>989</v>
      </c>
      <c r="C103" s="99">
        <v>23</v>
      </c>
      <c r="D103" s="216" t="s">
        <v>16</v>
      </c>
      <c r="E103" s="14" t="s">
        <v>110</v>
      </c>
      <c r="F103" s="14" t="s">
        <v>110</v>
      </c>
      <c r="G103" s="79"/>
    </row>
    <row r="104" spans="1:7" ht="15.6" x14ac:dyDescent="0.3">
      <c r="A104" s="1" t="s">
        <v>20</v>
      </c>
      <c r="B104" s="247" t="s">
        <v>990</v>
      </c>
      <c r="C104" s="99">
        <v>23</v>
      </c>
      <c r="D104" s="216" t="s">
        <v>35</v>
      </c>
      <c r="E104" s="14" t="s">
        <v>110</v>
      </c>
      <c r="F104" s="14" t="s">
        <v>110</v>
      </c>
      <c r="G104" s="79"/>
    </row>
    <row r="105" spans="1:7" ht="15.6" x14ac:dyDescent="0.3">
      <c r="A105" s="1" t="s">
        <v>13</v>
      </c>
      <c r="B105" s="247" t="s">
        <v>991</v>
      </c>
      <c r="C105" s="99">
        <v>23</v>
      </c>
      <c r="D105" s="216" t="s">
        <v>28</v>
      </c>
      <c r="E105" s="14" t="s">
        <v>110</v>
      </c>
      <c r="F105" s="14" t="s">
        <v>110</v>
      </c>
      <c r="G105" s="79"/>
    </row>
    <row r="106" spans="1:7" ht="15.6" x14ac:dyDescent="0.3">
      <c r="A106" s="1" t="s">
        <v>23</v>
      </c>
      <c r="B106" s="247" t="s">
        <v>992</v>
      </c>
      <c r="C106" s="99">
        <v>23</v>
      </c>
      <c r="D106" s="216" t="s">
        <v>35</v>
      </c>
      <c r="E106" s="14" t="s">
        <v>110</v>
      </c>
      <c r="F106" s="14" t="s">
        <v>110</v>
      </c>
      <c r="G106" s="79"/>
    </row>
    <row r="107" spans="1:7" ht="15.6" x14ac:dyDescent="0.3">
      <c r="A107" s="1" t="s">
        <v>13</v>
      </c>
      <c r="B107" s="247" t="s">
        <v>1042</v>
      </c>
      <c r="C107" s="99">
        <v>23</v>
      </c>
      <c r="D107" s="216" t="s">
        <v>16</v>
      </c>
      <c r="E107" s="14" t="s">
        <v>110</v>
      </c>
      <c r="F107" s="14" t="s">
        <v>110</v>
      </c>
      <c r="G107" s="79"/>
    </row>
    <row r="108" spans="1:7" ht="15.6" x14ac:dyDescent="0.3">
      <c r="A108" s="1" t="s">
        <v>13</v>
      </c>
      <c r="B108" s="247" t="s">
        <v>993</v>
      </c>
      <c r="C108" s="99">
        <v>23</v>
      </c>
      <c r="D108" s="216" t="s">
        <v>16</v>
      </c>
      <c r="E108" s="14" t="s">
        <v>110</v>
      </c>
      <c r="F108" s="14" t="s">
        <v>110</v>
      </c>
      <c r="G108" s="79"/>
    </row>
    <row r="109" spans="1:7" ht="15.6" x14ac:dyDescent="0.3">
      <c r="A109" s="1" t="s">
        <v>23</v>
      </c>
      <c r="B109" s="247" t="s">
        <v>994</v>
      </c>
      <c r="C109" s="99">
        <v>23</v>
      </c>
      <c r="D109" s="216" t="s">
        <v>35</v>
      </c>
      <c r="E109" s="14" t="s">
        <v>110</v>
      </c>
      <c r="F109" s="14" t="s">
        <v>110</v>
      </c>
      <c r="G109" s="79"/>
    </row>
    <row r="110" spans="1:7" ht="15.6" x14ac:dyDescent="0.3">
      <c r="A110" s="1" t="s">
        <v>13</v>
      </c>
      <c r="B110" s="247" t="s">
        <v>995</v>
      </c>
      <c r="C110" s="99">
        <v>23</v>
      </c>
      <c r="D110" s="216" t="s">
        <v>28</v>
      </c>
      <c r="E110" s="14" t="s">
        <v>110</v>
      </c>
      <c r="F110" s="14" t="s">
        <v>110</v>
      </c>
      <c r="G110" s="79"/>
    </row>
    <row r="111" spans="1:7" ht="15.6" x14ac:dyDescent="0.3">
      <c r="A111" s="58" t="s">
        <v>13</v>
      </c>
      <c r="B111" s="247" t="s">
        <v>996</v>
      </c>
      <c r="C111" s="99">
        <v>23</v>
      </c>
      <c r="D111" s="216" t="s">
        <v>16</v>
      </c>
      <c r="E111" s="14" t="s">
        <v>110</v>
      </c>
      <c r="F111" s="14" t="s">
        <v>110</v>
      </c>
      <c r="G111" s="79"/>
    </row>
    <row r="114" spans="2:7" x14ac:dyDescent="0.3">
      <c r="B114" s="371" t="s">
        <v>1025</v>
      </c>
      <c r="C114" s="371"/>
      <c r="D114" s="3">
        <f>+COUNTIF(D4:D113,"OK")</f>
        <v>14</v>
      </c>
      <c r="E114" s="3">
        <f>+COUNTIF(E4:E113,"OK")</f>
        <v>7</v>
      </c>
      <c r="F114" s="3">
        <f>+COUNTIF(F4:F113,"OK")</f>
        <v>3</v>
      </c>
    </row>
    <row r="115" spans="2:7" x14ac:dyDescent="0.3">
      <c r="B115" s="109" t="s">
        <v>902</v>
      </c>
      <c r="D115" s="5">
        <v>15</v>
      </c>
      <c r="E115" s="5">
        <v>8</v>
      </c>
      <c r="F115" s="5">
        <v>8</v>
      </c>
    </row>
    <row r="119" spans="2:7" x14ac:dyDescent="0.3">
      <c r="B119" s="16"/>
      <c r="C119"/>
    </row>
    <row r="120" spans="2:7" x14ac:dyDescent="0.3">
      <c r="D120" s="372" t="s">
        <v>905</v>
      </c>
      <c r="E120" s="372"/>
      <c r="F120" s="372"/>
      <c r="G120" s="53" t="s">
        <v>903</v>
      </c>
    </row>
    <row r="121" spans="2:7" ht="15.6" x14ac:dyDescent="0.3">
      <c r="B121" s="373" t="s">
        <v>1032</v>
      </c>
      <c r="C121" s="351"/>
      <c r="D121" s="52">
        <f>+D114</f>
        <v>14</v>
      </c>
      <c r="E121" s="52">
        <f>+E114</f>
        <v>7</v>
      </c>
      <c r="F121" s="52">
        <f t="shared" ref="F121" si="0">+F114</f>
        <v>3</v>
      </c>
    </row>
    <row r="122" spans="2:7" x14ac:dyDescent="0.3">
      <c r="D122" s="108" t="s">
        <v>1033</v>
      </c>
      <c r="E122" s="108" t="s">
        <v>1034</v>
      </c>
      <c r="F122" s="108" t="s">
        <v>1035</v>
      </c>
    </row>
    <row r="123" spans="2:7" x14ac:dyDescent="0.3">
      <c r="D123" s="354" t="s">
        <v>910</v>
      </c>
      <c r="E123" s="355"/>
      <c r="F123" s="356"/>
      <c r="G123" s="5"/>
    </row>
    <row r="126" spans="2:7" x14ac:dyDescent="0.3">
      <c r="F126" s="5">
        <f>77.5/2</f>
        <v>38.75</v>
      </c>
    </row>
  </sheetData>
  <autoFilter ref="A3:J111" xr:uid="{2CAD3197-8722-4D3D-9CCA-B526FAF486FA}">
    <filterColumn colId="8" showButton="0"/>
  </autoFilter>
  <mergeCells count="6">
    <mergeCell ref="D123:F123"/>
    <mergeCell ref="A2:C2"/>
    <mergeCell ref="I1:J1"/>
    <mergeCell ref="B114:C114"/>
    <mergeCell ref="D120:F120"/>
    <mergeCell ref="B121:C121"/>
  </mergeCells>
  <conditionalFormatting sqref="B32">
    <cfRule type="expression" dxfId="496" priority="6">
      <formula>COUNTIF($A32:Z32, "NI")</formula>
    </cfRule>
  </conditionalFormatting>
  <conditionalFormatting sqref="B3:C3">
    <cfRule type="expression" dxfId="495" priority="56">
      <formula>COUNTIF($A3:W3, "NI")</formula>
    </cfRule>
  </conditionalFormatting>
  <conditionalFormatting sqref="B4:C31 B50">
    <cfRule type="expression" dxfId="494" priority="7">
      <formula>COUNTIF($B4:Z4, "C")</formula>
    </cfRule>
    <cfRule type="expression" dxfId="493" priority="8">
      <formula>COUNTIF($B4:Z4, "Q")</formula>
    </cfRule>
    <cfRule type="expression" dxfId="492" priority="9">
      <formula>COUNTIF($B4:Z4, "M")</formula>
    </cfRule>
    <cfRule type="expression" dxfId="491" priority="10">
      <formula>COUNTIF($B4:Z4, "A")</formula>
    </cfRule>
    <cfRule type="expression" dxfId="490" priority="11">
      <formula>COUNTIF($A4:Z4, "NI")</formula>
    </cfRule>
  </conditionalFormatting>
  <conditionalFormatting sqref="B36:C36">
    <cfRule type="expression" dxfId="489" priority="483">
      <formula>COUNTIF(#REF!, "C")</formula>
    </cfRule>
    <cfRule type="expression" dxfId="488" priority="484">
      <formula>COUNTIF(#REF!, "Q")</formula>
    </cfRule>
    <cfRule type="expression" dxfId="487" priority="485">
      <formula>COUNTIF(#REF!, "M")</formula>
    </cfRule>
    <cfRule type="expression" dxfId="486" priority="486">
      <formula>COUNTIF(#REF!, "A")</formula>
    </cfRule>
    <cfRule type="expression" dxfId="485" priority="487">
      <formula>COUNTIF(#REF!, "NI")</formula>
    </cfRule>
  </conditionalFormatting>
  <conditionalFormatting sqref="B37:C37">
    <cfRule type="expression" dxfId="484" priority="17">
      <formula>COUNTIF($B37:Z37, "C")</formula>
    </cfRule>
    <cfRule type="expression" dxfId="483" priority="18">
      <formula>COUNTIF($B37:Z37, "Q")</formula>
    </cfRule>
    <cfRule type="expression" dxfId="482" priority="19">
      <formula>COUNTIF($B37:Z37, "M")</formula>
    </cfRule>
    <cfRule type="expression" dxfId="481" priority="20">
      <formula>COUNTIF($B37:Z37, "A")</formula>
    </cfRule>
    <cfRule type="expression" dxfId="480" priority="21">
      <formula>COUNTIF($A37:Z37, "NI")</formula>
    </cfRule>
  </conditionalFormatting>
  <conditionalFormatting sqref="B38:C39 C40 B41:C49 C50 B51:C59">
    <cfRule type="expression" dxfId="479" priority="16">
      <formula>COUNTIF($A38:Z38, "NI")</formula>
    </cfRule>
  </conditionalFormatting>
  <conditionalFormatting sqref="C3">
    <cfRule type="expression" dxfId="478" priority="52">
      <formula>COUNTIF($A3:X3, "C")</formula>
    </cfRule>
    <cfRule type="expression" dxfId="477" priority="53">
      <formula>COUNTIF($A3:X3, "Q")</formula>
    </cfRule>
    <cfRule type="expression" dxfId="476" priority="54">
      <formula>COUNTIF($A3:X3, "M")</formula>
    </cfRule>
    <cfRule type="expression" dxfId="475" priority="55">
      <formula>COUNTIF($A3:X3, "A")</formula>
    </cfRule>
  </conditionalFormatting>
  <conditionalFormatting sqref="C32 B33:C35 B79:B80 B83:B92 C84:C93 B94:C95 C96:C111">
    <cfRule type="expression" dxfId="474" priority="32">
      <formula>COUNTIF($B32:Z32, "C")</formula>
    </cfRule>
    <cfRule type="expression" dxfId="473" priority="33">
      <formula>COUNTIF($B32:Z32, "Q")</formula>
    </cfRule>
    <cfRule type="expression" dxfId="472" priority="34">
      <formula>COUNTIF($B32:Z32, "M")</formula>
    </cfRule>
    <cfRule type="expression" dxfId="471" priority="35">
      <formula>COUNTIF($B32:Z32, "A")</formula>
    </cfRule>
    <cfRule type="expression" dxfId="470" priority="36">
      <formula>COUNTIF($A32:Z32, "NI")</formula>
    </cfRule>
  </conditionalFormatting>
  <conditionalFormatting sqref="C38:C59">
    <cfRule type="expression" dxfId="469" priority="12">
      <formula>COUNTIF($B38:AA38, "C")</formula>
    </cfRule>
    <cfRule type="expression" dxfId="468" priority="13">
      <formula>COUNTIF($B38:AA38, "Q")</formula>
    </cfRule>
    <cfRule type="expression" dxfId="467" priority="14">
      <formula>COUNTIF($B38:AA38, "M")</formula>
    </cfRule>
    <cfRule type="expression" dxfId="466" priority="15">
      <formula>COUNTIF($B38:AA38, "A")</formula>
    </cfRule>
  </conditionalFormatting>
  <conditionalFormatting sqref="C61:C64">
    <cfRule type="expression" dxfId="465" priority="453">
      <formula>COUNTIF($B115:AA115, "C")</formula>
    </cfRule>
    <cfRule type="expression" dxfId="464" priority="454">
      <formula>COUNTIF($B115:AA115, "Q")</formula>
    </cfRule>
    <cfRule type="expression" dxfId="463" priority="455">
      <formula>COUNTIF($B115:AA115, "M")</formula>
    </cfRule>
    <cfRule type="expression" dxfId="462" priority="456">
      <formula>COUNTIF($B115:AA115, "A")</formula>
    </cfRule>
    <cfRule type="expression" dxfId="461" priority="457">
      <formula>COUNTIF($A115:AA115, "NI")</formula>
    </cfRule>
  </conditionalFormatting>
  <conditionalFormatting sqref="C65:C68">
    <cfRule type="expression" dxfId="460" priority="473">
      <formula>COUNTIF($B121:AA121, "C")</formula>
    </cfRule>
    <cfRule type="expression" dxfId="459" priority="474">
      <formula>COUNTIF($B121:AA121, "Q")</formula>
    </cfRule>
    <cfRule type="expression" dxfId="458" priority="475">
      <formula>COUNTIF($B121:AA121, "M")</formula>
    </cfRule>
    <cfRule type="expression" dxfId="457" priority="476">
      <formula>COUNTIF($B121:AA121, "A")</formula>
    </cfRule>
    <cfRule type="expression" dxfId="456" priority="477">
      <formula>COUNTIF($A121:AA121, "NI")</formula>
    </cfRule>
  </conditionalFormatting>
  <conditionalFormatting sqref="C69">
    <cfRule type="expression" dxfId="455" priority="458">
      <formula>COUNTIF($B126:AA126, "C")</formula>
    </cfRule>
    <cfRule type="expression" dxfId="454" priority="459">
      <formula>COUNTIF($B126:AA126, "Q")</formula>
    </cfRule>
    <cfRule type="expression" dxfId="453" priority="460">
      <formula>COUNTIF($B126:AA126, "M")</formula>
    </cfRule>
    <cfRule type="expression" dxfId="452" priority="461">
      <formula>COUNTIF($B126:AA126, "A")</formula>
    </cfRule>
    <cfRule type="expression" dxfId="451" priority="462">
      <formula>COUNTIF($A126:AA126, "NI")</formula>
    </cfRule>
  </conditionalFormatting>
  <conditionalFormatting sqref="C70">
    <cfRule type="expression" dxfId="450" priority="463">
      <formula>COUNTIF($B128:AA128, "C")</formula>
    </cfRule>
    <cfRule type="expression" dxfId="449" priority="464">
      <formula>COUNTIF($B128:AA128, "Q")</formula>
    </cfRule>
    <cfRule type="expression" dxfId="448" priority="465">
      <formula>COUNTIF($B128:AA128, "M")</formula>
    </cfRule>
    <cfRule type="expression" dxfId="447" priority="466">
      <formula>COUNTIF($B128:AA128, "A")</formula>
    </cfRule>
    <cfRule type="expression" dxfId="446" priority="467">
      <formula>COUNTIF($A128:AA128, "NI")</formula>
    </cfRule>
  </conditionalFormatting>
  <conditionalFormatting sqref="C71:C76">
    <cfRule type="expression" dxfId="445" priority="468">
      <formula>COUNTIF($B130:AA130, "C")</formula>
    </cfRule>
    <cfRule type="expression" dxfId="444" priority="469">
      <formula>COUNTIF($B130:AA130, "Q")</formula>
    </cfRule>
    <cfRule type="expression" dxfId="443" priority="470">
      <formula>COUNTIF($B130:AA130, "M")</formula>
    </cfRule>
    <cfRule type="expression" dxfId="442" priority="471">
      <formula>COUNTIF($B130:AA130, "A")</formula>
    </cfRule>
    <cfRule type="expression" dxfId="441" priority="472">
      <formula>COUNTIF($A130:AA130, "NI")</formula>
    </cfRule>
  </conditionalFormatting>
  <conditionalFormatting sqref="C77:C78">
    <cfRule type="expression" dxfId="440" priority="448">
      <formula>COUNTIF($B137:AA137, "C")</formula>
    </cfRule>
    <cfRule type="expression" dxfId="439" priority="449">
      <formula>COUNTIF($B137:AA137, "Q")</formula>
    </cfRule>
    <cfRule type="expression" dxfId="438" priority="450">
      <formula>COUNTIF($B137:AA137, "M")</formula>
    </cfRule>
    <cfRule type="expression" dxfId="437" priority="451">
      <formula>COUNTIF($B137:AA137, "A")</formula>
    </cfRule>
    <cfRule type="expression" dxfId="436" priority="452">
      <formula>COUNTIF($A137:AA137, "NI")</formula>
    </cfRule>
  </conditionalFormatting>
  <conditionalFormatting sqref="C79:C80">
    <cfRule type="expression" dxfId="435" priority="478">
      <formula>COUNTIF($B120:AA120, "C")</formula>
    </cfRule>
    <cfRule type="expression" dxfId="434" priority="479">
      <formula>COUNTIF($B120:AA120, "Q")</formula>
    </cfRule>
    <cfRule type="expression" dxfId="433" priority="480">
      <formula>COUNTIF($B120:AA120, "M")</formula>
    </cfRule>
    <cfRule type="expression" dxfId="432" priority="481">
      <formula>COUNTIF($B120:AA120, "A")</formula>
    </cfRule>
    <cfRule type="expression" dxfId="431" priority="482">
      <formula>COUNTIF($A120:AA120, "NI")</formula>
    </cfRule>
  </conditionalFormatting>
  <conditionalFormatting sqref="C81:C83">
    <cfRule type="expression" dxfId="430" priority="433">
      <formula>COUNTIF($B121:AA121, "C")</formula>
    </cfRule>
    <cfRule type="expression" dxfId="429" priority="434">
      <formula>COUNTIF($B121:AA121, "Q")</formula>
    </cfRule>
    <cfRule type="expression" dxfId="428" priority="435">
      <formula>COUNTIF($B121:AA121, "M")</formula>
    </cfRule>
    <cfRule type="expression" dxfId="427" priority="436">
      <formula>COUNTIF($B121:AA121, "A")</formula>
    </cfRule>
    <cfRule type="expression" dxfId="426" priority="437">
      <formula>COUNTIF($A121:AA121, "NI")</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D3197-8722-4D3D-9CCA-B526FAF486FA}">
  <dimension ref="A2:J134"/>
  <sheetViews>
    <sheetView zoomScale="89" workbookViewId="0">
      <pane ySplit="3" topLeftCell="A118" activePane="bottomLeft" state="frozen"/>
      <selection pane="bottomLeft" activeCell="E111" sqref="E111"/>
    </sheetView>
  </sheetViews>
  <sheetFormatPr baseColWidth="10" defaultColWidth="8.88671875" defaultRowHeight="14.4" x14ac:dyDescent="0.3"/>
  <cols>
    <col min="1" max="1" width="14.6640625" customWidth="1"/>
    <col min="2" max="2" width="43.6640625" bestFit="1" customWidth="1"/>
    <col min="3" max="3" width="8.88671875" style="5"/>
    <col min="4" max="5" width="23.6640625" customWidth="1"/>
    <col min="6" max="6" width="25.44140625" customWidth="1"/>
    <col min="7" max="7" width="42.5546875" customWidth="1"/>
    <col min="10" max="10" width="21.6640625" customWidth="1"/>
  </cols>
  <sheetData>
    <row r="2" spans="1:10" ht="18.75" customHeight="1" x14ac:dyDescent="0.35">
      <c r="A2" s="368" t="s">
        <v>816</v>
      </c>
      <c r="B2" s="369"/>
      <c r="C2" s="370"/>
      <c r="D2" s="104" t="s">
        <v>971</v>
      </c>
      <c r="E2" s="104" t="s">
        <v>971</v>
      </c>
      <c r="F2" s="104" t="s">
        <v>971</v>
      </c>
      <c r="G2" s="111" t="s">
        <v>817</v>
      </c>
    </row>
    <row r="3" spans="1:10" s="5" customFormat="1" x14ac:dyDescent="0.3">
      <c r="A3" s="110" t="s">
        <v>4</v>
      </c>
      <c r="B3" s="107" t="s">
        <v>739</v>
      </c>
      <c r="C3" s="107" t="s">
        <v>740</v>
      </c>
      <c r="D3" s="107" t="s">
        <v>973</v>
      </c>
      <c r="E3" s="107" t="s">
        <v>1043</v>
      </c>
      <c r="F3" s="112" t="s">
        <v>1044</v>
      </c>
      <c r="G3" s="3"/>
      <c r="I3" s="366" t="s">
        <v>970</v>
      </c>
      <c r="J3" s="366"/>
    </row>
    <row r="4" spans="1:10" ht="14.4" customHeight="1" x14ac:dyDescent="0.3">
      <c r="A4" s="1" t="s">
        <v>1045</v>
      </c>
      <c r="B4" s="1" t="s">
        <v>92</v>
      </c>
      <c r="C4" s="6">
        <v>4</v>
      </c>
      <c r="D4" s="1"/>
      <c r="E4" s="1"/>
      <c r="F4" s="58"/>
      <c r="G4" s="1"/>
      <c r="I4" s="105" t="s">
        <v>110</v>
      </c>
      <c r="J4" s="106" t="s">
        <v>972</v>
      </c>
    </row>
    <row r="5" spans="1:10" ht="14.4" customHeight="1" x14ac:dyDescent="0.3">
      <c r="A5" s="1" t="s">
        <v>1046</v>
      </c>
      <c r="B5" s="36" t="s">
        <v>34</v>
      </c>
      <c r="C5" s="6">
        <v>5</v>
      </c>
      <c r="D5" s="1"/>
      <c r="E5" s="1"/>
      <c r="F5" s="58"/>
      <c r="G5" s="1"/>
      <c r="I5" s="105" t="s">
        <v>16</v>
      </c>
      <c r="J5" s="106" t="s">
        <v>976</v>
      </c>
    </row>
    <row r="6" spans="1:10" ht="14.4" customHeight="1" x14ac:dyDescent="0.3">
      <c r="A6" s="1" t="s">
        <v>1047</v>
      </c>
      <c r="B6" s="36" t="s">
        <v>1037</v>
      </c>
      <c r="C6" s="6">
        <v>6</v>
      </c>
      <c r="D6" s="1" t="s">
        <v>28</v>
      </c>
      <c r="E6" s="1" t="s">
        <v>16</v>
      </c>
      <c r="F6" s="1" t="s">
        <v>35</v>
      </c>
      <c r="G6" s="1"/>
    </row>
    <row r="7" spans="1:10" ht="14.4" customHeight="1" x14ac:dyDescent="0.3">
      <c r="A7" s="1" t="s">
        <v>1045</v>
      </c>
      <c r="B7" s="36" t="s">
        <v>261</v>
      </c>
      <c r="C7" s="6">
        <v>7</v>
      </c>
      <c r="D7" s="1" t="s">
        <v>16</v>
      </c>
      <c r="E7" s="1" t="s">
        <v>28</v>
      </c>
      <c r="F7" s="58" t="s">
        <v>28</v>
      </c>
      <c r="G7" s="1" t="s">
        <v>934</v>
      </c>
    </row>
    <row r="8" spans="1:10" ht="14.4" customHeight="1" x14ac:dyDescent="0.3">
      <c r="A8" s="1" t="s">
        <v>1046</v>
      </c>
      <c r="B8" s="1" t="s">
        <v>25</v>
      </c>
      <c r="C8" s="6">
        <v>8</v>
      </c>
      <c r="D8" s="1" t="s">
        <v>28</v>
      </c>
      <c r="E8" s="1" t="s">
        <v>28</v>
      </c>
      <c r="F8" s="58" t="s">
        <v>28</v>
      </c>
      <c r="G8" s="1"/>
    </row>
    <row r="9" spans="1:10" ht="14.4" customHeight="1" x14ac:dyDescent="0.3">
      <c r="A9" s="1" t="s">
        <v>1047</v>
      </c>
      <c r="B9" s="36" t="s">
        <v>22</v>
      </c>
      <c r="C9" s="6">
        <v>8</v>
      </c>
      <c r="D9" s="1"/>
      <c r="E9" s="1"/>
      <c r="F9" s="1"/>
      <c r="G9" s="1"/>
    </row>
    <row r="10" spans="1:10" ht="14.4" customHeight="1" x14ac:dyDescent="0.3">
      <c r="A10" s="1" t="s">
        <v>1045</v>
      </c>
      <c r="B10" s="1" t="s">
        <v>277</v>
      </c>
      <c r="C10" s="6">
        <v>10</v>
      </c>
      <c r="D10" s="1" t="s">
        <v>16</v>
      </c>
      <c r="E10" s="1"/>
      <c r="F10" s="58"/>
      <c r="G10" s="1"/>
    </row>
    <row r="11" spans="1:10" ht="14.4" customHeight="1" x14ac:dyDescent="0.3">
      <c r="A11" s="1" t="s">
        <v>1046</v>
      </c>
      <c r="B11" s="1" t="s">
        <v>279</v>
      </c>
      <c r="C11" s="6">
        <v>10</v>
      </c>
      <c r="D11" s="1" t="s">
        <v>16</v>
      </c>
      <c r="E11" s="1" t="s">
        <v>28</v>
      </c>
      <c r="F11" s="58" t="s">
        <v>28</v>
      </c>
      <c r="G11" s="1"/>
    </row>
    <row r="12" spans="1:10" ht="14.4" customHeight="1" x14ac:dyDescent="0.3">
      <c r="A12" s="1" t="s">
        <v>1047</v>
      </c>
      <c r="B12" s="36" t="s">
        <v>305</v>
      </c>
      <c r="C12" s="6">
        <v>10</v>
      </c>
      <c r="D12" s="1" t="s">
        <v>28</v>
      </c>
      <c r="E12" s="1" t="s">
        <v>28</v>
      </c>
      <c r="F12" s="58" t="s">
        <v>28</v>
      </c>
      <c r="G12" s="1"/>
    </row>
    <row r="13" spans="1:10" ht="14.4" customHeight="1" x14ac:dyDescent="0.3">
      <c r="A13" s="1" t="s">
        <v>1045</v>
      </c>
      <c r="B13" s="1" t="s">
        <v>38</v>
      </c>
      <c r="C13" s="6">
        <v>11</v>
      </c>
      <c r="D13" s="1"/>
      <c r="E13" s="1"/>
      <c r="F13" s="58"/>
      <c r="G13" s="1"/>
    </row>
    <row r="14" spans="1:10" ht="14.4" customHeight="1" x14ac:dyDescent="0.3">
      <c r="A14" s="1" t="s">
        <v>1046</v>
      </c>
      <c r="B14" s="36" t="s">
        <v>41</v>
      </c>
      <c r="C14" s="6">
        <v>11</v>
      </c>
      <c r="D14" s="1" t="s">
        <v>24</v>
      </c>
      <c r="E14" s="1" t="s">
        <v>24</v>
      </c>
      <c r="F14" s="58" t="s">
        <v>24</v>
      </c>
      <c r="G14" s="1"/>
    </row>
    <row r="15" spans="1:10" ht="14.4" customHeight="1" x14ac:dyDescent="0.3">
      <c r="A15" s="1" t="s">
        <v>1047</v>
      </c>
      <c r="B15" s="1" t="s">
        <v>53</v>
      </c>
      <c r="C15" s="6">
        <v>11</v>
      </c>
      <c r="D15" s="1"/>
      <c r="E15" s="1"/>
      <c r="F15" s="58"/>
      <c r="G15" s="1"/>
    </row>
    <row r="16" spans="1:10" ht="14.4" customHeight="1" x14ac:dyDescent="0.3">
      <c r="A16" s="1" t="s">
        <v>1045</v>
      </c>
      <c r="B16" s="36" t="s">
        <v>284</v>
      </c>
      <c r="C16" s="6">
        <v>11</v>
      </c>
      <c r="D16" s="1" t="s">
        <v>24</v>
      </c>
      <c r="E16" s="1" t="s">
        <v>24</v>
      </c>
      <c r="F16" s="1" t="s">
        <v>24</v>
      </c>
      <c r="G16" s="1"/>
    </row>
    <row r="17" spans="1:7" ht="14.4" customHeight="1" x14ac:dyDescent="0.3">
      <c r="A17" s="1" t="s">
        <v>1046</v>
      </c>
      <c r="B17" s="1" t="s">
        <v>39</v>
      </c>
      <c r="C17" s="6">
        <v>11</v>
      </c>
      <c r="D17" s="1"/>
      <c r="E17" s="1"/>
      <c r="F17" s="58"/>
      <c r="G17" s="1"/>
    </row>
    <row r="18" spans="1:7" ht="14.4" customHeight="1" x14ac:dyDescent="0.3">
      <c r="A18" s="1" t="s">
        <v>1047</v>
      </c>
      <c r="B18" s="1" t="s">
        <v>42</v>
      </c>
      <c r="C18" s="6">
        <v>11</v>
      </c>
      <c r="D18" s="1"/>
      <c r="E18" s="1"/>
      <c r="F18" s="58"/>
      <c r="G18" s="1"/>
    </row>
    <row r="19" spans="1:7" ht="14.4" customHeight="1" x14ac:dyDescent="0.3">
      <c r="A19" s="1" t="s">
        <v>1045</v>
      </c>
      <c r="B19" s="1" t="s">
        <v>286</v>
      </c>
      <c r="C19" s="6">
        <v>11</v>
      </c>
      <c r="D19" s="1"/>
      <c r="E19" s="1"/>
      <c r="F19" s="58"/>
      <c r="G19" s="1"/>
    </row>
    <row r="20" spans="1:7" ht="14.4" customHeight="1" x14ac:dyDescent="0.3">
      <c r="A20" s="1" t="s">
        <v>1046</v>
      </c>
      <c r="B20" s="36" t="s">
        <v>575</v>
      </c>
      <c r="C20" s="6">
        <v>11</v>
      </c>
      <c r="D20" s="1" t="s">
        <v>16</v>
      </c>
      <c r="E20" s="1"/>
      <c r="F20" s="1"/>
      <c r="G20" s="1"/>
    </row>
    <row r="21" spans="1:7" ht="14.4" customHeight="1" x14ac:dyDescent="0.3">
      <c r="A21" s="1" t="s">
        <v>1047</v>
      </c>
      <c r="B21" s="36" t="s">
        <v>45</v>
      </c>
      <c r="C21" s="6">
        <v>12</v>
      </c>
      <c r="D21" s="1"/>
      <c r="E21" s="1"/>
      <c r="F21" s="58"/>
      <c r="G21" s="1"/>
    </row>
    <row r="22" spans="1:7" ht="14.4" customHeight="1" x14ac:dyDescent="0.3">
      <c r="A22" s="1" t="s">
        <v>1045</v>
      </c>
      <c r="B22" s="1" t="s">
        <v>298</v>
      </c>
      <c r="C22" s="6">
        <v>12</v>
      </c>
      <c r="D22" s="1"/>
      <c r="E22" s="1"/>
      <c r="F22" s="58"/>
      <c r="G22" s="1"/>
    </row>
    <row r="23" spans="1:7" ht="14.4" customHeight="1" x14ac:dyDescent="0.3">
      <c r="A23" s="1" t="s">
        <v>1046</v>
      </c>
      <c r="B23" s="1" t="s">
        <v>51</v>
      </c>
      <c r="C23" s="6">
        <v>12</v>
      </c>
      <c r="D23" s="1"/>
      <c r="E23" s="1"/>
      <c r="F23" s="58"/>
      <c r="G23" s="1"/>
    </row>
    <row r="24" spans="1:7" ht="14.4" customHeight="1" x14ac:dyDescent="0.3">
      <c r="A24" s="1" t="s">
        <v>1047</v>
      </c>
      <c r="B24" s="36" t="s">
        <v>300</v>
      </c>
      <c r="C24" s="6">
        <v>12</v>
      </c>
      <c r="D24" s="1"/>
      <c r="E24" s="1"/>
      <c r="F24" s="58"/>
      <c r="G24" s="1"/>
    </row>
    <row r="25" spans="1:7" ht="14.4" customHeight="1" x14ac:dyDescent="0.3">
      <c r="A25" s="1" t="s">
        <v>1045</v>
      </c>
      <c r="B25" s="1" t="s">
        <v>304</v>
      </c>
      <c r="C25" s="6">
        <v>12</v>
      </c>
      <c r="D25" s="1"/>
      <c r="E25" s="1"/>
      <c r="F25" s="58"/>
      <c r="G25" s="1"/>
    </row>
    <row r="26" spans="1:7" ht="14.4" customHeight="1" x14ac:dyDescent="0.3">
      <c r="A26" s="1" t="s">
        <v>1047</v>
      </c>
      <c r="B26" s="36" t="s">
        <v>76</v>
      </c>
      <c r="C26" s="6">
        <v>13</v>
      </c>
      <c r="D26" s="1"/>
      <c r="E26" s="1"/>
      <c r="F26" s="1"/>
      <c r="G26" s="1"/>
    </row>
    <row r="27" spans="1:7" ht="14.4" customHeight="1" x14ac:dyDescent="0.3">
      <c r="A27" s="1" t="s">
        <v>1047</v>
      </c>
      <c r="B27" s="1" t="s">
        <v>312</v>
      </c>
      <c r="C27" s="6">
        <v>13</v>
      </c>
      <c r="D27" s="1" t="s">
        <v>28</v>
      </c>
      <c r="E27" s="1" t="s">
        <v>28</v>
      </c>
      <c r="F27" t="s">
        <v>28</v>
      </c>
      <c r="G27" s="1"/>
    </row>
    <row r="28" spans="1:7" ht="14.4" customHeight="1" x14ac:dyDescent="0.3">
      <c r="A28" s="1" t="s">
        <v>1045</v>
      </c>
      <c r="B28" s="1" t="s">
        <v>314</v>
      </c>
      <c r="C28" s="6">
        <v>13</v>
      </c>
      <c r="D28" s="1"/>
      <c r="E28" s="1"/>
      <c r="F28" s="58"/>
      <c r="G28" s="1"/>
    </row>
    <row r="29" spans="1:7" ht="14.4" customHeight="1" x14ac:dyDescent="0.3">
      <c r="A29" s="1" t="s">
        <v>1046</v>
      </c>
      <c r="B29" s="36" t="s">
        <v>315</v>
      </c>
      <c r="C29" s="6">
        <v>13</v>
      </c>
      <c r="D29" s="1"/>
      <c r="E29" s="1"/>
      <c r="F29" s="58"/>
      <c r="G29" s="1"/>
    </row>
    <row r="30" spans="1:7" ht="14.4" customHeight="1" x14ac:dyDescent="0.3">
      <c r="A30" s="1" t="s">
        <v>1047</v>
      </c>
      <c r="B30" s="36" t="s">
        <v>317</v>
      </c>
      <c r="C30" s="6">
        <v>13</v>
      </c>
      <c r="D30" s="1"/>
      <c r="E30" s="1"/>
      <c r="F30" s="58"/>
      <c r="G30" s="1"/>
    </row>
    <row r="31" spans="1:7" ht="14.4" customHeight="1" x14ac:dyDescent="0.3">
      <c r="A31" s="1" t="s">
        <v>1045</v>
      </c>
      <c r="B31" s="1" t="s">
        <v>57</v>
      </c>
      <c r="C31" s="6">
        <v>13</v>
      </c>
      <c r="D31" s="1"/>
      <c r="E31" s="1"/>
      <c r="F31" s="1"/>
      <c r="G31" s="1"/>
    </row>
    <row r="32" spans="1:7" ht="14.4" customHeight="1" x14ac:dyDescent="0.3">
      <c r="A32" s="1" t="s">
        <v>1046</v>
      </c>
      <c r="B32" s="36" t="s">
        <v>318</v>
      </c>
      <c r="C32" s="6">
        <v>13</v>
      </c>
      <c r="D32" s="1"/>
      <c r="E32" s="1"/>
      <c r="F32" s="58"/>
      <c r="G32" s="1"/>
    </row>
    <row r="33" spans="1:7" ht="14.4" customHeight="1" x14ac:dyDescent="0.3">
      <c r="A33" s="1" t="s">
        <v>1047</v>
      </c>
      <c r="B33" s="36" t="s">
        <v>319</v>
      </c>
      <c r="C33" s="6">
        <v>13</v>
      </c>
      <c r="D33" s="1" t="s">
        <v>24</v>
      </c>
      <c r="E33" s="1" t="s">
        <v>28</v>
      </c>
      <c r="F33" s="1" t="s">
        <v>28</v>
      </c>
      <c r="G33" s="1"/>
    </row>
    <row r="34" spans="1:7" ht="14.4" customHeight="1" x14ac:dyDescent="0.3">
      <c r="A34" s="1" t="s">
        <v>1045</v>
      </c>
      <c r="B34" s="36" t="s">
        <v>58</v>
      </c>
      <c r="C34" s="6">
        <v>13</v>
      </c>
      <c r="D34" s="1" t="s">
        <v>28</v>
      </c>
      <c r="E34" s="1" t="s">
        <v>28</v>
      </c>
      <c r="F34" s="58" t="s">
        <v>28</v>
      </c>
      <c r="G34" s="1" t="s">
        <v>543</v>
      </c>
    </row>
    <row r="35" spans="1:7" ht="14.4" customHeight="1" x14ac:dyDescent="0.3">
      <c r="A35" s="1" t="s">
        <v>1046</v>
      </c>
      <c r="B35" s="36" t="s">
        <v>62</v>
      </c>
      <c r="C35" s="6">
        <v>13</v>
      </c>
      <c r="D35" s="1" t="s">
        <v>16</v>
      </c>
      <c r="E35" s="1" t="s">
        <v>28</v>
      </c>
      <c r="F35" s="58" t="s">
        <v>28</v>
      </c>
      <c r="G35" s="1"/>
    </row>
    <row r="36" spans="1:7" x14ac:dyDescent="0.3">
      <c r="A36" s="1" t="s">
        <v>1046</v>
      </c>
      <c r="B36" s="1" t="s">
        <v>70</v>
      </c>
      <c r="C36" s="6">
        <v>14</v>
      </c>
      <c r="D36" s="1"/>
      <c r="E36" s="1"/>
      <c r="F36" s="1"/>
      <c r="G36" s="1"/>
    </row>
    <row r="37" spans="1:7" x14ac:dyDescent="0.3">
      <c r="A37" s="1" t="s">
        <v>1047</v>
      </c>
      <c r="B37" s="1" t="s">
        <v>326</v>
      </c>
      <c r="C37" s="6">
        <v>14</v>
      </c>
      <c r="D37" s="1"/>
      <c r="E37" s="1"/>
      <c r="F37" s="58"/>
      <c r="G37" s="1"/>
    </row>
    <row r="38" spans="1:7" x14ac:dyDescent="0.3">
      <c r="A38" s="1" t="s">
        <v>1045</v>
      </c>
      <c r="B38" s="1" t="s">
        <v>78</v>
      </c>
      <c r="C38" s="6">
        <v>14</v>
      </c>
      <c r="D38" s="1"/>
      <c r="E38" s="1"/>
      <c r="F38" s="58"/>
      <c r="G38" s="1"/>
    </row>
    <row r="39" spans="1:7" x14ac:dyDescent="0.3">
      <c r="A39" s="1" t="s">
        <v>1046</v>
      </c>
      <c r="B39" s="1" t="s">
        <v>71</v>
      </c>
      <c r="C39" s="6">
        <v>14</v>
      </c>
      <c r="D39" s="1"/>
      <c r="E39" s="1"/>
      <c r="F39" s="58"/>
      <c r="G39" s="1"/>
    </row>
    <row r="40" spans="1:7" x14ac:dyDescent="0.3">
      <c r="A40" s="1" t="s">
        <v>1047</v>
      </c>
      <c r="B40" s="1" t="s">
        <v>327</v>
      </c>
      <c r="C40" s="6">
        <v>14</v>
      </c>
      <c r="D40" s="1"/>
      <c r="E40" s="1"/>
      <c r="F40" s="58"/>
      <c r="G40" s="1"/>
    </row>
    <row r="41" spans="1:7" x14ac:dyDescent="0.3">
      <c r="A41" s="1" t="s">
        <v>1045</v>
      </c>
      <c r="B41" s="1" t="s">
        <v>80</v>
      </c>
      <c r="C41" s="6">
        <v>14</v>
      </c>
      <c r="D41" s="1"/>
      <c r="E41" s="1"/>
      <c r="F41" s="58"/>
      <c r="G41" s="1"/>
    </row>
    <row r="42" spans="1:7" x14ac:dyDescent="0.3">
      <c r="A42" s="1" t="s">
        <v>1046</v>
      </c>
      <c r="B42" s="1" t="s">
        <v>85</v>
      </c>
      <c r="C42" s="6">
        <v>14</v>
      </c>
      <c r="D42" s="1"/>
      <c r="E42" s="1"/>
      <c r="F42" s="58"/>
      <c r="G42" s="1"/>
    </row>
    <row r="43" spans="1:7" x14ac:dyDescent="0.3">
      <c r="A43" s="1" t="s">
        <v>1047</v>
      </c>
      <c r="B43" s="1" t="s">
        <v>328</v>
      </c>
      <c r="C43" s="6">
        <v>14</v>
      </c>
      <c r="D43" s="1"/>
      <c r="E43" s="1"/>
      <c r="F43" s="58"/>
      <c r="G43" s="1"/>
    </row>
    <row r="44" spans="1:7" x14ac:dyDescent="0.3">
      <c r="A44" s="1" t="s">
        <v>1045</v>
      </c>
      <c r="B44" s="1" t="s">
        <v>329</v>
      </c>
      <c r="C44" s="6">
        <v>14</v>
      </c>
      <c r="D44" s="1"/>
      <c r="E44" s="1"/>
      <c r="F44" s="58"/>
      <c r="G44" s="1"/>
    </row>
    <row r="45" spans="1:7" x14ac:dyDescent="0.3">
      <c r="A45" s="1" t="s">
        <v>1046</v>
      </c>
      <c r="B45" s="1"/>
      <c r="C45" s="6">
        <v>14</v>
      </c>
      <c r="D45" s="1"/>
      <c r="E45" s="1"/>
      <c r="F45" s="58"/>
      <c r="G45" s="1"/>
    </row>
    <row r="46" spans="1:7" x14ac:dyDescent="0.3">
      <c r="A46" s="1" t="s">
        <v>1047</v>
      </c>
      <c r="B46" s="36" t="s">
        <v>331</v>
      </c>
      <c r="C46" s="6">
        <v>14</v>
      </c>
      <c r="D46" s="1" t="s">
        <v>28</v>
      </c>
      <c r="E46" s="1" t="s">
        <v>28</v>
      </c>
      <c r="F46" s="58" t="s">
        <v>16</v>
      </c>
      <c r="G46" s="1"/>
    </row>
    <row r="47" spans="1:7" x14ac:dyDescent="0.3">
      <c r="A47" s="1" t="s">
        <v>1045</v>
      </c>
      <c r="B47" s="1" t="s">
        <v>84</v>
      </c>
      <c r="C47" s="6">
        <v>14</v>
      </c>
      <c r="D47" s="1"/>
      <c r="E47" s="1"/>
      <c r="F47" s="58"/>
      <c r="G47" s="1"/>
    </row>
    <row r="48" spans="1:7" x14ac:dyDescent="0.3">
      <c r="A48" s="1" t="s">
        <v>1046</v>
      </c>
      <c r="B48" s="1" t="s">
        <v>155</v>
      </c>
      <c r="C48" s="6">
        <v>14</v>
      </c>
      <c r="D48" s="1" t="s">
        <v>24</v>
      </c>
      <c r="E48" s="1" t="s">
        <v>24</v>
      </c>
      <c r="F48" s="1" t="s">
        <v>24</v>
      </c>
      <c r="G48" s="1"/>
    </row>
    <row r="49" spans="1:7" x14ac:dyDescent="0.3">
      <c r="A49" s="1" t="s">
        <v>1047</v>
      </c>
      <c r="B49" s="1" t="s">
        <v>332</v>
      </c>
      <c r="C49" s="6">
        <v>15</v>
      </c>
      <c r="D49" s="1"/>
      <c r="E49" s="1"/>
      <c r="F49" s="58"/>
      <c r="G49" s="1"/>
    </row>
    <row r="50" spans="1:7" x14ac:dyDescent="0.3">
      <c r="A50" s="1" t="s">
        <v>1045</v>
      </c>
      <c r="B50" s="36" t="s">
        <v>334</v>
      </c>
      <c r="C50" s="6">
        <v>15</v>
      </c>
      <c r="D50" s="1"/>
      <c r="E50" s="1"/>
      <c r="F50" s="58"/>
      <c r="G50" s="1"/>
    </row>
    <row r="51" spans="1:7" x14ac:dyDescent="0.3">
      <c r="A51" s="1" t="s">
        <v>1046</v>
      </c>
      <c r="B51" s="36" t="s">
        <v>96</v>
      </c>
      <c r="C51" s="6">
        <v>15</v>
      </c>
      <c r="D51" s="1"/>
      <c r="E51" s="1"/>
      <c r="F51" s="58"/>
      <c r="G51" s="1"/>
    </row>
    <row r="52" spans="1:7" x14ac:dyDescent="0.3">
      <c r="A52" s="1" t="s">
        <v>1047</v>
      </c>
      <c r="B52" s="1" t="s">
        <v>88</v>
      </c>
      <c r="C52" s="6">
        <v>15</v>
      </c>
      <c r="D52" s="1"/>
      <c r="E52" s="1"/>
      <c r="F52" s="58"/>
      <c r="G52" s="1"/>
    </row>
    <row r="53" spans="1:7" x14ac:dyDescent="0.3">
      <c r="A53" s="1" t="s">
        <v>1045</v>
      </c>
      <c r="B53" s="1"/>
      <c r="C53" s="6">
        <v>15</v>
      </c>
      <c r="D53" s="1"/>
      <c r="E53" s="1"/>
      <c r="F53" s="58"/>
      <c r="G53" s="1"/>
    </row>
    <row r="54" spans="1:7" x14ac:dyDescent="0.3">
      <c r="A54" s="1" t="s">
        <v>1046</v>
      </c>
      <c r="B54" s="1" t="s">
        <v>340</v>
      </c>
      <c r="C54" s="6">
        <v>15</v>
      </c>
      <c r="D54" s="1" t="s">
        <v>35</v>
      </c>
      <c r="E54" s="1" t="s">
        <v>35</v>
      </c>
      <c r="F54" s="1" t="s">
        <v>28</v>
      </c>
      <c r="G54" s="1"/>
    </row>
    <row r="55" spans="1:7" x14ac:dyDescent="0.3">
      <c r="A55" s="1" t="s">
        <v>1047</v>
      </c>
      <c r="B55" s="1" t="s">
        <v>98</v>
      </c>
      <c r="C55" s="6">
        <v>15</v>
      </c>
      <c r="D55" s="1" t="s">
        <v>16</v>
      </c>
      <c r="E55" s="1" t="s">
        <v>28</v>
      </c>
      <c r="F55" s="58" t="s">
        <v>16</v>
      </c>
      <c r="G55" s="1"/>
    </row>
    <row r="56" spans="1:7" x14ac:dyDescent="0.3">
      <c r="A56" s="1" t="s">
        <v>1045</v>
      </c>
      <c r="B56" s="36" t="s">
        <v>82</v>
      </c>
      <c r="C56" s="6">
        <v>15</v>
      </c>
      <c r="D56" s="1"/>
      <c r="E56" s="1"/>
      <c r="F56" s="58"/>
      <c r="G56" s="1"/>
    </row>
    <row r="57" spans="1:7" x14ac:dyDescent="0.3">
      <c r="A57" s="1" t="s">
        <v>1046</v>
      </c>
      <c r="B57" s="1" t="s">
        <v>342</v>
      </c>
      <c r="C57" s="6">
        <v>15</v>
      </c>
      <c r="D57" s="1"/>
      <c r="E57" s="1"/>
      <c r="F57" s="58"/>
      <c r="G57" s="1"/>
    </row>
    <row r="58" spans="1:7" x14ac:dyDescent="0.3">
      <c r="A58" s="1" t="s">
        <v>1047</v>
      </c>
      <c r="B58" s="1" t="s">
        <v>343</v>
      </c>
      <c r="C58" s="6">
        <v>15</v>
      </c>
      <c r="D58" s="1"/>
      <c r="E58" s="1"/>
      <c r="F58" s="58"/>
      <c r="G58" s="1"/>
    </row>
    <row r="59" spans="1:7" x14ac:dyDescent="0.3">
      <c r="A59" s="1" t="s">
        <v>1045</v>
      </c>
      <c r="B59" s="1" t="s">
        <v>344</v>
      </c>
      <c r="C59" s="6">
        <v>15</v>
      </c>
      <c r="D59" s="1"/>
      <c r="E59" s="1"/>
      <c r="F59" s="58"/>
      <c r="G59" s="1"/>
    </row>
    <row r="60" spans="1:7" x14ac:dyDescent="0.3">
      <c r="A60" s="1" t="s">
        <v>1046</v>
      </c>
      <c r="B60" s="1" t="s">
        <v>345</v>
      </c>
      <c r="C60" s="6">
        <v>15</v>
      </c>
      <c r="D60" s="1"/>
      <c r="E60" s="1"/>
      <c r="F60" s="58"/>
      <c r="G60" s="1"/>
    </row>
    <row r="61" spans="1:7" x14ac:dyDescent="0.3">
      <c r="A61" s="1" t="s">
        <v>1047</v>
      </c>
      <c r="B61" s="36" t="s">
        <v>348</v>
      </c>
      <c r="C61" s="6">
        <v>15</v>
      </c>
      <c r="D61" s="1"/>
      <c r="E61" s="1"/>
      <c r="F61" s="58"/>
      <c r="G61" s="1"/>
    </row>
    <row r="62" spans="1:7" x14ac:dyDescent="0.3">
      <c r="A62" s="1" t="s">
        <v>1045</v>
      </c>
      <c r="B62" s="1" t="s">
        <v>17</v>
      </c>
      <c r="C62" s="6">
        <v>16</v>
      </c>
      <c r="D62" s="1"/>
      <c r="E62" s="1"/>
      <c r="F62" s="58"/>
      <c r="G62" s="1"/>
    </row>
    <row r="63" spans="1:7" x14ac:dyDescent="0.3">
      <c r="A63" s="1" t="s">
        <v>1046</v>
      </c>
      <c r="B63" s="1" t="s">
        <v>107</v>
      </c>
      <c r="C63" s="6">
        <v>16</v>
      </c>
      <c r="D63" s="1"/>
      <c r="E63" s="1"/>
      <c r="F63" s="58"/>
      <c r="G63" s="1"/>
    </row>
    <row r="64" spans="1:7" x14ac:dyDescent="0.3">
      <c r="A64" s="1" t="s">
        <v>1047</v>
      </c>
      <c r="B64" s="1" t="s">
        <v>350</v>
      </c>
      <c r="C64" s="6">
        <v>16</v>
      </c>
      <c r="D64" s="1"/>
      <c r="E64" s="1"/>
      <c r="F64" s="58"/>
      <c r="G64" s="1"/>
    </row>
    <row r="65" spans="1:7" x14ac:dyDescent="0.3">
      <c r="A65" s="1" t="s">
        <v>1045</v>
      </c>
      <c r="B65" s="1" t="s">
        <v>351</v>
      </c>
      <c r="C65" s="6">
        <v>16</v>
      </c>
      <c r="D65" s="1"/>
      <c r="E65" s="1"/>
      <c r="F65" s="58"/>
      <c r="G65" s="1"/>
    </row>
    <row r="66" spans="1:7" x14ac:dyDescent="0.3">
      <c r="A66" s="1" t="s">
        <v>1046</v>
      </c>
      <c r="B66" s="1" t="s">
        <v>352</v>
      </c>
      <c r="C66" s="6">
        <v>16</v>
      </c>
      <c r="D66" s="1"/>
      <c r="E66" s="1"/>
      <c r="F66" s="58"/>
      <c r="G66" s="1"/>
    </row>
    <row r="67" spans="1:7" x14ac:dyDescent="0.3">
      <c r="A67" s="1" t="s">
        <v>1047</v>
      </c>
      <c r="B67" s="1"/>
      <c r="C67" s="6">
        <v>16</v>
      </c>
      <c r="D67" s="1"/>
      <c r="E67" s="1"/>
      <c r="F67" s="1"/>
      <c r="G67" s="1"/>
    </row>
    <row r="68" spans="1:7" x14ac:dyDescent="0.3">
      <c r="A68" s="1" t="s">
        <v>1045</v>
      </c>
      <c r="B68" s="1"/>
      <c r="C68" s="6">
        <v>16</v>
      </c>
      <c r="D68" s="1"/>
      <c r="E68" s="1"/>
      <c r="F68" s="58"/>
      <c r="G68" s="1"/>
    </row>
    <row r="69" spans="1:7" x14ac:dyDescent="0.3">
      <c r="A69" s="1" t="s">
        <v>1046</v>
      </c>
      <c r="B69" s="36" t="s">
        <v>354</v>
      </c>
      <c r="C69" s="6">
        <v>16</v>
      </c>
      <c r="D69" s="1"/>
      <c r="E69" s="1"/>
      <c r="F69" s="58"/>
      <c r="G69" s="1"/>
    </row>
    <row r="70" spans="1:7" x14ac:dyDescent="0.3">
      <c r="A70" s="1" t="s">
        <v>1047</v>
      </c>
      <c r="B70" s="36" t="s">
        <v>355</v>
      </c>
      <c r="C70" s="6">
        <v>16</v>
      </c>
      <c r="D70" s="1"/>
      <c r="E70" s="1"/>
      <c r="F70" s="58"/>
      <c r="G70" s="1"/>
    </row>
    <row r="71" spans="1:7" x14ac:dyDescent="0.3">
      <c r="A71" s="1" t="s">
        <v>1045</v>
      </c>
      <c r="B71" s="36" t="s">
        <v>105</v>
      </c>
      <c r="C71" s="6">
        <v>16</v>
      </c>
      <c r="D71" s="1"/>
      <c r="E71" s="1"/>
      <c r="F71" s="58"/>
      <c r="G71" s="1"/>
    </row>
    <row r="72" spans="1:7" x14ac:dyDescent="0.3">
      <c r="A72" s="1" t="s">
        <v>1046</v>
      </c>
      <c r="B72" s="1" t="s">
        <v>112</v>
      </c>
      <c r="C72" s="6">
        <v>16</v>
      </c>
      <c r="D72" s="1"/>
      <c r="E72" s="1"/>
      <c r="F72" s="58"/>
      <c r="G72" s="1"/>
    </row>
    <row r="73" spans="1:7" x14ac:dyDescent="0.3">
      <c r="A73" s="1" t="s">
        <v>1047</v>
      </c>
      <c r="B73" s="1" t="s">
        <v>357</v>
      </c>
      <c r="C73" s="6">
        <v>16</v>
      </c>
      <c r="D73" s="1"/>
      <c r="E73" s="1"/>
      <c r="F73" s="58"/>
      <c r="G73" s="1"/>
    </row>
    <row r="74" spans="1:7" x14ac:dyDescent="0.3">
      <c r="A74" s="1" t="s">
        <v>1045</v>
      </c>
      <c r="B74" s="36" t="s">
        <v>358</v>
      </c>
      <c r="C74" s="6">
        <v>16</v>
      </c>
      <c r="D74" s="1"/>
      <c r="E74" s="1"/>
      <c r="F74" s="1"/>
      <c r="G74" s="1"/>
    </row>
    <row r="75" spans="1:7" x14ac:dyDescent="0.3">
      <c r="A75" s="1" t="s">
        <v>1046</v>
      </c>
      <c r="B75" s="36" t="s">
        <v>359</v>
      </c>
      <c r="C75" s="6">
        <v>16</v>
      </c>
      <c r="D75" s="1"/>
      <c r="E75" s="1"/>
      <c r="F75" s="58"/>
      <c r="G75" s="1"/>
    </row>
    <row r="76" spans="1:7" x14ac:dyDescent="0.3">
      <c r="A76" s="1" t="s">
        <v>1047</v>
      </c>
      <c r="B76" s="36" t="s">
        <v>1048</v>
      </c>
      <c r="C76" s="6">
        <v>16</v>
      </c>
      <c r="D76" s="1" t="s">
        <v>16</v>
      </c>
      <c r="E76" s="1" t="s">
        <v>28</v>
      </c>
      <c r="F76" s="58" t="s">
        <v>28</v>
      </c>
      <c r="G76" s="1"/>
    </row>
    <row r="77" spans="1:7" x14ac:dyDescent="0.3">
      <c r="A77" s="1" t="s">
        <v>1045</v>
      </c>
      <c r="B77" s="1" t="s">
        <v>361</v>
      </c>
      <c r="C77" s="6">
        <v>16</v>
      </c>
      <c r="D77" s="1"/>
      <c r="E77" s="1"/>
      <c r="F77" s="58"/>
      <c r="G77" s="1"/>
    </row>
    <row r="78" spans="1:7" x14ac:dyDescent="0.3">
      <c r="A78" s="1" t="s">
        <v>1046</v>
      </c>
      <c r="B78" s="1" t="s">
        <v>362</v>
      </c>
      <c r="C78" s="6">
        <v>16</v>
      </c>
      <c r="D78" s="1"/>
      <c r="E78" s="1"/>
      <c r="F78" s="1"/>
      <c r="G78" s="1"/>
    </row>
    <row r="79" spans="1:7" x14ac:dyDescent="0.3">
      <c r="A79" s="1" t="s">
        <v>1047</v>
      </c>
      <c r="B79" s="36" t="s">
        <v>363</v>
      </c>
      <c r="C79" s="6">
        <v>16</v>
      </c>
      <c r="D79" s="1"/>
      <c r="E79" s="1"/>
      <c r="F79" s="58"/>
      <c r="G79" s="1"/>
    </row>
    <row r="80" spans="1:7" x14ac:dyDescent="0.3">
      <c r="A80" s="1" t="s">
        <v>1045</v>
      </c>
      <c r="B80" s="36" t="s">
        <v>186</v>
      </c>
      <c r="C80" s="6">
        <v>16</v>
      </c>
      <c r="D80" s="1"/>
      <c r="E80" s="1"/>
      <c r="F80" s="58"/>
      <c r="G80" s="1"/>
    </row>
    <row r="81" spans="1:7" x14ac:dyDescent="0.3">
      <c r="A81" s="1" t="s">
        <v>1046</v>
      </c>
      <c r="B81" s="1" t="s">
        <v>101</v>
      </c>
      <c r="C81" s="6">
        <v>16</v>
      </c>
      <c r="D81" s="1"/>
      <c r="E81" s="1"/>
      <c r="F81" s="58"/>
      <c r="G81" s="1"/>
    </row>
    <row r="82" spans="1:7" x14ac:dyDescent="0.3">
      <c r="A82" s="1" t="s">
        <v>1047</v>
      </c>
      <c r="B82" s="36" t="s">
        <v>364</v>
      </c>
      <c r="C82" s="6">
        <v>17</v>
      </c>
      <c r="D82" s="1"/>
      <c r="E82" s="1"/>
      <c r="F82" s="1"/>
      <c r="G82" s="1"/>
    </row>
    <row r="83" spans="1:7" x14ac:dyDescent="0.3">
      <c r="A83" s="1" t="s">
        <v>1045</v>
      </c>
      <c r="B83" s="1" t="s">
        <v>117</v>
      </c>
      <c r="C83" s="6">
        <v>17</v>
      </c>
      <c r="D83" s="1"/>
      <c r="E83" s="1"/>
      <c r="F83" s="58"/>
      <c r="G83" s="1"/>
    </row>
    <row r="84" spans="1:7" x14ac:dyDescent="0.3">
      <c r="A84" s="1" t="s">
        <v>1046</v>
      </c>
      <c r="B84" s="1" t="s">
        <v>367</v>
      </c>
      <c r="C84" s="6">
        <v>17</v>
      </c>
      <c r="D84" s="1"/>
      <c r="E84" s="1"/>
      <c r="F84" s="58"/>
      <c r="G84" s="1"/>
    </row>
    <row r="85" spans="1:7" x14ac:dyDescent="0.3">
      <c r="A85" s="1" t="s">
        <v>1047</v>
      </c>
      <c r="B85" s="36" t="s">
        <v>368</v>
      </c>
      <c r="C85" s="6">
        <v>17</v>
      </c>
      <c r="D85" s="1"/>
      <c r="E85" s="1"/>
      <c r="F85" s="58"/>
      <c r="G85" s="1"/>
    </row>
    <row r="86" spans="1:7" x14ac:dyDescent="0.3">
      <c r="A86" s="1" t="s">
        <v>1045</v>
      </c>
      <c r="B86" s="36" t="s">
        <v>100</v>
      </c>
      <c r="C86" s="6">
        <v>17</v>
      </c>
      <c r="D86" s="1" t="s">
        <v>16</v>
      </c>
      <c r="E86" s="1" t="s">
        <v>28</v>
      </c>
      <c r="F86" s="58" t="s">
        <v>28</v>
      </c>
      <c r="G86" s="1"/>
    </row>
    <row r="87" spans="1:7" x14ac:dyDescent="0.3">
      <c r="A87" s="1" t="s">
        <v>1046</v>
      </c>
      <c r="B87" s="1" t="s">
        <v>369</v>
      </c>
      <c r="C87" s="6">
        <v>17</v>
      </c>
      <c r="D87" s="1"/>
      <c r="E87" s="1"/>
      <c r="F87" s="58"/>
      <c r="G87" s="1"/>
    </row>
    <row r="88" spans="1:7" x14ac:dyDescent="0.3">
      <c r="A88" s="1" t="s">
        <v>1047</v>
      </c>
      <c r="B88" s="1" t="s">
        <v>370</v>
      </c>
      <c r="C88" s="6">
        <v>17</v>
      </c>
      <c r="D88" s="1"/>
      <c r="E88" s="1"/>
      <c r="F88" s="58"/>
      <c r="G88" s="1"/>
    </row>
    <row r="89" spans="1:7" x14ac:dyDescent="0.3">
      <c r="A89" s="1" t="s">
        <v>1045</v>
      </c>
      <c r="B89" s="36" t="s">
        <v>120</v>
      </c>
      <c r="C89" s="6">
        <v>17</v>
      </c>
      <c r="D89" s="1"/>
      <c r="E89" s="1"/>
      <c r="F89" s="58"/>
      <c r="G89" s="1"/>
    </row>
    <row r="90" spans="1:7" x14ac:dyDescent="0.3">
      <c r="A90" s="1" t="s">
        <v>1046</v>
      </c>
      <c r="B90" s="36" t="s">
        <v>125</v>
      </c>
      <c r="C90" s="6">
        <v>17</v>
      </c>
      <c r="D90" s="1"/>
      <c r="E90" s="1"/>
      <c r="F90" s="1"/>
      <c r="G90" s="1"/>
    </row>
    <row r="91" spans="1:7" x14ac:dyDescent="0.3">
      <c r="A91" s="1" t="s">
        <v>1047</v>
      </c>
      <c r="B91" s="1" t="s">
        <v>371</v>
      </c>
      <c r="C91" s="6">
        <v>17</v>
      </c>
      <c r="D91" s="1"/>
      <c r="E91" s="1"/>
      <c r="F91" s="58"/>
      <c r="G91" s="1"/>
    </row>
    <row r="92" spans="1:7" x14ac:dyDescent="0.3">
      <c r="A92" s="1" t="s">
        <v>1045</v>
      </c>
      <c r="B92" s="1" t="s">
        <v>114</v>
      </c>
      <c r="C92" s="6">
        <v>17</v>
      </c>
      <c r="D92" s="1"/>
      <c r="E92" s="1"/>
      <c r="F92" s="58"/>
      <c r="G92" s="1"/>
    </row>
    <row r="93" spans="1:7" x14ac:dyDescent="0.3">
      <c r="A93" s="1" t="s">
        <v>1046</v>
      </c>
      <c r="B93" s="36" t="s">
        <v>373</v>
      </c>
      <c r="C93" s="6">
        <v>17</v>
      </c>
      <c r="D93" s="1"/>
      <c r="E93" s="1"/>
      <c r="F93" s="58"/>
      <c r="G93" s="1"/>
    </row>
    <row r="94" spans="1:7" x14ac:dyDescent="0.3">
      <c r="A94" s="1" t="s">
        <v>1047</v>
      </c>
      <c r="B94" s="36" t="s">
        <v>115</v>
      </c>
      <c r="C94" s="6">
        <v>17</v>
      </c>
      <c r="D94" s="1"/>
      <c r="E94" s="1"/>
      <c r="F94" s="58"/>
      <c r="G94" s="1"/>
    </row>
    <row r="95" spans="1:7" x14ac:dyDescent="0.3">
      <c r="A95" s="1" t="s">
        <v>1045</v>
      </c>
      <c r="B95" s="1" t="s">
        <v>113</v>
      </c>
      <c r="C95" s="6">
        <v>17</v>
      </c>
      <c r="D95" s="1"/>
      <c r="E95" s="1"/>
      <c r="F95" s="58"/>
      <c r="G95" s="1"/>
    </row>
    <row r="96" spans="1:7" x14ac:dyDescent="0.3">
      <c r="A96" s="1" t="s">
        <v>1046</v>
      </c>
      <c r="B96" s="1" t="s">
        <v>122</v>
      </c>
      <c r="C96" s="6">
        <v>17</v>
      </c>
      <c r="D96" s="1"/>
      <c r="E96" s="1"/>
      <c r="F96" s="58"/>
      <c r="G96" s="1"/>
    </row>
    <row r="97" spans="1:7" x14ac:dyDescent="0.3">
      <c r="A97" s="1" t="s">
        <v>1047</v>
      </c>
      <c r="B97" s="36" t="s">
        <v>376</v>
      </c>
      <c r="C97" s="6">
        <v>17</v>
      </c>
      <c r="D97" s="1"/>
      <c r="E97" s="1"/>
      <c r="F97" s="58"/>
      <c r="G97" s="1"/>
    </row>
    <row r="98" spans="1:7" x14ac:dyDescent="0.3">
      <c r="A98" s="1" t="s">
        <v>1045</v>
      </c>
      <c r="B98" s="36" t="s">
        <v>379</v>
      </c>
      <c r="C98" s="6">
        <v>18</v>
      </c>
      <c r="D98" s="1"/>
      <c r="E98" s="1"/>
      <c r="F98" s="58"/>
      <c r="G98" s="1"/>
    </row>
    <row r="99" spans="1:7" x14ac:dyDescent="0.3">
      <c r="A99" s="1" t="s">
        <v>1046</v>
      </c>
      <c r="B99" s="1" t="s">
        <v>380</v>
      </c>
      <c r="C99" s="6">
        <v>18</v>
      </c>
      <c r="D99" s="1"/>
      <c r="E99" s="1"/>
      <c r="F99" s="58"/>
      <c r="G99" s="1"/>
    </row>
    <row r="100" spans="1:7" x14ac:dyDescent="0.3">
      <c r="A100" s="1" t="s">
        <v>1047</v>
      </c>
      <c r="B100" s="1" t="s">
        <v>128</v>
      </c>
      <c r="C100" s="6">
        <v>18</v>
      </c>
      <c r="D100" s="1"/>
      <c r="E100" s="1"/>
      <c r="F100" s="1"/>
      <c r="G100" s="1"/>
    </row>
    <row r="101" spans="1:7" x14ac:dyDescent="0.3">
      <c r="A101" s="1" t="s">
        <v>1045</v>
      </c>
      <c r="B101" s="1" t="s">
        <v>127</v>
      </c>
      <c r="C101" s="6">
        <v>18</v>
      </c>
      <c r="D101" s="1"/>
      <c r="E101" s="1"/>
      <c r="F101" s="58"/>
      <c r="G101" s="1"/>
    </row>
    <row r="102" spans="1:7" x14ac:dyDescent="0.3">
      <c r="A102" s="1" t="s">
        <v>1046</v>
      </c>
      <c r="B102" s="36" t="s">
        <v>130</v>
      </c>
      <c r="C102" s="6">
        <v>18</v>
      </c>
      <c r="D102" s="1" t="s">
        <v>28</v>
      </c>
      <c r="E102" s="1" t="s">
        <v>28</v>
      </c>
      <c r="F102" s="58" t="s">
        <v>28</v>
      </c>
      <c r="G102" s="1"/>
    </row>
    <row r="103" spans="1:7" x14ac:dyDescent="0.3">
      <c r="A103" s="1" t="s">
        <v>1047</v>
      </c>
      <c r="B103" s="36" t="s">
        <v>137</v>
      </c>
      <c r="C103" s="6">
        <v>18</v>
      </c>
      <c r="D103" s="1"/>
      <c r="E103" s="1"/>
      <c r="F103" s="58"/>
      <c r="G103" s="1"/>
    </row>
    <row r="104" spans="1:7" x14ac:dyDescent="0.3">
      <c r="A104" s="1" t="s">
        <v>1045</v>
      </c>
      <c r="B104" s="1" t="s">
        <v>134</v>
      </c>
      <c r="C104" s="6">
        <v>18</v>
      </c>
      <c r="D104" s="1"/>
      <c r="E104" s="1"/>
      <c r="F104" s="1"/>
      <c r="G104" s="1"/>
    </row>
    <row r="105" spans="1:7" x14ac:dyDescent="0.3">
      <c r="A105" s="1" t="s">
        <v>1046</v>
      </c>
      <c r="B105" s="36" t="s">
        <v>381</v>
      </c>
      <c r="C105" s="6">
        <v>18</v>
      </c>
      <c r="D105" s="1" t="s">
        <v>28</v>
      </c>
      <c r="E105" s="1" t="s">
        <v>14</v>
      </c>
      <c r="F105" s="58" t="s">
        <v>14</v>
      </c>
      <c r="G105" s="1"/>
    </row>
    <row r="106" spans="1:7" x14ac:dyDescent="0.3">
      <c r="A106" s="1" t="s">
        <v>1047</v>
      </c>
      <c r="B106" s="1" t="s">
        <v>139</v>
      </c>
      <c r="C106" s="6">
        <v>18</v>
      </c>
      <c r="D106" s="1"/>
      <c r="E106" s="1"/>
      <c r="F106" s="58"/>
      <c r="G106" s="1"/>
    </row>
    <row r="107" spans="1:7" x14ac:dyDescent="0.3">
      <c r="A107" s="1" t="s">
        <v>1045</v>
      </c>
      <c r="B107" s="1" t="s">
        <v>102</v>
      </c>
      <c r="C107" s="6">
        <v>18</v>
      </c>
      <c r="D107" s="1"/>
      <c r="E107" s="1"/>
      <c r="F107" s="58"/>
      <c r="G107" s="1"/>
    </row>
    <row r="108" spans="1:7" x14ac:dyDescent="0.3">
      <c r="A108" s="1" t="s">
        <v>1046</v>
      </c>
      <c r="B108" s="36" t="s">
        <v>382</v>
      </c>
      <c r="C108" s="6">
        <v>18</v>
      </c>
      <c r="D108" s="1" t="s">
        <v>28</v>
      </c>
      <c r="E108" s="1" t="s">
        <v>28</v>
      </c>
      <c r="F108" s="1" t="s">
        <v>16</v>
      </c>
      <c r="G108" s="1"/>
    </row>
    <row r="109" spans="1:7" x14ac:dyDescent="0.3">
      <c r="A109" s="1" t="s">
        <v>1047</v>
      </c>
      <c r="B109" s="1" t="s">
        <v>1049</v>
      </c>
      <c r="C109" s="6">
        <v>19</v>
      </c>
      <c r="D109" s="1"/>
      <c r="E109" s="1"/>
      <c r="F109" s="58"/>
      <c r="G109" s="1"/>
    </row>
    <row r="110" spans="1:7" x14ac:dyDescent="0.3">
      <c r="A110" s="1" t="s">
        <v>1045</v>
      </c>
      <c r="B110" s="1" t="s">
        <v>1050</v>
      </c>
      <c r="C110" s="6"/>
      <c r="D110" s="1"/>
      <c r="E110" s="1"/>
      <c r="F110" s="58"/>
      <c r="G110" s="1"/>
    </row>
    <row r="111" spans="1:7" x14ac:dyDescent="0.3">
      <c r="A111" s="1" t="s">
        <v>1046</v>
      </c>
      <c r="B111" s="1" t="s">
        <v>1051</v>
      </c>
      <c r="C111" s="6">
        <v>19</v>
      </c>
      <c r="D111" s="1" t="s">
        <v>16</v>
      </c>
      <c r="E111" s="1" t="s">
        <v>16</v>
      </c>
      <c r="F111" s="58" t="s">
        <v>16</v>
      </c>
      <c r="G111" s="1"/>
    </row>
    <row r="112" spans="1:7" x14ac:dyDescent="0.3">
      <c r="A112" s="1" t="s">
        <v>1047</v>
      </c>
      <c r="B112" s="1" t="s">
        <v>1052</v>
      </c>
      <c r="C112" s="6">
        <v>19</v>
      </c>
      <c r="D112" s="1" t="s">
        <v>28</v>
      </c>
      <c r="E112" s="1" t="s">
        <v>28</v>
      </c>
      <c r="F112" s="58" t="s">
        <v>28</v>
      </c>
      <c r="G112" s="1"/>
    </row>
    <row r="113" spans="1:7" x14ac:dyDescent="0.3">
      <c r="A113" s="1" t="s">
        <v>1045</v>
      </c>
      <c r="B113" s="1" t="s">
        <v>1053</v>
      </c>
      <c r="C113" s="6">
        <v>20</v>
      </c>
      <c r="D113" s="1"/>
      <c r="E113" s="1"/>
      <c r="F113" s="58"/>
      <c r="G113" s="1"/>
    </row>
    <row r="114" spans="1:7" x14ac:dyDescent="0.3">
      <c r="A114" s="1" t="s">
        <v>1046</v>
      </c>
      <c r="B114" s="1" t="s">
        <v>138</v>
      </c>
      <c r="C114" s="6">
        <v>18</v>
      </c>
      <c r="D114" s="1" t="s">
        <v>35</v>
      </c>
      <c r="E114" s="1" t="s">
        <v>35</v>
      </c>
      <c r="F114" s="58"/>
      <c r="G114" s="1"/>
    </row>
    <row r="115" spans="1:7" x14ac:dyDescent="0.3">
      <c r="A115" s="1" t="s">
        <v>447</v>
      </c>
      <c r="B115" s="1" t="s">
        <v>1054</v>
      </c>
      <c r="C115" s="6">
        <v>21</v>
      </c>
      <c r="D115" s="1" t="s">
        <v>16</v>
      </c>
      <c r="E115" s="1"/>
      <c r="F115" s="58"/>
      <c r="G115" s="1"/>
    </row>
    <row r="116" spans="1:7" x14ac:dyDescent="0.3">
      <c r="A116" s="1" t="s">
        <v>23</v>
      </c>
      <c r="B116" s="1" t="s">
        <v>1055</v>
      </c>
      <c r="C116" s="6">
        <v>19</v>
      </c>
      <c r="D116" s="1" t="s">
        <v>16</v>
      </c>
      <c r="E116" s="1" t="s">
        <v>28</v>
      </c>
      <c r="F116" s="58" t="s">
        <v>28</v>
      </c>
      <c r="G116" s="1"/>
    </row>
    <row r="117" spans="1:7" x14ac:dyDescent="0.3">
      <c r="A117" s="1" t="s">
        <v>447</v>
      </c>
      <c r="B117" s="1" t="s">
        <v>1056</v>
      </c>
      <c r="C117" s="6">
        <v>20</v>
      </c>
      <c r="D117" s="1" t="s">
        <v>16</v>
      </c>
      <c r="E117" s="1"/>
      <c r="F117" s="58"/>
      <c r="G117" s="1"/>
    </row>
    <row r="118" spans="1:7" x14ac:dyDescent="0.3">
      <c r="A118" s="1" t="s">
        <v>447</v>
      </c>
      <c r="B118" s="1" t="s">
        <v>1057</v>
      </c>
      <c r="C118" s="6">
        <v>19</v>
      </c>
      <c r="D118" s="1" t="s">
        <v>28</v>
      </c>
      <c r="E118" s="1" t="s">
        <v>16</v>
      </c>
      <c r="F118" s="58" t="s">
        <v>28</v>
      </c>
      <c r="G118" s="1"/>
    </row>
    <row r="119" spans="1:7" x14ac:dyDescent="0.3">
      <c r="A119" s="1" t="s">
        <v>447</v>
      </c>
      <c r="B119" s="1" t="s">
        <v>1058</v>
      </c>
      <c r="C119" s="6">
        <v>19</v>
      </c>
      <c r="D119" s="1" t="s">
        <v>16</v>
      </c>
      <c r="E119" s="1" t="s">
        <v>16</v>
      </c>
      <c r="F119" s="58"/>
      <c r="G119" s="1"/>
    </row>
    <row r="120" spans="1:7" x14ac:dyDescent="0.3">
      <c r="A120" s="1" t="s">
        <v>447</v>
      </c>
      <c r="B120" s="1" t="s">
        <v>1059</v>
      </c>
      <c r="C120" s="6">
        <v>19</v>
      </c>
      <c r="D120" s="1" t="s">
        <v>16</v>
      </c>
      <c r="E120" s="1" t="s">
        <v>16</v>
      </c>
      <c r="F120" s="58"/>
      <c r="G120" s="1"/>
    </row>
    <row r="121" spans="1:7" x14ac:dyDescent="0.3">
      <c r="A121" s="33" t="s">
        <v>447</v>
      </c>
      <c r="B121" s="33" t="s">
        <v>1060</v>
      </c>
      <c r="C121" s="93"/>
      <c r="D121" s="33" t="s">
        <v>35</v>
      </c>
      <c r="E121" s="33"/>
      <c r="F121" s="62"/>
      <c r="G121" s="33"/>
    </row>
    <row r="122" spans="1:7" x14ac:dyDescent="0.3">
      <c r="A122" s="9" t="s">
        <v>20</v>
      </c>
      <c r="B122" s="9" t="s">
        <v>559</v>
      </c>
      <c r="C122" s="19"/>
      <c r="D122" s="9" t="s">
        <v>28</v>
      </c>
      <c r="E122" s="9" t="s">
        <v>28</v>
      </c>
      <c r="F122" s="9" t="s">
        <v>16</v>
      </c>
      <c r="G122" s="9"/>
    </row>
    <row r="123" spans="1:7" x14ac:dyDescent="0.3">
      <c r="C123"/>
    </row>
    <row r="125" spans="1:7" x14ac:dyDescent="0.3">
      <c r="B125" s="371" t="s">
        <v>1025</v>
      </c>
      <c r="C125" s="371"/>
      <c r="D125" s="1">
        <f>+COUNTIF(D4:D124,"OK")</f>
        <v>14</v>
      </c>
      <c r="E125" s="1">
        <f>+COUNTIF(E4:E124,"OK")</f>
        <v>5</v>
      </c>
      <c r="F125" s="1">
        <f>+COUNTIF(F4:F124,"OK")</f>
        <v>5</v>
      </c>
    </row>
    <row r="126" spans="1:7" x14ac:dyDescent="0.3">
      <c r="B126" s="109" t="s">
        <v>902</v>
      </c>
      <c r="D126">
        <v>10</v>
      </c>
      <c r="E126">
        <v>6</v>
      </c>
      <c r="F126">
        <v>4</v>
      </c>
    </row>
    <row r="131" spans="2:7" x14ac:dyDescent="0.3">
      <c r="D131" s="372" t="s">
        <v>905</v>
      </c>
      <c r="E131" s="372"/>
      <c r="F131" s="372"/>
      <c r="G131" s="53" t="s">
        <v>903</v>
      </c>
    </row>
    <row r="132" spans="2:7" ht="15.6" x14ac:dyDescent="0.3">
      <c r="B132" s="373" t="s">
        <v>1032</v>
      </c>
      <c r="C132" s="351"/>
      <c r="D132" s="52">
        <f>+D125</f>
        <v>14</v>
      </c>
      <c r="E132" s="52">
        <f>+E125</f>
        <v>5</v>
      </c>
      <c r="F132" s="52">
        <f t="shared" ref="F132" si="0">+F125</f>
        <v>5</v>
      </c>
    </row>
    <row r="133" spans="2:7" x14ac:dyDescent="0.3">
      <c r="D133" s="108" t="s">
        <v>1033</v>
      </c>
      <c r="E133" s="108" t="s">
        <v>1034</v>
      </c>
      <c r="F133" s="108" t="s">
        <v>1035</v>
      </c>
    </row>
    <row r="134" spans="2:7" x14ac:dyDescent="0.3">
      <c r="D134" s="354" t="s">
        <v>910</v>
      </c>
      <c r="E134" s="355"/>
      <c r="F134" s="356"/>
      <c r="G134" s="5"/>
    </row>
  </sheetData>
  <autoFilter ref="A3:J122" xr:uid="{2CAD3197-8722-4D3D-9CCA-B526FAF486FA}">
    <filterColumn colId="8" showButton="0"/>
  </autoFilter>
  <mergeCells count="6">
    <mergeCell ref="D134:F134"/>
    <mergeCell ref="D131:F131"/>
    <mergeCell ref="B125:C125"/>
    <mergeCell ref="A2:C2"/>
    <mergeCell ref="I3:J3"/>
    <mergeCell ref="B132:C132"/>
  </mergeCells>
  <conditionalFormatting sqref="B3:C3">
    <cfRule type="expression" dxfId="425" priority="150">
      <formula>COUNTIF($A3:W3, "NI")</formula>
    </cfRule>
  </conditionalFormatting>
  <conditionalFormatting sqref="B4:C122">
    <cfRule type="expression" dxfId="424" priority="1">
      <formula>COUNTIF($B4:Z4, "C")</formula>
    </cfRule>
    <cfRule type="expression" dxfId="423" priority="2">
      <formula>COUNTIF($B4:Z4, "Q")</formula>
    </cfRule>
    <cfRule type="expression" dxfId="422" priority="3">
      <formula>COUNTIF($B4:Z4, "M")</formula>
    </cfRule>
    <cfRule type="expression" dxfId="421" priority="4">
      <formula>COUNTIF($B4:Z4, "A")</formula>
    </cfRule>
    <cfRule type="expression" dxfId="420" priority="5">
      <formula>COUNTIF($A4:Z4, "NI")</formula>
    </cfRule>
  </conditionalFormatting>
  <conditionalFormatting sqref="C3">
    <cfRule type="expression" dxfId="419" priority="146">
      <formula>COUNTIF($A3:X3, "C")</formula>
    </cfRule>
    <cfRule type="expression" dxfId="418" priority="147">
      <formula>COUNTIF($A3:X3, "Q")</formula>
    </cfRule>
    <cfRule type="expression" dxfId="417" priority="148">
      <formula>COUNTIF($A3:X3, "M")</formula>
    </cfRule>
    <cfRule type="expression" dxfId="416" priority="149">
      <formula>COUNTIF($A3:X3, "A")</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741E1-5387-4201-938B-B25A387E6C07}">
  <sheetPr filterMode="1">
    <tabColor rgb="FF92D050"/>
  </sheetPr>
  <dimension ref="A1:J64"/>
  <sheetViews>
    <sheetView workbookViewId="0">
      <selection activeCell="F67" sqref="F67"/>
    </sheetView>
  </sheetViews>
  <sheetFormatPr baseColWidth="10" defaultColWidth="53.6640625" defaultRowHeight="14.4" x14ac:dyDescent="0.3"/>
  <cols>
    <col min="1" max="1" width="3" bestFit="1" customWidth="1"/>
    <col min="2" max="2" width="13.88671875" style="16" bestFit="1" customWidth="1"/>
    <col min="3" max="3" width="41.6640625" bestFit="1" customWidth="1"/>
    <col min="4" max="4" width="7.88671875" style="5" bestFit="1" customWidth="1"/>
    <col min="5" max="5" width="25.33203125" customWidth="1"/>
    <col min="6" max="6" width="22.33203125" bestFit="1" customWidth="1"/>
    <col min="7" max="7" width="22.5546875" bestFit="1" customWidth="1"/>
    <col min="8" max="8" width="32" customWidth="1"/>
    <col min="9" max="9" width="25" customWidth="1"/>
  </cols>
  <sheetData>
    <row r="1" spans="1:10" ht="29.25" customHeight="1" x14ac:dyDescent="0.35">
      <c r="B1" s="374" t="s">
        <v>1061</v>
      </c>
      <c r="C1" s="374"/>
      <c r="D1" s="374"/>
      <c r="E1" s="374"/>
      <c r="F1" s="374"/>
      <c r="G1" s="374"/>
      <c r="H1" s="374"/>
      <c r="I1" s="374"/>
    </row>
    <row r="2" spans="1:10" x14ac:dyDescent="0.3">
      <c r="B2" s="20" t="s">
        <v>4</v>
      </c>
      <c r="C2" s="13" t="s">
        <v>739</v>
      </c>
      <c r="D2" s="18" t="s">
        <v>740</v>
      </c>
      <c r="E2" s="13" t="s">
        <v>1062</v>
      </c>
      <c r="F2" s="13" t="s">
        <v>1063</v>
      </c>
      <c r="G2" s="13" t="s">
        <v>1064</v>
      </c>
      <c r="H2" s="13" t="s">
        <v>908</v>
      </c>
      <c r="I2" s="13" t="s">
        <v>909</v>
      </c>
    </row>
    <row r="3" spans="1:10" x14ac:dyDescent="0.3">
      <c r="A3">
        <v>1</v>
      </c>
      <c r="B3" s="21" t="s">
        <v>1065</v>
      </c>
      <c r="C3" s="9" t="s">
        <v>252</v>
      </c>
      <c r="D3" s="17">
        <v>5</v>
      </c>
      <c r="E3" s="19" t="s">
        <v>24</v>
      </c>
      <c r="F3" s="19" t="s">
        <v>24</v>
      </c>
      <c r="G3" s="19" t="s">
        <v>24</v>
      </c>
      <c r="H3" s="19" t="s">
        <v>24</v>
      </c>
      <c r="I3" s="19" t="s">
        <v>24</v>
      </c>
    </row>
    <row r="4" spans="1:10" hidden="1" x14ac:dyDescent="0.3">
      <c r="A4">
        <v>2</v>
      </c>
      <c r="B4" s="21" t="s">
        <v>1066</v>
      </c>
      <c r="C4" s="9" t="s">
        <v>257</v>
      </c>
      <c r="D4" s="17">
        <v>7</v>
      </c>
      <c r="E4" s="19" t="s">
        <v>116</v>
      </c>
      <c r="F4" s="19" t="s">
        <v>116</v>
      </c>
      <c r="G4" s="19" t="s">
        <v>116</v>
      </c>
      <c r="H4" s="19" t="s">
        <v>116</v>
      </c>
      <c r="I4" s="19" t="s">
        <v>116</v>
      </c>
    </row>
    <row r="5" spans="1:10" x14ac:dyDescent="0.3">
      <c r="A5">
        <v>3</v>
      </c>
      <c r="B5" s="21" t="s">
        <v>1065</v>
      </c>
      <c r="C5" s="9" t="s">
        <v>259</v>
      </c>
      <c r="D5" s="17">
        <v>7</v>
      </c>
      <c r="E5" s="19" t="s">
        <v>24</v>
      </c>
      <c r="F5" s="19" t="s">
        <v>24</v>
      </c>
      <c r="G5" s="19" t="s">
        <v>24</v>
      </c>
      <c r="H5" s="19" t="s">
        <v>24</v>
      </c>
      <c r="I5" s="19" t="s">
        <v>24</v>
      </c>
    </row>
    <row r="6" spans="1:10" x14ac:dyDescent="0.3">
      <c r="A6">
        <v>4</v>
      </c>
      <c r="B6" s="21" t="s">
        <v>1066</v>
      </c>
      <c r="C6" s="9" t="s">
        <v>262</v>
      </c>
      <c r="D6" s="17">
        <v>8</v>
      </c>
      <c r="E6" s="19" t="s">
        <v>28</v>
      </c>
      <c r="F6" s="19" t="s">
        <v>28</v>
      </c>
      <c r="G6" s="19" t="s">
        <v>28</v>
      </c>
      <c r="H6" s="19" t="s">
        <v>28</v>
      </c>
      <c r="I6" s="19" t="s">
        <v>28</v>
      </c>
      <c r="J6" t="s">
        <v>1067</v>
      </c>
    </row>
    <row r="7" spans="1:10" x14ac:dyDescent="0.3">
      <c r="A7">
        <v>5</v>
      </c>
      <c r="B7" s="21" t="s">
        <v>1065</v>
      </c>
      <c r="C7" s="9" t="s">
        <v>263</v>
      </c>
      <c r="D7" s="17">
        <v>8</v>
      </c>
      <c r="E7" s="19" t="s">
        <v>28</v>
      </c>
      <c r="F7" s="19" t="s">
        <v>28</v>
      </c>
      <c r="G7" s="19" t="s">
        <v>28</v>
      </c>
      <c r="H7" s="19" t="s">
        <v>28</v>
      </c>
      <c r="I7" s="19" t="s">
        <v>28</v>
      </c>
    </row>
    <row r="8" spans="1:10" x14ac:dyDescent="0.3">
      <c r="A8">
        <v>6</v>
      </c>
      <c r="B8" s="21" t="s">
        <v>1066</v>
      </c>
      <c r="C8" s="9" t="s">
        <v>25</v>
      </c>
      <c r="D8" s="17">
        <v>8</v>
      </c>
      <c r="E8" s="19" t="s">
        <v>28</v>
      </c>
      <c r="F8" s="19" t="s">
        <v>28</v>
      </c>
      <c r="G8" s="19" t="s">
        <v>28</v>
      </c>
      <c r="H8" s="19" t="s">
        <v>28</v>
      </c>
      <c r="I8" s="19" t="s">
        <v>28</v>
      </c>
    </row>
    <row r="9" spans="1:10" x14ac:dyDescent="0.3">
      <c r="A9">
        <v>7</v>
      </c>
      <c r="B9" s="21" t="s">
        <v>1065</v>
      </c>
      <c r="C9" s="9" t="s">
        <v>264</v>
      </c>
      <c r="D9" s="17">
        <v>8</v>
      </c>
      <c r="E9" s="19" t="s">
        <v>28</v>
      </c>
      <c r="F9" s="19" t="s">
        <v>28</v>
      </c>
      <c r="G9" s="19" t="s">
        <v>28</v>
      </c>
      <c r="H9" s="19" t="s">
        <v>28</v>
      </c>
      <c r="I9" s="19" t="s">
        <v>28</v>
      </c>
    </row>
    <row r="10" spans="1:10" x14ac:dyDescent="0.3">
      <c r="A10" t="s">
        <v>1068</v>
      </c>
      <c r="B10" s="21" t="s">
        <v>1066</v>
      </c>
      <c r="C10" s="9" t="s">
        <v>265</v>
      </c>
      <c r="D10" s="17">
        <v>8</v>
      </c>
      <c r="E10" s="19" t="s">
        <v>24</v>
      </c>
      <c r="F10" s="19" t="s">
        <v>24</v>
      </c>
      <c r="G10" s="19" t="s">
        <v>24</v>
      </c>
      <c r="H10" s="19" t="s">
        <v>24</v>
      </c>
      <c r="I10" s="19" t="s">
        <v>24</v>
      </c>
    </row>
    <row r="11" spans="1:10" x14ac:dyDescent="0.3">
      <c r="A11">
        <v>9</v>
      </c>
      <c r="B11" s="21" t="s">
        <v>1065</v>
      </c>
      <c r="C11" s="9" t="s">
        <v>267</v>
      </c>
      <c r="D11" s="17">
        <v>8</v>
      </c>
      <c r="E11" s="19" t="s">
        <v>28</v>
      </c>
      <c r="F11" s="19" t="s">
        <v>28</v>
      </c>
      <c r="G11" s="19" t="s">
        <v>28</v>
      </c>
      <c r="H11" s="19" t="s">
        <v>28</v>
      </c>
      <c r="I11" s="19" t="s">
        <v>28</v>
      </c>
    </row>
    <row r="12" spans="1:10" x14ac:dyDescent="0.3">
      <c r="A12">
        <v>10</v>
      </c>
      <c r="B12" s="21" t="s">
        <v>1066</v>
      </c>
      <c r="C12" s="9" t="s">
        <v>269</v>
      </c>
      <c r="D12" s="17">
        <v>9</v>
      </c>
      <c r="E12" s="19" t="s">
        <v>24</v>
      </c>
      <c r="F12" s="19" t="s">
        <v>24</v>
      </c>
      <c r="G12" s="19" t="s">
        <v>24</v>
      </c>
      <c r="H12" s="19" t="s">
        <v>24</v>
      </c>
      <c r="I12" s="19" t="s">
        <v>24</v>
      </c>
    </row>
    <row r="13" spans="1:10" x14ac:dyDescent="0.3">
      <c r="A13">
        <v>11</v>
      </c>
      <c r="B13" s="21" t="s">
        <v>1065</v>
      </c>
      <c r="C13" s="9" t="s">
        <v>270</v>
      </c>
      <c r="D13" s="17">
        <v>9</v>
      </c>
      <c r="E13" s="19" t="s">
        <v>28</v>
      </c>
      <c r="F13" s="19" t="s">
        <v>28</v>
      </c>
      <c r="G13" s="19" t="s">
        <v>28</v>
      </c>
      <c r="H13" s="19" t="s">
        <v>28</v>
      </c>
      <c r="I13" s="19" t="s">
        <v>28</v>
      </c>
    </row>
    <row r="14" spans="1:10" ht="28.8" x14ac:dyDescent="0.3">
      <c r="A14">
        <v>12</v>
      </c>
      <c r="B14" s="21" t="s">
        <v>1066</v>
      </c>
      <c r="C14" s="9" t="s">
        <v>275</v>
      </c>
      <c r="D14" s="17">
        <v>10</v>
      </c>
      <c r="E14" s="19" t="s">
        <v>28</v>
      </c>
      <c r="F14" s="19" t="s">
        <v>28</v>
      </c>
      <c r="G14" s="19" t="s">
        <v>28</v>
      </c>
      <c r="H14" s="19" t="s">
        <v>28</v>
      </c>
      <c r="I14" s="19" t="s">
        <v>28</v>
      </c>
      <c r="J14" s="22" t="s">
        <v>1069</v>
      </c>
    </row>
    <row r="15" spans="1:10" x14ac:dyDescent="0.3">
      <c r="A15">
        <v>13</v>
      </c>
      <c r="B15" s="21" t="s">
        <v>1065</v>
      </c>
      <c r="C15" s="9" t="s">
        <v>29</v>
      </c>
      <c r="D15" s="17">
        <v>10</v>
      </c>
      <c r="E15" s="19" t="s">
        <v>28</v>
      </c>
      <c r="F15" s="19" t="s">
        <v>28</v>
      </c>
      <c r="G15" s="19" t="s">
        <v>28</v>
      </c>
      <c r="H15" s="19" t="s">
        <v>28</v>
      </c>
      <c r="I15" s="19" t="s">
        <v>28</v>
      </c>
    </row>
    <row r="16" spans="1:10" x14ac:dyDescent="0.3">
      <c r="A16">
        <v>14</v>
      </c>
      <c r="B16" s="21" t="s">
        <v>1066</v>
      </c>
      <c r="C16" s="9" t="s">
        <v>31</v>
      </c>
      <c r="D16" s="17">
        <v>10</v>
      </c>
      <c r="E16" s="19" t="s">
        <v>28</v>
      </c>
      <c r="F16" s="19" t="s">
        <v>28</v>
      </c>
      <c r="G16" s="19" t="s">
        <v>28</v>
      </c>
      <c r="H16" s="19" t="s">
        <v>28</v>
      </c>
      <c r="I16" s="19" t="s">
        <v>28</v>
      </c>
      <c r="J16" t="s">
        <v>1070</v>
      </c>
    </row>
    <row r="17" spans="1:10" x14ac:dyDescent="0.3">
      <c r="A17">
        <v>15</v>
      </c>
      <c r="B17" s="21" t="s">
        <v>1065</v>
      </c>
      <c r="C17" s="9" t="s">
        <v>276</v>
      </c>
      <c r="D17" s="17">
        <v>10</v>
      </c>
      <c r="E17" s="19" t="s">
        <v>24</v>
      </c>
      <c r="F17" s="19" t="s">
        <v>24</v>
      </c>
      <c r="G17" s="19" t="s">
        <v>24</v>
      </c>
      <c r="H17" s="19" t="s">
        <v>24</v>
      </c>
      <c r="I17" s="19" t="s">
        <v>24</v>
      </c>
    </row>
    <row r="18" spans="1:10" x14ac:dyDescent="0.3">
      <c r="A18">
        <v>16</v>
      </c>
      <c r="B18" s="21" t="s">
        <v>1066</v>
      </c>
      <c r="C18" s="9" t="s">
        <v>32</v>
      </c>
      <c r="D18" s="17">
        <v>10</v>
      </c>
      <c r="E18" s="19" t="s">
        <v>28</v>
      </c>
      <c r="F18" s="19" t="s">
        <v>28</v>
      </c>
      <c r="G18" s="19" t="s">
        <v>16</v>
      </c>
      <c r="H18" s="19" t="s">
        <v>28</v>
      </c>
      <c r="I18" s="19" t="s">
        <v>16</v>
      </c>
    </row>
    <row r="19" spans="1:10" x14ac:dyDescent="0.3">
      <c r="A19">
        <v>17</v>
      </c>
      <c r="B19" s="21" t="s">
        <v>1065</v>
      </c>
      <c r="C19" s="9" t="s">
        <v>277</v>
      </c>
      <c r="D19" s="17">
        <v>10</v>
      </c>
      <c r="E19" s="19" t="s">
        <v>28</v>
      </c>
      <c r="F19" s="19" t="s">
        <v>28</v>
      </c>
      <c r="G19" s="19" t="s">
        <v>28</v>
      </c>
      <c r="H19" s="19" t="s">
        <v>28</v>
      </c>
      <c r="I19" s="19" t="s">
        <v>28</v>
      </c>
    </row>
    <row r="20" spans="1:10" x14ac:dyDescent="0.3">
      <c r="A20">
        <v>18</v>
      </c>
      <c r="B20" s="21" t="s">
        <v>1066</v>
      </c>
      <c r="C20" s="9" t="s">
        <v>278</v>
      </c>
      <c r="D20" s="17">
        <v>10</v>
      </c>
      <c r="E20" s="19" t="s">
        <v>24</v>
      </c>
      <c r="F20" s="19" t="s">
        <v>24</v>
      </c>
      <c r="G20" s="19" t="s">
        <v>24</v>
      </c>
      <c r="H20" s="19" t="s">
        <v>24</v>
      </c>
      <c r="I20" s="19" t="s">
        <v>24</v>
      </c>
    </row>
    <row r="21" spans="1:10" x14ac:dyDescent="0.3">
      <c r="A21">
        <v>19</v>
      </c>
      <c r="B21" s="21" t="s">
        <v>1065</v>
      </c>
      <c r="C21" s="9" t="s">
        <v>280</v>
      </c>
      <c r="D21" s="17">
        <v>10</v>
      </c>
      <c r="E21" s="19" t="s">
        <v>28</v>
      </c>
      <c r="F21" s="19" t="s">
        <v>28</v>
      </c>
      <c r="G21" s="19" t="s">
        <v>28</v>
      </c>
      <c r="H21" s="19" t="s">
        <v>28</v>
      </c>
      <c r="I21" s="19" t="s">
        <v>16</v>
      </c>
    </row>
    <row r="22" spans="1:10" x14ac:dyDescent="0.3">
      <c r="A22">
        <v>20</v>
      </c>
      <c r="B22" s="21" t="s">
        <v>1066</v>
      </c>
      <c r="C22" s="9" t="s">
        <v>281</v>
      </c>
      <c r="D22" s="17">
        <v>10</v>
      </c>
      <c r="E22" s="19" t="s">
        <v>24</v>
      </c>
      <c r="F22" s="19" t="s">
        <v>24</v>
      </c>
      <c r="G22" s="19" t="s">
        <v>24</v>
      </c>
      <c r="H22" s="19" t="s">
        <v>24</v>
      </c>
      <c r="I22" s="19" t="s">
        <v>24</v>
      </c>
      <c r="J22" t="s">
        <v>1071</v>
      </c>
    </row>
    <row r="23" spans="1:10" x14ac:dyDescent="0.3">
      <c r="A23">
        <v>21</v>
      </c>
      <c r="B23" s="21" t="s">
        <v>1065</v>
      </c>
      <c r="C23" s="9" t="s">
        <v>41</v>
      </c>
      <c r="D23" s="17">
        <v>11</v>
      </c>
      <c r="E23" s="19" t="s">
        <v>28</v>
      </c>
      <c r="F23" s="19" t="s">
        <v>28</v>
      </c>
      <c r="G23" s="19" t="s">
        <v>28</v>
      </c>
      <c r="H23" s="19" t="s">
        <v>28</v>
      </c>
      <c r="I23" s="19" t="s">
        <v>28</v>
      </c>
    </row>
    <row r="24" spans="1:10" x14ac:dyDescent="0.3">
      <c r="A24">
        <v>22</v>
      </c>
      <c r="B24" s="21" t="s">
        <v>1066</v>
      </c>
      <c r="C24" s="9" t="s">
        <v>283</v>
      </c>
      <c r="D24" s="17">
        <v>11</v>
      </c>
      <c r="E24" s="19" t="s">
        <v>28</v>
      </c>
      <c r="F24" s="19" t="s">
        <v>28</v>
      </c>
      <c r="G24" s="19" t="s">
        <v>28</v>
      </c>
      <c r="H24" s="19" t="s">
        <v>28</v>
      </c>
      <c r="I24" s="19" t="s">
        <v>28</v>
      </c>
    </row>
    <row r="25" spans="1:10" x14ac:dyDescent="0.3">
      <c r="A25">
        <v>23</v>
      </c>
      <c r="B25" s="21" t="s">
        <v>1065</v>
      </c>
      <c r="C25" s="9" t="s">
        <v>39</v>
      </c>
      <c r="D25" s="17">
        <v>11</v>
      </c>
      <c r="E25" s="19" t="s">
        <v>28</v>
      </c>
      <c r="F25" s="19" t="s">
        <v>28</v>
      </c>
      <c r="G25" s="19" t="s">
        <v>28</v>
      </c>
      <c r="H25" s="19" t="s">
        <v>28</v>
      </c>
      <c r="I25" s="19" t="s">
        <v>28</v>
      </c>
    </row>
    <row r="26" spans="1:10" ht="28.8" x14ac:dyDescent="0.3">
      <c r="A26">
        <v>24</v>
      </c>
      <c r="B26" s="21" t="s">
        <v>1066</v>
      </c>
      <c r="C26" s="9" t="s">
        <v>42</v>
      </c>
      <c r="D26" s="17">
        <v>11</v>
      </c>
      <c r="E26" s="19" t="s">
        <v>28</v>
      </c>
      <c r="F26" s="19" t="s">
        <v>28</v>
      </c>
      <c r="G26" s="19" t="s">
        <v>28</v>
      </c>
      <c r="H26" s="19" t="s">
        <v>28</v>
      </c>
      <c r="I26" s="19" t="s">
        <v>28</v>
      </c>
      <c r="J26" s="22" t="s">
        <v>1072</v>
      </c>
    </row>
    <row r="27" spans="1:10" x14ac:dyDescent="0.3">
      <c r="A27">
        <v>25</v>
      </c>
      <c r="B27" s="21" t="s">
        <v>1065</v>
      </c>
      <c r="C27" s="9" t="s">
        <v>286</v>
      </c>
      <c r="D27" s="17">
        <v>11</v>
      </c>
      <c r="E27" s="19" t="s">
        <v>28</v>
      </c>
      <c r="F27" s="19" t="s">
        <v>28</v>
      </c>
      <c r="G27" s="19" t="s">
        <v>28</v>
      </c>
      <c r="H27" s="19" t="s">
        <v>28</v>
      </c>
      <c r="I27" s="19" t="s">
        <v>28</v>
      </c>
    </row>
    <row r="28" spans="1:10" x14ac:dyDescent="0.3">
      <c r="A28">
        <v>26</v>
      </c>
      <c r="B28" s="21" t="s">
        <v>1066</v>
      </c>
      <c r="C28" s="9" t="s">
        <v>288</v>
      </c>
      <c r="D28" s="17">
        <v>11</v>
      </c>
      <c r="E28" s="19" t="s">
        <v>24</v>
      </c>
      <c r="F28" s="19" t="s">
        <v>24</v>
      </c>
      <c r="G28" s="19" t="s">
        <v>24</v>
      </c>
      <c r="H28" s="19" t="s">
        <v>24</v>
      </c>
      <c r="I28" s="19" t="s">
        <v>24</v>
      </c>
    </row>
    <row r="29" spans="1:10" x14ac:dyDescent="0.3">
      <c r="A29">
        <v>27</v>
      </c>
      <c r="B29" s="21" t="s">
        <v>1065</v>
      </c>
      <c r="C29" s="9" t="s">
        <v>290</v>
      </c>
      <c r="D29" s="17">
        <v>11</v>
      </c>
      <c r="E29" s="19" t="s">
        <v>24</v>
      </c>
      <c r="F29" s="19" t="s">
        <v>24</v>
      </c>
      <c r="G29" s="19" t="s">
        <v>24</v>
      </c>
      <c r="H29" s="19" t="s">
        <v>24</v>
      </c>
      <c r="I29" s="19" t="s">
        <v>24</v>
      </c>
    </row>
    <row r="30" spans="1:10" x14ac:dyDescent="0.3">
      <c r="A30">
        <v>28</v>
      </c>
      <c r="B30" s="21" t="s">
        <v>1066</v>
      </c>
      <c r="C30" s="9" t="s">
        <v>291</v>
      </c>
      <c r="D30" s="17">
        <v>12</v>
      </c>
      <c r="E30" s="19" t="s">
        <v>24</v>
      </c>
      <c r="F30" s="19" t="s">
        <v>24</v>
      </c>
      <c r="G30" s="19" t="s">
        <v>24</v>
      </c>
      <c r="H30" s="19" t="s">
        <v>24</v>
      </c>
      <c r="I30" s="19" t="s">
        <v>24</v>
      </c>
    </row>
    <row r="31" spans="1:10" x14ac:dyDescent="0.3">
      <c r="A31">
        <v>29</v>
      </c>
      <c r="B31" s="21" t="s">
        <v>1065</v>
      </c>
      <c r="C31" s="9" t="s">
        <v>294</v>
      </c>
      <c r="D31" s="17">
        <v>12</v>
      </c>
      <c r="E31" s="19" t="s">
        <v>28</v>
      </c>
      <c r="F31" s="19" t="s">
        <v>28</v>
      </c>
      <c r="G31" s="19" t="s">
        <v>28</v>
      </c>
      <c r="H31" s="19" t="s">
        <v>28</v>
      </c>
      <c r="I31" s="19" t="s">
        <v>28</v>
      </c>
    </row>
    <row r="32" spans="1:10" x14ac:dyDescent="0.3">
      <c r="A32">
        <v>30</v>
      </c>
      <c r="B32" s="21" t="s">
        <v>1066</v>
      </c>
      <c r="C32" s="9" t="s">
        <v>295</v>
      </c>
      <c r="D32" s="17">
        <v>12</v>
      </c>
      <c r="E32" s="19" t="s">
        <v>28</v>
      </c>
      <c r="F32" s="19" t="s">
        <v>16</v>
      </c>
      <c r="G32" s="19" t="s">
        <v>35</v>
      </c>
      <c r="H32" s="19" t="s">
        <v>28</v>
      </c>
      <c r="I32" s="19" t="s">
        <v>28</v>
      </c>
      <c r="J32" t="s">
        <v>1073</v>
      </c>
    </row>
    <row r="33" spans="1:10" x14ac:dyDescent="0.3">
      <c r="A33">
        <v>31</v>
      </c>
      <c r="B33" s="21" t="s">
        <v>1065</v>
      </c>
      <c r="C33" s="9" t="s">
        <v>45</v>
      </c>
      <c r="D33" s="17">
        <v>12</v>
      </c>
      <c r="E33" s="19" t="s">
        <v>28</v>
      </c>
      <c r="F33" s="19" t="s">
        <v>28</v>
      </c>
      <c r="G33" s="19" t="s">
        <v>28</v>
      </c>
      <c r="H33" s="19" t="s">
        <v>28</v>
      </c>
      <c r="I33" s="19" t="s">
        <v>28</v>
      </c>
    </row>
    <row r="34" spans="1:10" x14ac:dyDescent="0.3">
      <c r="A34">
        <v>32</v>
      </c>
      <c r="B34" s="21" t="s">
        <v>1066</v>
      </c>
      <c r="C34" s="9" t="s">
        <v>296</v>
      </c>
      <c r="D34" s="17">
        <v>12</v>
      </c>
      <c r="E34" s="19" t="s">
        <v>28</v>
      </c>
      <c r="F34" s="19" t="s">
        <v>28</v>
      </c>
      <c r="G34" s="19" t="s">
        <v>28</v>
      </c>
      <c r="H34" s="19" t="s">
        <v>28</v>
      </c>
      <c r="I34" s="19" t="s">
        <v>28</v>
      </c>
      <c r="J34" s="22" t="s">
        <v>1074</v>
      </c>
    </row>
    <row r="35" spans="1:10" x14ac:dyDescent="0.3">
      <c r="A35">
        <v>33</v>
      </c>
      <c r="B35" s="21" t="s">
        <v>1065</v>
      </c>
      <c r="C35" s="9" t="s">
        <v>49</v>
      </c>
      <c r="D35" s="17">
        <v>12</v>
      </c>
      <c r="E35" s="19" t="s">
        <v>28</v>
      </c>
      <c r="F35" s="19" t="s">
        <v>28</v>
      </c>
      <c r="G35" s="19" t="s">
        <v>28</v>
      </c>
      <c r="H35" s="19" t="s">
        <v>28</v>
      </c>
      <c r="I35" s="19" t="s">
        <v>28</v>
      </c>
    </row>
    <row r="36" spans="1:10" x14ac:dyDescent="0.3">
      <c r="A36">
        <v>34</v>
      </c>
      <c r="B36" s="21" t="s">
        <v>1066</v>
      </c>
      <c r="C36" s="9" t="s">
        <v>297</v>
      </c>
      <c r="D36" s="17">
        <v>12</v>
      </c>
      <c r="E36" s="19" t="s">
        <v>28</v>
      </c>
      <c r="F36" s="19" t="s">
        <v>28</v>
      </c>
      <c r="G36" s="19" t="s">
        <v>28</v>
      </c>
      <c r="H36" s="19" t="s">
        <v>28</v>
      </c>
      <c r="I36" s="19" t="s">
        <v>28</v>
      </c>
    </row>
    <row r="37" spans="1:10" x14ac:dyDescent="0.3">
      <c r="A37">
        <v>35</v>
      </c>
      <c r="B37" s="21" t="s">
        <v>1065</v>
      </c>
      <c r="C37" s="9" t="s">
        <v>299</v>
      </c>
      <c r="D37" s="17">
        <v>12</v>
      </c>
      <c r="E37" s="19" t="s">
        <v>24</v>
      </c>
      <c r="F37" s="19" t="s">
        <v>24</v>
      </c>
      <c r="G37" s="19" t="s">
        <v>24</v>
      </c>
      <c r="H37" s="19" t="s">
        <v>24</v>
      </c>
      <c r="I37" s="19" t="s">
        <v>24</v>
      </c>
    </row>
    <row r="38" spans="1:10" x14ac:dyDescent="0.3">
      <c r="A38">
        <v>36</v>
      </c>
      <c r="B38" s="21" t="s">
        <v>1066</v>
      </c>
      <c r="C38" s="9" t="s">
        <v>300</v>
      </c>
      <c r="D38" s="17">
        <v>12</v>
      </c>
      <c r="E38" s="19" t="s">
        <v>24</v>
      </c>
      <c r="F38" s="19" t="s">
        <v>24</v>
      </c>
      <c r="G38" s="19" t="s">
        <v>24</v>
      </c>
      <c r="H38" s="19" t="s">
        <v>24</v>
      </c>
      <c r="I38" s="19" t="s">
        <v>24</v>
      </c>
    </row>
    <row r="39" spans="1:10" x14ac:dyDescent="0.3">
      <c r="A39">
        <v>37</v>
      </c>
      <c r="B39" s="21" t="s">
        <v>1065</v>
      </c>
      <c r="C39" s="9" t="s">
        <v>46</v>
      </c>
      <c r="D39" s="17">
        <v>12</v>
      </c>
      <c r="E39" s="19" t="s">
        <v>28</v>
      </c>
      <c r="F39" s="19" t="s">
        <v>28</v>
      </c>
      <c r="G39" s="19" t="s">
        <v>28</v>
      </c>
      <c r="H39" s="19" t="s">
        <v>28</v>
      </c>
      <c r="I39" s="19" t="s">
        <v>16</v>
      </c>
    </row>
    <row r="40" spans="1:10" x14ac:dyDescent="0.3">
      <c r="A40">
        <v>38</v>
      </c>
      <c r="B40" s="21" t="s">
        <v>1066</v>
      </c>
      <c r="C40" s="9" t="s">
        <v>302</v>
      </c>
      <c r="D40" s="17">
        <v>12</v>
      </c>
      <c r="E40" s="19" t="s">
        <v>28</v>
      </c>
      <c r="F40" s="19" t="s">
        <v>28</v>
      </c>
      <c r="G40" s="19" t="s">
        <v>28</v>
      </c>
      <c r="H40" s="19" t="s">
        <v>28</v>
      </c>
      <c r="I40" s="19" t="s">
        <v>28</v>
      </c>
      <c r="J40" t="s">
        <v>1070</v>
      </c>
    </row>
    <row r="41" spans="1:10" x14ac:dyDescent="0.3">
      <c r="A41">
        <v>39</v>
      </c>
      <c r="B41" s="21" t="s">
        <v>1065</v>
      </c>
      <c r="C41" s="9" t="s">
        <v>303</v>
      </c>
      <c r="D41" s="17">
        <v>12</v>
      </c>
      <c r="E41" s="19" t="s">
        <v>28</v>
      </c>
      <c r="F41" s="19" t="s">
        <v>28</v>
      </c>
      <c r="G41" s="19" t="s">
        <v>28</v>
      </c>
      <c r="H41" s="19" t="s">
        <v>28</v>
      </c>
      <c r="I41" s="19" t="s">
        <v>28</v>
      </c>
    </row>
    <row r="42" spans="1:10" x14ac:dyDescent="0.3">
      <c r="A42">
        <v>40</v>
      </c>
      <c r="B42" s="21" t="s">
        <v>1066</v>
      </c>
      <c r="C42" s="9" t="s">
        <v>304</v>
      </c>
      <c r="D42" s="17">
        <v>12</v>
      </c>
      <c r="E42" s="19" t="s">
        <v>24</v>
      </c>
      <c r="F42" s="19" t="s">
        <v>24</v>
      </c>
      <c r="G42" s="19" t="s">
        <v>24</v>
      </c>
      <c r="H42" s="19" t="s">
        <v>24</v>
      </c>
      <c r="I42" s="19" t="s">
        <v>24</v>
      </c>
    </row>
    <row r="43" spans="1:10" x14ac:dyDescent="0.3">
      <c r="A43">
        <v>41</v>
      </c>
      <c r="B43" s="21" t="s">
        <v>1065</v>
      </c>
      <c r="C43" s="9" t="s">
        <v>305</v>
      </c>
      <c r="D43" s="17">
        <v>13</v>
      </c>
      <c r="E43" s="19" t="s">
        <v>16</v>
      </c>
      <c r="F43" s="19" t="s">
        <v>28</v>
      </c>
      <c r="G43" s="19" t="s">
        <v>28</v>
      </c>
      <c r="H43" s="19" t="s">
        <v>28</v>
      </c>
      <c r="I43" s="19" t="s">
        <v>28</v>
      </c>
    </row>
    <row r="44" spans="1:10" x14ac:dyDescent="0.3">
      <c r="A44">
        <v>42</v>
      </c>
      <c r="B44" s="21" t="s">
        <v>1066</v>
      </c>
      <c r="C44" s="9" t="s">
        <v>306</v>
      </c>
      <c r="D44" s="17">
        <v>13</v>
      </c>
      <c r="E44" s="19" t="s">
        <v>28</v>
      </c>
      <c r="F44" s="19" t="s">
        <v>28</v>
      </c>
      <c r="G44" s="19" t="s">
        <v>28</v>
      </c>
      <c r="H44" s="19" t="s">
        <v>28</v>
      </c>
      <c r="I44" s="19" t="s">
        <v>28</v>
      </c>
    </row>
    <row r="45" spans="1:10" x14ac:dyDescent="0.3">
      <c r="A45">
        <v>43</v>
      </c>
      <c r="B45" s="21" t="s">
        <v>1065</v>
      </c>
      <c r="C45" s="9" t="s">
        <v>76</v>
      </c>
      <c r="D45" s="17">
        <v>13</v>
      </c>
      <c r="E45" s="19" t="s">
        <v>24</v>
      </c>
      <c r="F45" s="19" t="s">
        <v>24</v>
      </c>
      <c r="G45" s="19" t="s">
        <v>24</v>
      </c>
      <c r="H45" s="19" t="s">
        <v>24</v>
      </c>
      <c r="I45" s="19" t="s">
        <v>24</v>
      </c>
    </row>
    <row r="46" spans="1:10" x14ac:dyDescent="0.3">
      <c r="A46">
        <v>44</v>
      </c>
      <c r="B46" s="21" t="s">
        <v>1066</v>
      </c>
      <c r="C46" s="9" t="s">
        <v>307</v>
      </c>
      <c r="D46" s="17">
        <v>13</v>
      </c>
      <c r="E46" s="19" t="s">
        <v>28</v>
      </c>
      <c r="F46" s="19" t="s">
        <v>28</v>
      </c>
      <c r="G46" s="19" t="s">
        <v>28</v>
      </c>
      <c r="H46" s="19" t="s">
        <v>28</v>
      </c>
      <c r="I46" s="19" t="s">
        <v>16</v>
      </c>
      <c r="J46" t="s">
        <v>1075</v>
      </c>
    </row>
    <row r="47" spans="1:10" x14ac:dyDescent="0.3">
      <c r="A47">
        <v>45</v>
      </c>
      <c r="B47" s="21" t="s">
        <v>1065</v>
      </c>
      <c r="C47" s="9" t="s">
        <v>308</v>
      </c>
      <c r="D47" s="17">
        <v>13</v>
      </c>
      <c r="E47" s="19" t="s">
        <v>28</v>
      </c>
      <c r="F47" s="19" t="s">
        <v>28</v>
      </c>
      <c r="G47" s="19" t="s">
        <v>28</v>
      </c>
      <c r="H47" s="19" t="s">
        <v>28</v>
      </c>
      <c r="I47" s="19" t="s">
        <v>28</v>
      </c>
    </row>
    <row r="48" spans="1:10" x14ac:dyDescent="0.3">
      <c r="A48">
        <v>46</v>
      </c>
      <c r="B48" s="21" t="s">
        <v>1066</v>
      </c>
      <c r="C48" s="9" t="s">
        <v>310</v>
      </c>
      <c r="D48" s="17">
        <v>13</v>
      </c>
      <c r="E48" s="19" t="s">
        <v>28</v>
      </c>
      <c r="F48" s="19" t="s">
        <v>28</v>
      </c>
      <c r="G48" s="19" t="s">
        <v>28</v>
      </c>
      <c r="H48" s="19" t="s">
        <v>28</v>
      </c>
      <c r="I48" s="19" t="s">
        <v>28</v>
      </c>
      <c r="J48" t="s">
        <v>1076</v>
      </c>
    </row>
    <row r="49" spans="1:10" x14ac:dyDescent="0.3">
      <c r="A49">
        <v>47</v>
      </c>
      <c r="B49" s="21" t="s">
        <v>1065</v>
      </c>
      <c r="C49" s="9" t="s">
        <v>311</v>
      </c>
      <c r="D49" s="17">
        <v>13</v>
      </c>
      <c r="E49" s="19" t="s">
        <v>28</v>
      </c>
      <c r="F49" s="19" t="s">
        <v>28</v>
      </c>
      <c r="G49" s="19" t="s">
        <v>28</v>
      </c>
      <c r="H49" s="19" t="s">
        <v>28</v>
      </c>
      <c r="I49" s="19" t="s">
        <v>28</v>
      </c>
    </row>
    <row r="50" spans="1:10" x14ac:dyDescent="0.3">
      <c r="A50">
        <v>48</v>
      </c>
      <c r="B50" s="21" t="s">
        <v>1066</v>
      </c>
      <c r="C50" s="9" t="s">
        <v>313</v>
      </c>
      <c r="D50" s="17">
        <v>13</v>
      </c>
      <c r="E50" s="19" t="s">
        <v>24</v>
      </c>
      <c r="F50" s="19" t="s">
        <v>24</v>
      </c>
      <c r="G50" s="19" t="s">
        <v>24</v>
      </c>
      <c r="H50" s="19" t="s">
        <v>24</v>
      </c>
      <c r="I50" s="19" t="s">
        <v>24</v>
      </c>
    </row>
    <row r="51" spans="1:10" x14ac:dyDescent="0.3">
      <c r="A51">
        <v>49</v>
      </c>
      <c r="B51" s="21" t="s">
        <v>1065</v>
      </c>
      <c r="C51" s="9" t="s">
        <v>314</v>
      </c>
      <c r="D51" s="17">
        <v>13</v>
      </c>
      <c r="E51" s="19" t="s">
        <v>24</v>
      </c>
      <c r="F51" s="19" t="s">
        <v>24</v>
      </c>
      <c r="G51" s="19" t="s">
        <v>24</v>
      </c>
      <c r="H51" s="19" t="s">
        <v>24</v>
      </c>
      <c r="I51" s="19" t="s">
        <v>24</v>
      </c>
    </row>
    <row r="52" spans="1:10" x14ac:dyDescent="0.3">
      <c r="A52">
        <v>50</v>
      </c>
      <c r="B52" s="21" t="s">
        <v>1066</v>
      </c>
      <c r="C52" s="9" t="s">
        <v>315</v>
      </c>
      <c r="D52" s="17">
        <v>13</v>
      </c>
      <c r="E52" s="19" t="s">
        <v>28</v>
      </c>
      <c r="F52" s="19" t="s">
        <v>28</v>
      </c>
      <c r="G52" s="19" t="s">
        <v>16</v>
      </c>
      <c r="H52" s="19" t="s">
        <v>16</v>
      </c>
      <c r="I52" s="19" t="s">
        <v>28</v>
      </c>
    </row>
    <row r="53" spans="1:10" x14ac:dyDescent="0.3">
      <c r="A53">
        <v>51</v>
      </c>
      <c r="B53" s="21" t="s">
        <v>1065</v>
      </c>
      <c r="C53" s="9" t="s">
        <v>316</v>
      </c>
      <c r="D53" s="17">
        <v>13</v>
      </c>
      <c r="E53" s="19" t="s">
        <v>24</v>
      </c>
      <c r="F53" s="19" t="s">
        <v>24</v>
      </c>
      <c r="G53" s="19" t="s">
        <v>24</v>
      </c>
      <c r="H53" s="19" t="s">
        <v>24</v>
      </c>
      <c r="I53" s="19" t="s">
        <v>24</v>
      </c>
    </row>
    <row r="54" spans="1:10" x14ac:dyDescent="0.3">
      <c r="A54">
        <v>52</v>
      </c>
      <c r="B54" s="21" t="s">
        <v>1066</v>
      </c>
      <c r="C54" s="9" t="s">
        <v>317</v>
      </c>
      <c r="D54" s="17">
        <v>13</v>
      </c>
      <c r="E54" s="19" t="s">
        <v>28</v>
      </c>
      <c r="F54" s="19" t="s">
        <v>28</v>
      </c>
      <c r="G54" s="19" t="s">
        <v>28</v>
      </c>
      <c r="H54" s="19" t="s">
        <v>28</v>
      </c>
      <c r="I54" s="19" t="s">
        <v>16</v>
      </c>
      <c r="J54" t="s">
        <v>1075</v>
      </c>
    </row>
    <row r="55" spans="1:10" x14ac:dyDescent="0.3">
      <c r="A55">
        <v>53</v>
      </c>
      <c r="B55" s="21" t="s">
        <v>1065</v>
      </c>
      <c r="C55" s="9" t="s">
        <v>57</v>
      </c>
      <c r="D55" s="17">
        <v>13</v>
      </c>
      <c r="E55" s="19" t="s">
        <v>28</v>
      </c>
      <c r="F55" s="19" t="s">
        <v>28</v>
      </c>
      <c r="G55" s="19" t="s">
        <v>28</v>
      </c>
      <c r="H55" s="19" t="s">
        <v>28</v>
      </c>
      <c r="I55" s="19" t="s">
        <v>28</v>
      </c>
    </row>
    <row r="56" spans="1:10" x14ac:dyDescent="0.3">
      <c r="A56">
        <v>54</v>
      </c>
      <c r="B56" s="21" t="s">
        <v>1066</v>
      </c>
      <c r="C56" s="9" t="s">
        <v>318</v>
      </c>
      <c r="D56" s="17">
        <v>13</v>
      </c>
      <c r="E56" s="19" t="s">
        <v>28</v>
      </c>
      <c r="F56" s="19" t="s">
        <v>28</v>
      </c>
      <c r="G56" s="19" t="s">
        <v>28</v>
      </c>
      <c r="H56" s="19" t="s">
        <v>28</v>
      </c>
      <c r="I56" s="19" t="s">
        <v>16</v>
      </c>
      <c r="J56" t="s">
        <v>1075</v>
      </c>
    </row>
    <row r="57" spans="1:10" x14ac:dyDescent="0.3">
      <c r="A57">
        <v>55</v>
      </c>
      <c r="B57" s="21" t="s">
        <v>1065</v>
      </c>
      <c r="C57" s="9" t="s">
        <v>319</v>
      </c>
      <c r="D57" s="17">
        <v>13</v>
      </c>
      <c r="E57" s="19" t="s">
        <v>16</v>
      </c>
      <c r="F57" s="19" t="s">
        <v>28</v>
      </c>
      <c r="G57" s="19" t="s">
        <v>16</v>
      </c>
      <c r="H57" s="19" t="s">
        <v>28</v>
      </c>
      <c r="I57" s="19" t="s">
        <v>16</v>
      </c>
    </row>
    <row r="58" spans="1:10" x14ac:dyDescent="0.3">
      <c r="A58">
        <v>56</v>
      </c>
      <c r="B58" s="21" t="s">
        <v>1066</v>
      </c>
      <c r="C58" s="9" t="s">
        <v>58</v>
      </c>
      <c r="D58" s="17">
        <v>13</v>
      </c>
      <c r="E58" s="19" t="s">
        <v>28</v>
      </c>
      <c r="F58" s="19" t="s">
        <v>28</v>
      </c>
      <c r="G58" s="19" t="s">
        <v>28</v>
      </c>
      <c r="H58" s="19" t="s">
        <v>28</v>
      </c>
      <c r="I58" s="19" t="s">
        <v>28</v>
      </c>
      <c r="J58" t="s">
        <v>1077</v>
      </c>
    </row>
    <row r="59" spans="1:10" x14ac:dyDescent="0.3">
      <c r="A59">
        <v>57</v>
      </c>
      <c r="B59" s="21" t="s">
        <v>1065</v>
      </c>
      <c r="C59" s="9" t="s">
        <v>62</v>
      </c>
      <c r="D59" s="17">
        <v>13</v>
      </c>
      <c r="E59" s="19" t="s">
        <v>28</v>
      </c>
      <c r="F59" s="19" t="s">
        <v>28</v>
      </c>
      <c r="G59" s="19" t="s">
        <v>16</v>
      </c>
      <c r="H59" s="19" t="s">
        <v>28</v>
      </c>
      <c r="I59" s="19" t="s">
        <v>16</v>
      </c>
    </row>
    <row r="60" spans="1:10" x14ac:dyDescent="0.3">
      <c r="A60">
        <v>58</v>
      </c>
      <c r="B60" s="21" t="s">
        <v>1066</v>
      </c>
      <c r="C60" s="9" t="s">
        <v>63</v>
      </c>
      <c r="D60" s="17">
        <v>13</v>
      </c>
      <c r="E60" s="19" t="s">
        <v>28</v>
      </c>
      <c r="F60" s="19" t="s">
        <v>28</v>
      </c>
      <c r="G60" s="19" t="s">
        <v>28</v>
      </c>
      <c r="H60" s="19" t="s">
        <v>28</v>
      </c>
      <c r="I60" s="19" t="s">
        <v>28</v>
      </c>
      <c r="J60" t="s">
        <v>555</v>
      </c>
    </row>
    <row r="61" spans="1:10" x14ac:dyDescent="0.3">
      <c r="A61">
        <v>59</v>
      </c>
      <c r="B61" s="21" t="s">
        <v>1065</v>
      </c>
      <c r="C61" s="9" t="s">
        <v>320</v>
      </c>
      <c r="D61" s="17">
        <v>13</v>
      </c>
      <c r="E61" s="19" t="s">
        <v>28</v>
      </c>
      <c r="F61" s="19" t="s">
        <v>28</v>
      </c>
      <c r="G61" s="19" t="s">
        <v>28</v>
      </c>
      <c r="H61" s="19" t="s">
        <v>28</v>
      </c>
      <c r="I61" s="19" t="s">
        <v>28</v>
      </c>
    </row>
    <row r="62" spans="1:10" x14ac:dyDescent="0.3">
      <c r="A62">
        <v>60</v>
      </c>
      <c r="B62" s="21" t="s">
        <v>1066</v>
      </c>
      <c r="C62" s="9" t="s">
        <v>321</v>
      </c>
      <c r="D62" s="17">
        <v>13</v>
      </c>
      <c r="E62" s="19" t="s">
        <v>24</v>
      </c>
      <c r="F62" s="19" t="s">
        <v>24</v>
      </c>
      <c r="G62" s="19" t="s">
        <v>24</v>
      </c>
      <c r="H62" s="19" t="s">
        <v>24</v>
      </c>
      <c r="I62" s="19" t="s">
        <v>24</v>
      </c>
    </row>
    <row r="63" spans="1:10" x14ac:dyDescent="0.3">
      <c r="A63">
        <v>61</v>
      </c>
      <c r="B63" s="21" t="s">
        <v>1065</v>
      </c>
      <c r="C63" s="9" t="s">
        <v>56</v>
      </c>
      <c r="D63" s="17">
        <v>13</v>
      </c>
      <c r="E63" s="19" t="s">
        <v>28</v>
      </c>
      <c r="F63" s="19" t="s">
        <v>28</v>
      </c>
      <c r="G63" s="19" t="s">
        <v>28</v>
      </c>
      <c r="H63" s="19" t="s">
        <v>28</v>
      </c>
      <c r="I63" s="19" t="s">
        <v>28</v>
      </c>
    </row>
    <row r="64" spans="1:10" x14ac:dyDescent="0.3">
      <c r="E64" s="14">
        <f>+COUNTIF(E1:E63,"ok")</f>
        <v>2</v>
      </c>
      <c r="F64" s="14">
        <f>+COUNTIF(F1:F63,"ok")</f>
        <v>1</v>
      </c>
      <c r="G64" s="14">
        <f>+COUNTIF(G1:G63,"ok")</f>
        <v>4</v>
      </c>
      <c r="H64" s="14">
        <f>+COUNTIF(H1:H63,"ok")</f>
        <v>1</v>
      </c>
      <c r="I64" s="14">
        <f>+COUNTIF(I1:I63,"ok")</f>
        <v>8</v>
      </c>
    </row>
  </sheetData>
  <autoFilter ref="B2:I64" xr:uid="{F08741E1-5387-4201-938B-B25A387E6C07}">
    <filterColumn colId="3">
      <filters>
        <filter val="2"/>
        <filter val="NC"/>
        <filter val="NP"/>
        <filter val="OK"/>
      </filters>
    </filterColumn>
  </autoFilter>
  <mergeCells count="1">
    <mergeCell ref="B1:I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6074C-EA5F-445E-B510-3383569530FF}">
  <sheetPr>
    <tabColor rgb="FF92D050"/>
  </sheetPr>
  <dimension ref="A1:H25"/>
  <sheetViews>
    <sheetView zoomScale="102" zoomScaleNormal="102" workbookViewId="0">
      <selection activeCell="C3" sqref="C3:C19"/>
    </sheetView>
  </sheetViews>
  <sheetFormatPr baseColWidth="10" defaultColWidth="80.88671875" defaultRowHeight="14.4" x14ac:dyDescent="0.3"/>
  <cols>
    <col min="1" max="1" width="80.88671875" customWidth="1"/>
    <col min="2" max="2" width="12.33203125" style="25" bestFit="1" customWidth="1"/>
    <col min="3" max="3" width="16.6640625" bestFit="1" customWidth="1"/>
    <col min="4" max="4" width="10.33203125" style="16" customWidth="1"/>
    <col min="5" max="5" width="108" customWidth="1"/>
    <col min="6" max="9" width="80.88671875" customWidth="1"/>
  </cols>
  <sheetData>
    <row r="1" spans="1:8" ht="15.6" x14ac:dyDescent="0.3">
      <c r="A1" s="31" t="s">
        <v>699</v>
      </c>
      <c r="B1" s="359" t="s">
        <v>247</v>
      </c>
      <c r="C1" s="359"/>
      <c r="D1" s="359"/>
      <c r="E1" s="359"/>
      <c r="F1" s="32"/>
      <c r="G1" s="1"/>
      <c r="H1" t="s">
        <v>1078</v>
      </c>
    </row>
    <row r="2" spans="1:8" x14ac:dyDescent="0.3">
      <c r="A2" s="30" t="s">
        <v>2</v>
      </c>
      <c r="B2" s="2" t="s">
        <v>3</v>
      </c>
      <c r="C2" s="30" t="s">
        <v>1079</v>
      </c>
      <c r="D2" s="2" t="s">
        <v>5</v>
      </c>
      <c r="E2" s="30" t="s">
        <v>6</v>
      </c>
      <c r="F2" s="30" t="s">
        <v>7</v>
      </c>
      <c r="G2" s="3"/>
    </row>
    <row r="3" spans="1:8" x14ac:dyDescent="0.3">
      <c r="A3" s="1" t="s">
        <v>41</v>
      </c>
      <c r="B3" s="27">
        <v>11</v>
      </c>
      <c r="C3" s="1">
        <v>5</v>
      </c>
      <c r="D3" s="28" t="s">
        <v>16</v>
      </c>
      <c r="E3" s="1" t="s">
        <v>1080</v>
      </c>
      <c r="F3" s="1" t="s">
        <v>467</v>
      </c>
      <c r="G3" s="1"/>
    </row>
    <row r="4" spans="1:8" x14ac:dyDescent="0.3">
      <c r="A4" s="1" t="s">
        <v>76</v>
      </c>
      <c r="B4" s="27">
        <v>13</v>
      </c>
      <c r="C4" s="1">
        <v>5</v>
      </c>
      <c r="D4" s="28" t="s">
        <v>16</v>
      </c>
      <c r="E4" s="1"/>
      <c r="F4" s="1" t="s">
        <v>1081</v>
      </c>
      <c r="G4" s="1"/>
    </row>
    <row r="5" spans="1:8" x14ac:dyDescent="0.3">
      <c r="A5" s="1" t="s">
        <v>295</v>
      </c>
      <c r="B5" s="27">
        <v>12</v>
      </c>
      <c r="C5" s="1">
        <v>5</v>
      </c>
      <c r="D5" s="28" t="s">
        <v>16</v>
      </c>
      <c r="E5" s="1"/>
      <c r="F5" s="1" t="s">
        <v>467</v>
      </c>
      <c r="G5" s="1"/>
    </row>
    <row r="6" spans="1:8" x14ac:dyDescent="0.3">
      <c r="A6" s="1" t="s">
        <v>29</v>
      </c>
      <c r="B6" s="27">
        <v>10</v>
      </c>
      <c r="C6" s="1">
        <v>5</v>
      </c>
      <c r="D6" s="28" t="s">
        <v>16</v>
      </c>
      <c r="E6" s="1"/>
      <c r="F6" s="1" t="s">
        <v>754</v>
      </c>
      <c r="G6" s="1"/>
    </row>
    <row r="7" spans="1:8" x14ac:dyDescent="0.3">
      <c r="A7" s="1" t="s">
        <v>308</v>
      </c>
      <c r="B7" s="27">
        <v>13</v>
      </c>
      <c r="C7" s="1">
        <v>3</v>
      </c>
      <c r="D7" s="28" t="s">
        <v>16</v>
      </c>
      <c r="E7" s="29" t="s">
        <v>1082</v>
      </c>
      <c r="F7" s="1" t="s">
        <v>1081</v>
      </c>
      <c r="G7" s="1"/>
    </row>
    <row r="8" spans="1:8" x14ac:dyDescent="0.3">
      <c r="A8" s="1" t="s">
        <v>1083</v>
      </c>
      <c r="B8" s="51" t="s">
        <v>1084</v>
      </c>
      <c r="C8" s="1">
        <v>5</v>
      </c>
      <c r="D8" s="28" t="s">
        <v>16</v>
      </c>
      <c r="E8" s="1"/>
      <c r="F8" s="1" t="s">
        <v>758</v>
      </c>
      <c r="G8" s="1"/>
    </row>
    <row r="9" spans="1:8" x14ac:dyDescent="0.3">
      <c r="A9" s="1" t="s">
        <v>277</v>
      </c>
      <c r="B9" s="27">
        <v>10</v>
      </c>
      <c r="C9" s="1">
        <v>5</v>
      </c>
      <c r="D9" s="28" t="s">
        <v>16</v>
      </c>
      <c r="E9" s="1" t="s">
        <v>1085</v>
      </c>
      <c r="F9" s="1" t="s">
        <v>758</v>
      </c>
      <c r="G9" s="1"/>
    </row>
    <row r="10" spans="1:8" x14ac:dyDescent="0.3">
      <c r="A10" s="1" t="s">
        <v>314</v>
      </c>
      <c r="B10" s="27">
        <v>13</v>
      </c>
      <c r="C10" s="1">
        <v>5</v>
      </c>
      <c r="D10" s="28" t="s">
        <v>16</v>
      </c>
      <c r="E10" s="1"/>
      <c r="F10" s="1" t="s">
        <v>754</v>
      </c>
      <c r="G10" s="1"/>
    </row>
    <row r="11" spans="1:8" x14ac:dyDescent="0.3">
      <c r="A11" s="1" t="s">
        <v>300</v>
      </c>
      <c r="B11" s="27">
        <v>12</v>
      </c>
      <c r="C11" s="1">
        <v>5</v>
      </c>
      <c r="D11" s="28" t="s">
        <v>16</v>
      </c>
      <c r="E11" s="1" t="s">
        <v>1086</v>
      </c>
      <c r="F11" s="1" t="s">
        <v>467</v>
      </c>
      <c r="G11" s="1"/>
    </row>
    <row r="12" spans="1:8" x14ac:dyDescent="0.3">
      <c r="A12" s="1" t="s">
        <v>58</v>
      </c>
      <c r="B12" s="27">
        <v>13</v>
      </c>
      <c r="C12" s="1">
        <v>5</v>
      </c>
      <c r="D12" s="28" t="s">
        <v>16</v>
      </c>
      <c r="E12" s="29" t="s">
        <v>1087</v>
      </c>
      <c r="F12" s="1" t="s">
        <v>1081</v>
      </c>
      <c r="G12" s="1"/>
    </row>
    <row r="13" spans="1:8" x14ac:dyDescent="0.3">
      <c r="A13" s="1" t="s">
        <v>62</v>
      </c>
      <c r="B13" s="27">
        <v>13</v>
      </c>
      <c r="C13" s="1">
        <v>5</v>
      </c>
      <c r="D13" s="28" t="s">
        <v>16</v>
      </c>
      <c r="E13" s="1" t="s">
        <v>1088</v>
      </c>
      <c r="F13" s="1" t="s">
        <v>467</v>
      </c>
      <c r="G13" s="1"/>
    </row>
    <row r="14" spans="1:8" x14ac:dyDescent="0.3">
      <c r="A14" s="1" t="s">
        <v>63</v>
      </c>
      <c r="B14" s="27">
        <v>13</v>
      </c>
      <c r="C14" s="1">
        <v>5</v>
      </c>
      <c r="D14" s="28" t="s">
        <v>16</v>
      </c>
      <c r="E14" s="1"/>
      <c r="F14" s="1" t="s">
        <v>754</v>
      </c>
      <c r="G14" s="1" t="s">
        <v>468</v>
      </c>
    </row>
    <row r="15" spans="1:8" x14ac:dyDescent="0.3">
      <c r="A15" s="1" t="s">
        <v>247</v>
      </c>
      <c r="B15" s="27">
        <v>4</v>
      </c>
      <c r="C15" s="1">
        <v>5</v>
      </c>
      <c r="D15" s="28" t="s">
        <v>16</v>
      </c>
      <c r="E15" s="1" t="s">
        <v>699</v>
      </c>
      <c r="F15" s="1" t="s">
        <v>1081</v>
      </c>
      <c r="G15" s="1"/>
    </row>
    <row r="16" spans="1:8" x14ac:dyDescent="0.3">
      <c r="A16" s="1" t="s">
        <v>280</v>
      </c>
      <c r="B16" s="27">
        <v>10</v>
      </c>
      <c r="C16" s="1">
        <v>5</v>
      </c>
      <c r="D16" s="28" t="s">
        <v>16</v>
      </c>
      <c r="E16" s="1" t="s">
        <v>1089</v>
      </c>
      <c r="F16" s="1" t="s">
        <v>758</v>
      </c>
      <c r="G16" s="1"/>
    </row>
    <row r="17" spans="1:7" x14ac:dyDescent="0.3">
      <c r="A17" s="1" t="s">
        <v>281</v>
      </c>
      <c r="B17" s="27">
        <v>10</v>
      </c>
      <c r="C17" s="1">
        <v>5</v>
      </c>
      <c r="D17" s="28" t="s">
        <v>16</v>
      </c>
      <c r="E17" s="1"/>
      <c r="F17" s="1" t="s">
        <v>754</v>
      </c>
      <c r="G17" s="1"/>
    </row>
    <row r="18" spans="1:7" x14ac:dyDescent="0.3">
      <c r="A18" s="1" t="s">
        <v>304</v>
      </c>
      <c r="B18" s="27">
        <v>12</v>
      </c>
      <c r="C18" s="1">
        <v>5</v>
      </c>
      <c r="D18" s="28" t="s">
        <v>16</v>
      </c>
      <c r="E18" s="1"/>
      <c r="F18" s="1" t="s">
        <v>1081</v>
      </c>
      <c r="G18" s="1"/>
    </row>
    <row r="19" spans="1:7" x14ac:dyDescent="0.3">
      <c r="A19" s="9"/>
      <c r="B19" s="24"/>
      <c r="C19" s="9">
        <f>SUM(C3:C18)</f>
        <v>78</v>
      </c>
      <c r="D19" s="15"/>
      <c r="E19" s="9"/>
      <c r="F19" s="9"/>
      <c r="G19" s="9"/>
    </row>
    <row r="20" spans="1:7" ht="21" x14ac:dyDescent="0.4">
      <c r="A20" s="375" t="s">
        <v>211</v>
      </c>
      <c r="B20" s="375"/>
      <c r="C20" s="375"/>
      <c r="D20" s="375">
        <f>+COUNTIF(D3:D18,"ok")</f>
        <v>16</v>
      </c>
      <c r="E20" s="375"/>
      <c r="F20" s="23"/>
    </row>
    <row r="23" spans="1:7" x14ac:dyDescent="0.3">
      <c r="D23" s="16" t="s">
        <v>7</v>
      </c>
      <c r="E23">
        <v>4</v>
      </c>
    </row>
    <row r="24" spans="1:7" x14ac:dyDescent="0.3">
      <c r="D24" s="16" t="s">
        <v>1090</v>
      </c>
      <c r="E24">
        <v>4</v>
      </c>
    </row>
    <row r="25" spans="1:7" x14ac:dyDescent="0.3">
      <c r="E25">
        <f>+D20+E24+E23</f>
        <v>24</v>
      </c>
    </row>
  </sheetData>
  <autoFilter ref="A2:G18" xr:uid="{84B6E324-7CA9-4F79-B7C9-3134EFE67080}">
    <sortState xmlns:xlrd2="http://schemas.microsoft.com/office/spreadsheetml/2017/richdata2" ref="A3:G18">
      <sortCondition ref="A2:A18"/>
    </sortState>
  </autoFilter>
  <mergeCells count="3">
    <mergeCell ref="B1:E1"/>
    <mergeCell ref="A20:C20"/>
    <mergeCell ref="D20:E20"/>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E324-7CA9-4F79-B7C9-3134EFE67080}">
  <sheetPr>
    <tabColor rgb="FFFFFF00"/>
  </sheetPr>
  <dimension ref="A1:H74"/>
  <sheetViews>
    <sheetView zoomScale="102" zoomScaleNormal="102" workbookViewId="0">
      <selection activeCell="B41" sqref="B41"/>
    </sheetView>
  </sheetViews>
  <sheetFormatPr baseColWidth="10" defaultColWidth="80.88671875" defaultRowHeight="14.4" x14ac:dyDescent="0.3"/>
  <cols>
    <col min="1" max="1" width="80.88671875" customWidth="1"/>
    <col min="2" max="2" width="10.5546875" style="25" customWidth="1"/>
    <col min="3" max="3" width="16.109375" customWidth="1"/>
    <col min="4" max="4" width="10.33203125" style="16" customWidth="1"/>
    <col min="5" max="5" width="108" customWidth="1"/>
    <col min="6" max="9" width="80.88671875" customWidth="1"/>
  </cols>
  <sheetData>
    <row r="1" spans="1:8" ht="15.6" x14ac:dyDescent="0.3">
      <c r="A1" s="31" t="s">
        <v>699</v>
      </c>
      <c r="B1" s="359" t="s">
        <v>247</v>
      </c>
      <c r="C1" s="359"/>
      <c r="D1" s="359"/>
      <c r="E1" s="359"/>
      <c r="F1" s="32"/>
      <c r="G1" s="1"/>
      <c r="H1" t="s">
        <v>1078</v>
      </c>
    </row>
    <row r="2" spans="1:8" x14ac:dyDescent="0.3">
      <c r="A2" s="30" t="s">
        <v>2</v>
      </c>
      <c r="B2" s="2" t="s">
        <v>3</v>
      </c>
      <c r="C2" s="30" t="s">
        <v>4</v>
      </c>
      <c r="D2" s="2" t="s">
        <v>5</v>
      </c>
      <c r="E2" s="30" t="s">
        <v>6</v>
      </c>
      <c r="F2" s="30" t="s">
        <v>7</v>
      </c>
      <c r="G2" s="3"/>
    </row>
    <row r="3" spans="1:8" x14ac:dyDescent="0.3">
      <c r="A3" s="1" t="s">
        <v>252</v>
      </c>
      <c r="B3" s="27">
        <v>5</v>
      </c>
      <c r="C3" s="1" t="s">
        <v>511</v>
      </c>
      <c r="D3" s="28" t="s">
        <v>24</v>
      </c>
      <c r="E3" s="1"/>
      <c r="F3" s="1"/>
      <c r="G3" s="1"/>
    </row>
    <row r="4" spans="1:8" x14ac:dyDescent="0.3">
      <c r="A4" s="1" t="s">
        <v>240</v>
      </c>
      <c r="B4" s="27">
        <v>4</v>
      </c>
      <c r="C4" s="1" t="s">
        <v>20</v>
      </c>
      <c r="D4" s="28"/>
      <c r="E4" s="1"/>
      <c r="F4" s="1" t="s">
        <v>758</v>
      </c>
      <c r="G4" s="1"/>
    </row>
    <row r="5" spans="1:8" x14ac:dyDescent="0.3">
      <c r="A5" s="1" t="s">
        <v>247</v>
      </c>
      <c r="B5" s="27">
        <v>4</v>
      </c>
      <c r="C5" s="1" t="s">
        <v>699</v>
      </c>
      <c r="D5" s="28" t="s">
        <v>16</v>
      </c>
      <c r="E5" s="1" t="s">
        <v>699</v>
      </c>
      <c r="F5" s="1" t="s">
        <v>1081</v>
      </c>
      <c r="G5" s="1"/>
    </row>
    <row r="6" spans="1:8" x14ac:dyDescent="0.3">
      <c r="A6" s="1" t="s">
        <v>257</v>
      </c>
      <c r="B6" s="27">
        <v>7</v>
      </c>
      <c r="C6" s="1" t="s">
        <v>79</v>
      </c>
      <c r="D6" s="28" t="s">
        <v>35</v>
      </c>
      <c r="E6" s="1" t="s">
        <v>1091</v>
      </c>
      <c r="F6" s="1"/>
      <c r="G6" s="1"/>
    </row>
    <row r="7" spans="1:8" x14ac:dyDescent="0.3">
      <c r="A7" s="1" t="s">
        <v>259</v>
      </c>
      <c r="B7" s="27">
        <v>7</v>
      </c>
      <c r="C7" s="1" t="s">
        <v>20</v>
      </c>
      <c r="D7" s="28" t="s">
        <v>24</v>
      </c>
      <c r="E7" s="1"/>
      <c r="F7" s="1"/>
      <c r="G7" s="1"/>
    </row>
    <row r="8" spans="1:8" x14ac:dyDescent="0.3">
      <c r="A8" s="1" t="s">
        <v>262</v>
      </c>
      <c r="B8" s="27">
        <v>8</v>
      </c>
      <c r="C8" s="1" t="s">
        <v>511</v>
      </c>
      <c r="D8" s="28" t="s">
        <v>35</v>
      </c>
      <c r="E8" s="1"/>
      <c r="F8" s="1"/>
      <c r="G8" s="1"/>
    </row>
    <row r="9" spans="1:8" x14ac:dyDescent="0.3">
      <c r="A9" s="1" t="s">
        <v>263</v>
      </c>
      <c r="B9" s="27">
        <v>8</v>
      </c>
      <c r="C9" s="1" t="s">
        <v>79</v>
      </c>
      <c r="D9" s="28" t="s">
        <v>24</v>
      </c>
      <c r="E9" s="1"/>
      <c r="F9" s="1"/>
      <c r="G9" s="1"/>
    </row>
    <row r="10" spans="1:8" x14ac:dyDescent="0.3">
      <c r="A10" s="1" t="s">
        <v>264</v>
      </c>
      <c r="B10" s="27">
        <v>8</v>
      </c>
      <c r="C10" s="1" t="s">
        <v>511</v>
      </c>
      <c r="D10" s="28" t="s">
        <v>24</v>
      </c>
      <c r="E10" s="1"/>
      <c r="F10" s="1"/>
      <c r="G10" s="1"/>
    </row>
    <row r="11" spans="1:8" x14ac:dyDescent="0.3">
      <c r="A11" s="1" t="s">
        <v>265</v>
      </c>
      <c r="B11" s="27">
        <v>8</v>
      </c>
      <c r="C11" s="1" t="s">
        <v>79</v>
      </c>
      <c r="D11" s="28" t="s">
        <v>24</v>
      </c>
      <c r="E11" s="29" t="s">
        <v>771</v>
      </c>
      <c r="F11" s="1"/>
      <c r="G11" s="1"/>
    </row>
    <row r="12" spans="1:8" x14ac:dyDescent="0.3">
      <c r="A12" s="1" t="s">
        <v>267</v>
      </c>
      <c r="B12" s="27">
        <v>8</v>
      </c>
      <c r="C12" s="1" t="s">
        <v>20</v>
      </c>
      <c r="D12" s="28" t="s">
        <v>47</v>
      </c>
      <c r="E12" s="1" t="s">
        <v>733</v>
      </c>
      <c r="F12" s="1"/>
      <c r="G12" s="1"/>
    </row>
    <row r="13" spans="1:8" x14ac:dyDescent="0.3">
      <c r="A13" s="1" t="s">
        <v>25</v>
      </c>
      <c r="B13" s="27">
        <v>8</v>
      </c>
      <c r="C13" s="1" t="s">
        <v>20</v>
      </c>
      <c r="D13" s="28" t="s">
        <v>116</v>
      </c>
      <c r="E13" s="1" t="s">
        <v>1092</v>
      </c>
      <c r="F13" s="1"/>
      <c r="G13" s="1" t="s">
        <v>468</v>
      </c>
    </row>
    <row r="14" spans="1:8" x14ac:dyDescent="0.3">
      <c r="A14" s="1" t="s">
        <v>258</v>
      </c>
      <c r="B14" s="27">
        <v>7</v>
      </c>
      <c r="C14" s="1" t="s">
        <v>20</v>
      </c>
      <c r="D14" s="28" t="s">
        <v>16</v>
      </c>
      <c r="E14" s="1" t="s">
        <v>1093</v>
      </c>
      <c r="F14" s="1" t="s">
        <v>467</v>
      </c>
      <c r="G14" s="1"/>
    </row>
    <row r="15" spans="1:8" x14ac:dyDescent="0.3">
      <c r="A15" s="1" t="s">
        <v>269</v>
      </c>
      <c r="B15" s="27">
        <v>9</v>
      </c>
      <c r="C15" s="1" t="s">
        <v>511</v>
      </c>
      <c r="D15" s="28" t="s">
        <v>24</v>
      </c>
      <c r="E15" s="1"/>
      <c r="F15" s="1"/>
      <c r="G15" s="1"/>
    </row>
    <row r="16" spans="1:8" x14ac:dyDescent="0.3">
      <c r="A16" s="1" t="s">
        <v>29</v>
      </c>
      <c r="B16" s="27">
        <v>10</v>
      </c>
      <c r="C16" s="1" t="s">
        <v>511</v>
      </c>
      <c r="D16" s="28" t="s">
        <v>16</v>
      </c>
      <c r="E16" s="1"/>
      <c r="F16" s="1" t="s">
        <v>754</v>
      </c>
      <c r="G16" s="1"/>
    </row>
    <row r="17" spans="1:7" x14ac:dyDescent="0.3">
      <c r="A17" s="1" t="s">
        <v>270</v>
      </c>
      <c r="B17" s="27">
        <v>9</v>
      </c>
      <c r="C17" s="1" t="s">
        <v>79</v>
      </c>
      <c r="D17" s="28" t="s">
        <v>24</v>
      </c>
      <c r="E17" s="1"/>
      <c r="F17" s="1"/>
      <c r="G17" s="1"/>
    </row>
    <row r="18" spans="1:7" x14ac:dyDescent="0.3">
      <c r="A18" s="1" t="s">
        <v>277</v>
      </c>
      <c r="B18" s="27">
        <v>10</v>
      </c>
      <c r="C18" s="1" t="s">
        <v>79</v>
      </c>
      <c r="D18" s="28" t="s">
        <v>16</v>
      </c>
      <c r="E18" s="1" t="s">
        <v>1085</v>
      </c>
      <c r="F18" s="1" t="s">
        <v>758</v>
      </c>
      <c r="G18" s="1"/>
    </row>
    <row r="19" spans="1:7" x14ac:dyDescent="0.3">
      <c r="A19" s="1" t="s">
        <v>31</v>
      </c>
      <c r="B19" s="27">
        <v>10</v>
      </c>
      <c r="C19" s="1" t="s">
        <v>79</v>
      </c>
      <c r="D19" s="28" t="s">
        <v>47</v>
      </c>
      <c r="E19" s="1"/>
      <c r="F19" s="1" t="s">
        <v>754</v>
      </c>
      <c r="G19" s="1"/>
    </row>
    <row r="20" spans="1:7" x14ac:dyDescent="0.3">
      <c r="A20" s="1" t="s">
        <v>275</v>
      </c>
      <c r="B20" s="27">
        <v>10</v>
      </c>
      <c r="C20" s="1" t="s">
        <v>20</v>
      </c>
      <c r="D20" s="28" t="s">
        <v>24</v>
      </c>
      <c r="E20" s="1"/>
      <c r="F20" s="1"/>
      <c r="G20" s="1"/>
    </row>
    <row r="21" spans="1:7" x14ac:dyDescent="0.3">
      <c r="A21" s="1" t="s">
        <v>276</v>
      </c>
      <c r="B21" s="27">
        <v>10</v>
      </c>
      <c r="C21" s="1" t="s">
        <v>20</v>
      </c>
      <c r="D21" s="28" t="s">
        <v>24</v>
      </c>
      <c r="E21" s="1"/>
      <c r="F21" s="1"/>
      <c r="G21" s="1"/>
    </row>
    <row r="22" spans="1:7" x14ac:dyDescent="0.3">
      <c r="A22" s="1" t="s">
        <v>280</v>
      </c>
      <c r="B22" s="27">
        <v>10</v>
      </c>
      <c r="C22" s="1" t="s">
        <v>511</v>
      </c>
      <c r="D22" s="28" t="s">
        <v>16</v>
      </c>
      <c r="E22" s="1" t="s">
        <v>1089</v>
      </c>
      <c r="F22" s="1" t="s">
        <v>758</v>
      </c>
      <c r="G22" s="1"/>
    </row>
    <row r="23" spans="1:7" x14ac:dyDescent="0.3">
      <c r="A23" s="1" t="s">
        <v>281</v>
      </c>
      <c r="B23" s="27">
        <v>10</v>
      </c>
      <c r="C23" s="1" t="s">
        <v>79</v>
      </c>
      <c r="D23" s="28" t="s">
        <v>16</v>
      </c>
      <c r="E23" s="1"/>
      <c r="F23" s="1" t="s">
        <v>754</v>
      </c>
      <c r="G23" s="1"/>
    </row>
    <row r="24" spans="1:7" x14ac:dyDescent="0.3">
      <c r="A24" s="1" t="s">
        <v>32</v>
      </c>
      <c r="B24" s="27">
        <v>10</v>
      </c>
      <c r="C24" s="1" t="s">
        <v>511</v>
      </c>
      <c r="D24" s="28" t="s">
        <v>35</v>
      </c>
      <c r="E24" s="1"/>
      <c r="F24" s="1"/>
      <c r="G24" s="1"/>
    </row>
    <row r="25" spans="1:7" x14ac:dyDescent="0.3">
      <c r="A25" s="1" t="s">
        <v>41</v>
      </c>
      <c r="B25" s="27">
        <v>11</v>
      </c>
      <c r="C25" s="1" t="s">
        <v>20</v>
      </c>
      <c r="D25" s="28" t="s">
        <v>16</v>
      </c>
      <c r="E25" s="1" t="s">
        <v>1080</v>
      </c>
      <c r="F25" s="1" t="s">
        <v>467</v>
      </c>
      <c r="G25" s="1"/>
    </row>
    <row r="26" spans="1:7" x14ac:dyDescent="0.3">
      <c r="A26" s="1" t="s">
        <v>295</v>
      </c>
      <c r="B26" s="27">
        <v>12</v>
      </c>
      <c r="C26" s="1" t="s">
        <v>511</v>
      </c>
      <c r="D26" s="28" t="s">
        <v>16</v>
      </c>
      <c r="E26" s="1"/>
      <c r="F26" s="1" t="s">
        <v>467</v>
      </c>
      <c r="G26" s="1"/>
    </row>
    <row r="27" spans="1:7" x14ac:dyDescent="0.3">
      <c r="A27" s="1" t="s">
        <v>278</v>
      </c>
      <c r="B27" s="27">
        <v>10</v>
      </c>
      <c r="C27" s="1" t="s">
        <v>20</v>
      </c>
      <c r="D27" s="28" t="s">
        <v>47</v>
      </c>
      <c r="E27" s="1" t="s">
        <v>734</v>
      </c>
      <c r="F27" s="1"/>
      <c r="G27" s="1"/>
    </row>
    <row r="28" spans="1:7" x14ac:dyDescent="0.3">
      <c r="A28" s="1" t="s">
        <v>283</v>
      </c>
      <c r="B28" s="27">
        <v>11</v>
      </c>
      <c r="C28" s="1" t="s">
        <v>79</v>
      </c>
      <c r="D28" s="28" t="s">
        <v>24</v>
      </c>
      <c r="E28" s="1"/>
      <c r="F28" s="1"/>
      <c r="G28" s="1"/>
    </row>
    <row r="29" spans="1:7" x14ac:dyDescent="0.3">
      <c r="A29" s="1" t="s">
        <v>39</v>
      </c>
      <c r="B29" s="27">
        <v>11</v>
      </c>
      <c r="C29" s="1" t="s">
        <v>20</v>
      </c>
      <c r="D29" s="28" t="s">
        <v>47</v>
      </c>
      <c r="E29" s="1" t="s">
        <v>767</v>
      </c>
      <c r="F29" s="1"/>
      <c r="G29" s="1"/>
    </row>
    <row r="30" spans="1:7" x14ac:dyDescent="0.3">
      <c r="A30" s="1" t="s">
        <v>300</v>
      </c>
      <c r="B30" s="27">
        <v>12</v>
      </c>
      <c r="C30" s="1" t="s">
        <v>511</v>
      </c>
      <c r="D30" s="28" t="s">
        <v>16</v>
      </c>
      <c r="E30" s="1" t="s">
        <v>1086</v>
      </c>
      <c r="F30" s="1" t="s">
        <v>467</v>
      </c>
      <c r="G30" s="1"/>
    </row>
    <row r="31" spans="1:7" x14ac:dyDescent="0.3">
      <c r="A31" s="1" t="s">
        <v>42</v>
      </c>
      <c r="B31" s="27">
        <v>11</v>
      </c>
      <c r="C31" s="1" t="s">
        <v>511</v>
      </c>
      <c r="D31" s="28" t="s">
        <v>47</v>
      </c>
      <c r="E31" s="29" t="s">
        <v>1094</v>
      </c>
      <c r="F31" s="1"/>
      <c r="G31" s="1"/>
    </row>
    <row r="32" spans="1:7" x14ac:dyDescent="0.3">
      <c r="A32" s="1" t="s">
        <v>288</v>
      </c>
      <c r="B32" s="27">
        <v>11</v>
      </c>
      <c r="C32" s="1" t="s">
        <v>20</v>
      </c>
      <c r="D32" s="28" t="s">
        <v>24</v>
      </c>
      <c r="E32" s="1"/>
      <c r="F32" s="1"/>
      <c r="G32" s="1" t="s">
        <v>468</v>
      </c>
    </row>
    <row r="33" spans="1:7" x14ac:dyDescent="0.3">
      <c r="A33" s="1" t="s">
        <v>290</v>
      </c>
      <c r="B33" s="27">
        <v>11</v>
      </c>
      <c r="C33" s="1" t="s">
        <v>511</v>
      </c>
      <c r="D33" s="28" t="s">
        <v>24</v>
      </c>
      <c r="E33" s="1"/>
      <c r="F33" s="1"/>
      <c r="G33" s="1"/>
    </row>
    <row r="34" spans="1:7" x14ac:dyDescent="0.3">
      <c r="A34" s="1" t="s">
        <v>291</v>
      </c>
      <c r="B34" s="27">
        <v>12</v>
      </c>
      <c r="C34" s="1" t="s">
        <v>79</v>
      </c>
      <c r="D34" s="28" t="s">
        <v>47</v>
      </c>
      <c r="E34" s="1" t="s">
        <v>701</v>
      </c>
      <c r="F34" s="1"/>
      <c r="G34" s="1"/>
    </row>
    <row r="35" spans="1:7" x14ac:dyDescent="0.3">
      <c r="A35" s="1" t="s">
        <v>45</v>
      </c>
      <c r="B35" s="27">
        <v>12</v>
      </c>
      <c r="C35" s="1" t="s">
        <v>79</v>
      </c>
      <c r="D35" s="28" t="s">
        <v>47</v>
      </c>
      <c r="E35" s="1" t="s">
        <v>1095</v>
      </c>
      <c r="F35" s="1"/>
      <c r="G35" s="1" t="s">
        <v>468</v>
      </c>
    </row>
    <row r="36" spans="1:7" x14ac:dyDescent="0.3">
      <c r="A36" s="1" t="s">
        <v>296</v>
      </c>
      <c r="B36" s="27">
        <v>12</v>
      </c>
      <c r="C36" s="1" t="s">
        <v>20</v>
      </c>
      <c r="D36" s="28" t="s">
        <v>47</v>
      </c>
      <c r="E36" s="1" t="s">
        <v>768</v>
      </c>
      <c r="F36" s="1"/>
      <c r="G36" s="1"/>
    </row>
    <row r="37" spans="1:7" x14ac:dyDescent="0.3">
      <c r="A37" s="1" t="s">
        <v>49</v>
      </c>
      <c r="B37" s="27">
        <v>12</v>
      </c>
      <c r="C37" s="1" t="s">
        <v>511</v>
      </c>
      <c r="D37" s="28" t="s">
        <v>35</v>
      </c>
      <c r="E37" s="1"/>
      <c r="F37" s="1"/>
      <c r="G37" s="1" t="s">
        <v>468</v>
      </c>
    </row>
    <row r="38" spans="1:7" x14ac:dyDescent="0.3">
      <c r="A38" s="1" t="s">
        <v>46</v>
      </c>
      <c r="B38" s="27">
        <v>12</v>
      </c>
      <c r="C38" s="1" t="s">
        <v>79</v>
      </c>
      <c r="D38" s="28" t="s">
        <v>47</v>
      </c>
      <c r="E38" s="1"/>
      <c r="F38" s="1" t="s">
        <v>467</v>
      </c>
      <c r="G38" s="1"/>
    </row>
    <row r="39" spans="1:7" x14ac:dyDescent="0.3">
      <c r="A39" s="1" t="s">
        <v>286</v>
      </c>
      <c r="B39" s="27">
        <v>11</v>
      </c>
      <c r="C39" s="1" t="s">
        <v>79</v>
      </c>
      <c r="D39" s="28" t="s">
        <v>116</v>
      </c>
      <c r="E39" s="1" t="s">
        <v>1096</v>
      </c>
      <c r="F39" s="1"/>
      <c r="G39" s="1"/>
    </row>
    <row r="40" spans="1:7" x14ac:dyDescent="0.3">
      <c r="A40" s="1" t="s">
        <v>302</v>
      </c>
      <c r="B40" s="27">
        <v>12</v>
      </c>
      <c r="C40" s="1" t="s">
        <v>20</v>
      </c>
      <c r="D40" s="28" t="s">
        <v>47</v>
      </c>
      <c r="E40" s="1" t="s">
        <v>1097</v>
      </c>
      <c r="F40" s="1" t="s">
        <v>467</v>
      </c>
      <c r="G40" s="1"/>
    </row>
    <row r="41" spans="1:7" x14ac:dyDescent="0.3">
      <c r="A41" s="1" t="s">
        <v>304</v>
      </c>
      <c r="B41" s="27">
        <v>12</v>
      </c>
      <c r="C41" s="1" t="s">
        <v>79</v>
      </c>
      <c r="D41" s="28" t="s">
        <v>16</v>
      </c>
      <c r="E41" s="1"/>
      <c r="F41" s="1" t="s">
        <v>1081</v>
      </c>
      <c r="G41" s="1"/>
    </row>
    <row r="42" spans="1:7" x14ac:dyDescent="0.3">
      <c r="A42" s="1" t="s">
        <v>297</v>
      </c>
      <c r="B42" s="27">
        <v>12</v>
      </c>
      <c r="C42" s="1" t="s">
        <v>79</v>
      </c>
      <c r="D42" s="28" t="s">
        <v>47</v>
      </c>
      <c r="E42" s="1" t="s">
        <v>712</v>
      </c>
      <c r="F42" s="1"/>
      <c r="G42" s="1" t="s">
        <v>468</v>
      </c>
    </row>
    <row r="43" spans="1:7" x14ac:dyDescent="0.3">
      <c r="A43" s="1" t="s">
        <v>305</v>
      </c>
      <c r="B43" s="27">
        <v>13</v>
      </c>
      <c r="C43" s="1" t="s">
        <v>20</v>
      </c>
      <c r="D43" s="28" t="s">
        <v>16</v>
      </c>
      <c r="E43" s="1" t="s">
        <v>1098</v>
      </c>
      <c r="F43" s="1" t="s">
        <v>754</v>
      </c>
      <c r="G43" s="1" t="s">
        <v>468</v>
      </c>
    </row>
    <row r="44" spans="1:7" x14ac:dyDescent="0.3">
      <c r="A44" s="1" t="s">
        <v>57</v>
      </c>
      <c r="B44" s="27">
        <v>13</v>
      </c>
      <c r="C44" s="1" t="s">
        <v>20</v>
      </c>
      <c r="D44" s="28" t="s">
        <v>116</v>
      </c>
      <c r="E44" s="1" t="s">
        <v>1099</v>
      </c>
      <c r="F44" s="1"/>
      <c r="G44" s="1" t="s">
        <v>468</v>
      </c>
    </row>
    <row r="45" spans="1:7" x14ac:dyDescent="0.3">
      <c r="A45" s="1" t="s">
        <v>294</v>
      </c>
      <c r="B45" s="27">
        <v>12</v>
      </c>
      <c r="C45" s="1" t="s">
        <v>20</v>
      </c>
      <c r="D45" s="28" t="s">
        <v>47</v>
      </c>
      <c r="E45" s="1" t="s">
        <v>1100</v>
      </c>
      <c r="F45" s="1" t="s">
        <v>758</v>
      </c>
      <c r="G45" s="1"/>
    </row>
    <row r="46" spans="1:7" x14ac:dyDescent="0.3">
      <c r="A46" s="1" t="s">
        <v>299</v>
      </c>
      <c r="B46" s="27">
        <v>12</v>
      </c>
      <c r="C46" s="1" t="s">
        <v>20</v>
      </c>
      <c r="D46" s="28" t="s">
        <v>24</v>
      </c>
      <c r="E46" s="1"/>
      <c r="F46" s="1"/>
      <c r="G46" s="1"/>
    </row>
    <row r="47" spans="1:7" x14ac:dyDescent="0.3">
      <c r="A47" s="1" t="s">
        <v>303</v>
      </c>
      <c r="B47" s="27">
        <v>12</v>
      </c>
      <c r="C47" s="1" t="s">
        <v>511</v>
      </c>
      <c r="D47" s="28" t="s">
        <v>24</v>
      </c>
      <c r="E47" s="1"/>
      <c r="F47" s="1"/>
      <c r="G47" s="1"/>
    </row>
    <row r="48" spans="1:7" x14ac:dyDescent="0.3">
      <c r="A48" s="1" t="s">
        <v>306</v>
      </c>
      <c r="B48" s="27">
        <v>13</v>
      </c>
      <c r="C48" s="1" t="s">
        <v>511</v>
      </c>
      <c r="D48" s="28" t="s">
        <v>24</v>
      </c>
      <c r="E48" s="1"/>
      <c r="F48" s="1"/>
      <c r="G48" s="1"/>
    </row>
    <row r="49" spans="1:7" x14ac:dyDescent="0.3">
      <c r="A49" s="1" t="s">
        <v>307</v>
      </c>
      <c r="B49" s="27">
        <v>13</v>
      </c>
      <c r="C49" s="1" t="s">
        <v>20</v>
      </c>
      <c r="D49" s="28" t="s">
        <v>47</v>
      </c>
      <c r="E49" s="1" t="s">
        <v>1101</v>
      </c>
      <c r="F49" s="1" t="s">
        <v>754</v>
      </c>
      <c r="G49" s="1"/>
    </row>
    <row r="50" spans="1:7" x14ac:dyDescent="0.3">
      <c r="A50" s="1" t="s">
        <v>311</v>
      </c>
      <c r="B50" s="27">
        <v>13</v>
      </c>
      <c r="C50" s="1" t="s">
        <v>20</v>
      </c>
      <c r="D50" s="28" t="s">
        <v>47</v>
      </c>
      <c r="E50" s="1" t="s">
        <v>763</v>
      </c>
      <c r="F50" s="1"/>
      <c r="G50" s="1"/>
    </row>
    <row r="51" spans="1:7" x14ac:dyDescent="0.3">
      <c r="A51" s="1" t="s">
        <v>76</v>
      </c>
      <c r="B51" s="27">
        <v>13</v>
      </c>
      <c r="C51" s="1" t="s">
        <v>79</v>
      </c>
      <c r="D51" s="28" t="s">
        <v>16</v>
      </c>
      <c r="E51" s="1"/>
      <c r="F51" s="1" t="s">
        <v>1081</v>
      </c>
      <c r="G51" s="1"/>
    </row>
    <row r="52" spans="1:7" x14ac:dyDescent="0.3">
      <c r="A52" s="1" t="s">
        <v>313</v>
      </c>
      <c r="B52" s="27">
        <v>13</v>
      </c>
      <c r="C52" s="1" t="s">
        <v>511</v>
      </c>
      <c r="D52" s="28" t="s">
        <v>24</v>
      </c>
      <c r="E52" s="1"/>
      <c r="F52" s="1"/>
      <c r="G52" s="1"/>
    </row>
    <row r="53" spans="1:7" x14ac:dyDescent="0.3">
      <c r="A53" s="1" t="s">
        <v>308</v>
      </c>
      <c r="B53" s="27">
        <v>13</v>
      </c>
      <c r="C53" s="1" t="s">
        <v>511</v>
      </c>
      <c r="D53" s="28" t="s">
        <v>16</v>
      </c>
      <c r="E53" s="29" t="s">
        <v>1082</v>
      </c>
      <c r="F53" s="1" t="s">
        <v>1081</v>
      </c>
      <c r="G53" s="1"/>
    </row>
    <row r="54" spans="1:7" x14ac:dyDescent="0.3">
      <c r="A54" s="1" t="s">
        <v>310</v>
      </c>
      <c r="B54" s="27">
        <v>13</v>
      </c>
      <c r="C54" s="1" t="s">
        <v>79</v>
      </c>
      <c r="D54" s="28" t="s">
        <v>16</v>
      </c>
      <c r="E54" s="1"/>
      <c r="F54" s="1" t="s">
        <v>758</v>
      </c>
      <c r="G54" s="1"/>
    </row>
    <row r="55" spans="1:7" x14ac:dyDescent="0.3">
      <c r="A55" s="1" t="s">
        <v>314</v>
      </c>
      <c r="B55" s="27">
        <v>13</v>
      </c>
      <c r="C55" s="1" t="s">
        <v>79</v>
      </c>
      <c r="D55" s="28" t="s">
        <v>16</v>
      </c>
      <c r="E55" s="1"/>
      <c r="F55" s="1" t="s">
        <v>754</v>
      </c>
      <c r="G55" s="1"/>
    </row>
    <row r="56" spans="1:7" x14ac:dyDescent="0.3">
      <c r="A56" s="1" t="s">
        <v>315</v>
      </c>
      <c r="B56" s="27">
        <v>13</v>
      </c>
      <c r="C56" s="1" t="s">
        <v>20</v>
      </c>
      <c r="D56" s="28" t="s">
        <v>16</v>
      </c>
      <c r="E56" s="1" t="s">
        <v>1102</v>
      </c>
      <c r="F56" s="1" t="s">
        <v>1081</v>
      </c>
      <c r="G56" s="1"/>
    </row>
    <row r="57" spans="1:7" x14ac:dyDescent="0.3">
      <c r="A57" s="1" t="s">
        <v>316</v>
      </c>
      <c r="B57" s="27">
        <v>13</v>
      </c>
      <c r="C57" s="1" t="s">
        <v>511</v>
      </c>
      <c r="D57" s="28" t="s">
        <v>24</v>
      </c>
      <c r="E57" s="1"/>
      <c r="F57" s="1"/>
      <c r="G57" s="1"/>
    </row>
    <row r="58" spans="1:7" x14ac:dyDescent="0.3">
      <c r="A58" s="1" t="s">
        <v>319</v>
      </c>
      <c r="B58" s="27">
        <v>13</v>
      </c>
      <c r="C58" s="1" t="s">
        <v>511</v>
      </c>
      <c r="D58" s="28" t="s">
        <v>16</v>
      </c>
      <c r="E58" s="1" t="s">
        <v>1103</v>
      </c>
      <c r="F58" s="1" t="s">
        <v>1081</v>
      </c>
      <c r="G58" s="1"/>
    </row>
    <row r="59" spans="1:7" x14ac:dyDescent="0.3">
      <c r="A59" s="1" t="s">
        <v>318</v>
      </c>
      <c r="B59" s="27">
        <v>13</v>
      </c>
      <c r="C59" s="1" t="s">
        <v>511</v>
      </c>
      <c r="D59" s="28" t="s">
        <v>47</v>
      </c>
      <c r="E59" s="1" t="s">
        <v>1104</v>
      </c>
      <c r="F59" s="1"/>
      <c r="G59" s="1"/>
    </row>
    <row r="60" spans="1:7" x14ac:dyDescent="0.3">
      <c r="A60" s="1" t="s">
        <v>317</v>
      </c>
      <c r="B60" s="27">
        <v>13</v>
      </c>
      <c r="C60" s="1" t="s">
        <v>79</v>
      </c>
      <c r="E60" s="1" t="s">
        <v>1105</v>
      </c>
      <c r="F60" s="1" t="s">
        <v>758</v>
      </c>
      <c r="G60" s="1"/>
    </row>
    <row r="61" spans="1:7" x14ac:dyDescent="0.3">
      <c r="A61" s="1" t="s">
        <v>58</v>
      </c>
      <c r="B61" s="27">
        <v>13</v>
      </c>
      <c r="C61" s="1" t="s">
        <v>20</v>
      </c>
      <c r="D61" s="28" t="s">
        <v>16</v>
      </c>
      <c r="E61" s="29" t="s">
        <v>1087</v>
      </c>
      <c r="F61" s="1" t="s">
        <v>1081</v>
      </c>
      <c r="G61" s="1"/>
    </row>
    <row r="62" spans="1:7" x14ac:dyDescent="0.3">
      <c r="A62" s="1" t="s">
        <v>320</v>
      </c>
      <c r="B62" s="27">
        <v>13</v>
      </c>
      <c r="C62" s="1" t="s">
        <v>20</v>
      </c>
      <c r="D62" s="28" t="s">
        <v>47</v>
      </c>
      <c r="E62" s="1" t="s">
        <v>1106</v>
      </c>
      <c r="F62" s="1"/>
      <c r="G62" s="1"/>
    </row>
    <row r="63" spans="1:7" x14ac:dyDescent="0.3">
      <c r="A63" s="33" t="s">
        <v>62</v>
      </c>
      <c r="B63" s="34">
        <v>13</v>
      </c>
      <c r="C63" s="33" t="s">
        <v>511</v>
      </c>
      <c r="D63" s="35" t="s">
        <v>16</v>
      </c>
      <c r="E63" s="33" t="s">
        <v>1088</v>
      </c>
      <c r="F63" s="33" t="s">
        <v>467</v>
      </c>
      <c r="G63" s="33"/>
    </row>
    <row r="64" spans="1:7" x14ac:dyDescent="0.3">
      <c r="A64" s="9" t="s">
        <v>321</v>
      </c>
      <c r="B64" s="24">
        <v>13</v>
      </c>
      <c r="C64" s="9" t="s">
        <v>511</v>
      </c>
      <c r="D64" s="15" t="s">
        <v>24</v>
      </c>
      <c r="E64" s="9"/>
      <c r="F64" s="9"/>
      <c r="G64" s="9"/>
    </row>
    <row r="65" spans="1:7" x14ac:dyDescent="0.3">
      <c r="A65" s="9" t="s">
        <v>56</v>
      </c>
      <c r="B65" s="24">
        <v>13</v>
      </c>
      <c r="C65" s="9" t="s">
        <v>79</v>
      </c>
      <c r="D65" s="15" t="s">
        <v>47</v>
      </c>
      <c r="E65" s="9"/>
      <c r="F65" s="9"/>
      <c r="G65" s="9"/>
    </row>
    <row r="66" spans="1:7" x14ac:dyDescent="0.3">
      <c r="A66" s="9" t="s">
        <v>63</v>
      </c>
      <c r="B66" s="24">
        <v>13</v>
      </c>
      <c r="C66" s="9" t="s">
        <v>79</v>
      </c>
      <c r="D66" s="15" t="s">
        <v>16</v>
      </c>
      <c r="E66" s="9"/>
      <c r="F66" s="9" t="s">
        <v>754</v>
      </c>
      <c r="G66" s="9" t="s">
        <v>468</v>
      </c>
    </row>
    <row r="67" spans="1:7" x14ac:dyDescent="0.3">
      <c r="A67" s="9" t="s">
        <v>1083</v>
      </c>
      <c r="B67" s="39" t="s">
        <v>1084</v>
      </c>
      <c r="C67" s="9" t="s">
        <v>511</v>
      </c>
      <c r="D67" s="15" t="s">
        <v>16</v>
      </c>
      <c r="E67" s="9"/>
      <c r="F67" s="9" t="s">
        <v>758</v>
      </c>
      <c r="G67" s="9"/>
    </row>
    <row r="68" spans="1:7" x14ac:dyDescent="0.3">
      <c r="A68" s="9"/>
      <c r="B68" s="24"/>
      <c r="C68" s="9"/>
      <c r="D68" s="15"/>
      <c r="E68" s="9"/>
      <c r="F68" s="9"/>
      <c r="G68" s="9"/>
    </row>
    <row r="69" spans="1:7" ht="21" x14ac:dyDescent="0.4">
      <c r="A69" s="375" t="s">
        <v>211</v>
      </c>
      <c r="B69" s="375"/>
      <c r="C69" s="375"/>
      <c r="D69" s="375">
        <f>+COUNTIF(D3:D67,"ok")</f>
        <v>21</v>
      </c>
      <c r="E69" s="375"/>
      <c r="F69" s="23"/>
    </row>
    <row r="72" spans="1:7" x14ac:dyDescent="0.3">
      <c r="D72" s="16" t="s">
        <v>7</v>
      </c>
      <c r="E72">
        <v>4</v>
      </c>
    </row>
    <row r="73" spans="1:7" x14ac:dyDescent="0.3">
      <c r="D73" s="16" t="s">
        <v>1090</v>
      </c>
      <c r="E73">
        <v>4</v>
      </c>
    </row>
    <row r="74" spans="1:7" x14ac:dyDescent="0.3">
      <c r="E74">
        <f>+D69+E73+E72</f>
        <v>29</v>
      </c>
    </row>
  </sheetData>
  <autoFilter ref="A2:G67" xr:uid="{84B6E324-7CA9-4F79-B7C9-3134EFE67080}">
    <sortState xmlns:xlrd2="http://schemas.microsoft.com/office/spreadsheetml/2017/richdata2" ref="A4:G67">
      <sortCondition ref="B2:B67"/>
    </sortState>
  </autoFilter>
  <mergeCells count="3">
    <mergeCell ref="B1:E1"/>
    <mergeCell ref="A69:C69"/>
    <mergeCell ref="D69:E69"/>
  </mergeCell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23D5F-C1F9-4275-A74B-347148B7943F}">
  <dimension ref="B1:E16"/>
  <sheetViews>
    <sheetView workbookViewId="0">
      <selection activeCell="D1" sqref="D1:E16"/>
    </sheetView>
  </sheetViews>
  <sheetFormatPr baseColWidth="10" defaultColWidth="11.44140625" defaultRowHeight="14.4" x14ac:dyDescent="0.3"/>
  <cols>
    <col min="2" max="2" width="64.33203125" bestFit="1" customWidth="1"/>
    <col min="4" max="4" width="32.6640625" bestFit="1" customWidth="1"/>
    <col min="5" max="5" width="8" bestFit="1" customWidth="1"/>
  </cols>
  <sheetData>
    <row r="1" spans="2:5" x14ac:dyDescent="0.3">
      <c r="B1" s="55" t="s">
        <v>1107</v>
      </c>
      <c r="D1" s="59" t="s">
        <v>2</v>
      </c>
      <c r="E1" s="60" t="s">
        <v>7</v>
      </c>
    </row>
    <row r="2" spans="2:5" x14ac:dyDescent="0.3">
      <c r="B2" t="s">
        <v>1108</v>
      </c>
      <c r="D2" s="56" t="s">
        <v>760</v>
      </c>
      <c r="E2" s="58" t="s">
        <v>758</v>
      </c>
    </row>
    <row r="3" spans="2:5" x14ac:dyDescent="0.3">
      <c r="B3" t="s">
        <v>1109</v>
      </c>
      <c r="D3" s="56" t="s">
        <v>752</v>
      </c>
      <c r="E3" s="58" t="s">
        <v>751</v>
      </c>
    </row>
    <row r="4" spans="2:5" x14ac:dyDescent="0.3">
      <c r="B4" t="s">
        <v>1110</v>
      </c>
      <c r="D4" s="56" t="s">
        <v>743</v>
      </c>
      <c r="E4" s="58" t="s">
        <v>754</v>
      </c>
    </row>
    <row r="5" spans="2:5" x14ac:dyDescent="0.3">
      <c r="B5" t="s">
        <v>1111</v>
      </c>
      <c r="D5" s="56" t="s">
        <v>32</v>
      </c>
      <c r="E5" s="58" t="s">
        <v>467</v>
      </c>
    </row>
    <row r="6" spans="2:5" x14ac:dyDescent="0.3">
      <c r="B6" t="s">
        <v>1112</v>
      </c>
      <c r="D6" s="56" t="s">
        <v>381</v>
      </c>
      <c r="E6" s="58" t="s">
        <v>754</v>
      </c>
    </row>
    <row r="7" spans="2:5" x14ac:dyDescent="0.3">
      <c r="B7" t="s">
        <v>1113</v>
      </c>
      <c r="D7" s="56" t="s">
        <v>756</v>
      </c>
      <c r="E7" s="58" t="s">
        <v>467</v>
      </c>
    </row>
    <row r="8" spans="2:5" x14ac:dyDescent="0.3">
      <c r="B8" t="s">
        <v>1114</v>
      </c>
      <c r="D8" s="56" t="s">
        <v>759</v>
      </c>
      <c r="E8" s="58" t="s">
        <v>758</v>
      </c>
    </row>
    <row r="9" spans="2:5" x14ac:dyDescent="0.3">
      <c r="B9" t="s">
        <v>1115</v>
      </c>
      <c r="D9" s="56" t="s">
        <v>318</v>
      </c>
      <c r="E9" s="58" t="s">
        <v>754</v>
      </c>
    </row>
    <row r="10" spans="2:5" x14ac:dyDescent="0.3">
      <c r="B10" t="s">
        <v>1116</v>
      </c>
      <c r="D10" s="56" t="s">
        <v>328</v>
      </c>
      <c r="E10" s="58" t="s">
        <v>758</v>
      </c>
    </row>
    <row r="11" spans="2:5" x14ac:dyDescent="0.3">
      <c r="D11" s="56" t="s">
        <v>62</v>
      </c>
      <c r="E11" s="58" t="s">
        <v>751</v>
      </c>
    </row>
    <row r="12" spans="2:5" x14ac:dyDescent="0.3">
      <c r="D12" s="56" t="s">
        <v>757</v>
      </c>
      <c r="E12" s="58" t="s">
        <v>758</v>
      </c>
    </row>
    <row r="13" spans="2:5" x14ac:dyDescent="0.3">
      <c r="D13" s="56" t="s">
        <v>331</v>
      </c>
      <c r="E13" s="58" t="s">
        <v>467</v>
      </c>
    </row>
    <row r="14" spans="2:5" x14ac:dyDescent="0.3">
      <c r="D14" s="56" t="s">
        <v>750</v>
      </c>
      <c r="E14" s="58" t="s">
        <v>467</v>
      </c>
    </row>
    <row r="15" spans="2:5" x14ac:dyDescent="0.3">
      <c r="D15" s="57" t="s">
        <v>718</v>
      </c>
      <c r="E15" s="58" t="s">
        <v>751</v>
      </c>
    </row>
    <row r="16" spans="2:5" x14ac:dyDescent="0.3">
      <c r="D16" s="61" t="s">
        <v>755</v>
      </c>
      <c r="E16" s="62" t="s">
        <v>754</v>
      </c>
    </row>
  </sheetData>
  <sortState xmlns:xlrd2="http://schemas.microsoft.com/office/spreadsheetml/2017/richdata2" ref="D2:E16">
    <sortCondition ref="D1:D16"/>
  </sortState>
  <pageMargins left="0.7" right="0.7" top="0.75" bottom="0.75" header="0.3" footer="0.3"/>
  <pageSetup orientation="portrait"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1C3D8-653A-4B96-A6BC-3DE169086546}">
  <sheetPr filterMode="1">
    <tabColor theme="3" tint="0.499984740745262"/>
  </sheetPr>
  <dimension ref="A1:E34"/>
  <sheetViews>
    <sheetView workbookViewId="0">
      <selection activeCell="B11" sqref="B11:C33"/>
    </sheetView>
  </sheetViews>
  <sheetFormatPr baseColWidth="10" defaultColWidth="8.88671875" defaultRowHeight="14.4" x14ac:dyDescent="0.3"/>
  <cols>
    <col min="1" max="1" width="17.6640625" style="26" bestFit="1" customWidth="1"/>
    <col min="2" max="2" width="40.6640625" bestFit="1" customWidth="1"/>
    <col min="3" max="3" width="12" style="26" bestFit="1" customWidth="1"/>
    <col min="4" max="4" width="12.109375" style="26" bestFit="1" customWidth="1"/>
    <col min="5" max="5" width="17.6640625" bestFit="1" customWidth="1"/>
  </cols>
  <sheetData>
    <row r="1" spans="1:5" x14ac:dyDescent="0.3">
      <c r="A1" s="38" t="s">
        <v>4</v>
      </c>
      <c r="B1" s="36" t="s">
        <v>1117</v>
      </c>
      <c r="C1" s="38" t="s">
        <v>740</v>
      </c>
      <c r="D1" s="38" t="s">
        <v>504</v>
      </c>
      <c r="E1" s="36" t="s">
        <v>1118</v>
      </c>
    </row>
    <row r="2" spans="1:5" hidden="1" x14ac:dyDescent="0.3">
      <c r="A2" s="6" t="s">
        <v>1119</v>
      </c>
      <c r="B2" s="1" t="s">
        <v>1120</v>
      </c>
      <c r="C2" s="6">
        <v>16</v>
      </c>
      <c r="D2" s="6" t="s">
        <v>28</v>
      </c>
      <c r="E2" s="1"/>
    </row>
    <row r="3" spans="1:5" hidden="1" x14ac:dyDescent="0.3">
      <c r="A3" s="6" t="s">
        <v>1119</v>
      </c>
      <c r="B3" s="1" t="s">
        <v>1121</v>
      </c>
      <c r="C3" s="6">
        <v>16</v>
      </c>
      <c r="D3" s="6" t="s">
        <v>28</v>
      </c>
      <c r="E3" s="1"/>
    </row>
    <row r="4" spans="1:5" x14ac:dyDescent="0.3">
      <c r="A4" s="6" t="s">
        <v>1119</v>
      </c>
      <c r="B4" s="1" t="s">
        <v>70</v>
      </c>
      <c r="C4" s="6">
        <v>14</v>
      </c>
      <c r="D4" s="6" t="s">
        <v>16</v>
      </c>
      <c r="E4" s="1"/>
    </row>
    <row r="5" spans="1:5" hidden="1" x14ac:dyDescent="0.3">
      <c r="A5" s="6" t="s">
        <v>1119</v>
      </c>
      <c r="B5" s="1" t="s">
        <v>1122</v>
      </c>
      <c r="C5" s="6">
        <v>16</v>
      </c>
      <c r="D5" s="6" t="s">
        <v>28</v>
      </c>
      <c r="E5" s="1"/>
    </row>
    <row r="6" spans="1:5" hidden="1" x14ac:dyDescent="0.3">
      <c r="A6" s="6" t="s">
        <v>1119</v>
      </c>
      <c r="B6" s="1" t="s">
        <v>1123</v>
      </c>
      <c r="C6" s="6">
        <v>16</v>
      </c>
      <c r="D6" s="6" t="s">
        <v>28</v>
      </c>
      <c r="E6" s="1"/>
    </row>
    <row r="7" spans="1:5" x14ac:dyDescent="0.3">
      <c r="A7" s="6" t="s">
        <v>1119</v>
      </c>
      <c r="B7" s="1" t="s">
        <v>330</v>
      </c>
      <c r="C7" s="6">
        <v>14</v>
      </c>
      <c r="D7" s="6" t="s">
        <v>16</v>
      </c>
      <c r="E7" s="1"/>
    </row>
    <row r="8" spans="1:5" x14ac:dyDescent="0.3">
      <c r="A8" s="6" t="s">
        <v>1119</v>
      </c>
      <c r="B8" s="1" t="s">
        <v>85</v>
      </c>
      <c r="C8" s="6">
        <v>14</v>
      </c>
      <c r="D8" s="6" t="s">
        <v>16</v>
      </c>
      <c r="E8" s="1"/>
    </row>
    <row r="9" spans="1:5" x14ac:dyDescent="0.3">
      <c r="A9" s="6" t="s">
        <v>1119</v>
      </c>
      <c r="B9" s="1" t="s">
        <v>326</v>
      </c>
      <c r="C9" s="6">
        <v>14</v>
      </c>
      <c r="D9" s="6" t="s">
        <v>16</v>
      </c>
      <c r="E9" s="1"/>
    </row>
    <row r="10" spans="1:5" hidden="1" x14ac:dyDescent="0.3">
      <c r="A10" s="6" t="s">
        <v>1119</v>
      </c>
      <c r="B10" s="1" t="s">
        <v>1124</v>
      </c>
      <c r="C10" s="6">
        <v>16</v>
      </c>
      <c r="D10" s="6" t="s">
        <v>24</v>
      </c>
      <c r="E10" s="1"/>
    </row>
    <row r="11" spans="1:5" x14ac:dyDescent="0.3">
      <c r="A11" s="6" t="s">
        <v>1119</v>
      </c>
      <c r="B11" s="1" t="s">
        <v>333</v>
      </c>
      <c r="C11" s="6">
        <v>15</v>
      </c>
      <c r="D11" s="6" t="s">
        <v>16</v>
      </c>
      <c r="E11" s="1"/>
    </row>
    <row r="12" spans="1:5" hidden="1" x14ac:dyDescent="0.3">
      <c r="A12" s="6" t="s">
        <v>1119</v>
      </c>
      <c r="B12" s="1" t="s">
        <v>358</v>
      </c>
      <c r="C12" s="6">
        <v>16</v>
      </c>
      <c r="D12" s="6" t="s">
        <v>28</v>
      </c>
      <c r="E12" s="1"/>
    </row>
    <row r="13" spans="1:5" hidden="1" x14ac:dyDescent="0.3">
      <c r="A13" s="6" t="s">
        <v>1119</v>
      </c>
      <c r="B13" s="1" t="s">
        <v>332</v>
      </c>
      <c r="C13" s="6">
        <v>15</v>
      </c>
      <c r="D13" s="6" t="s">
        <v>35</v>
      </c>
      <c r="E13" s="1"/>
    </row>
    <row r="14" spans="1:5" x14ac:dyDescent="0.3">
      <c r="A14" s="6" t="s">
        <v>1119</v>
      </c>
      <c r="B14" s="1" t="s">
        <v>334</v>
      </c>
      <c r="C14" s="6">
        <v>15</v>
      </c>
      <c r="D14" s="6" t="s">
        <v>16</v>
      </c>
      <c r="E14" s="1"/>
    </row>
    <row r="15" spans="1:5" x14ac:dyDescent="0.3">
      <c r="A15" s="6" t="s">
        <v>1119</v>
      </c>
      <c r="B15" s="1" t="s">
        <v>336</v>
      </c>
      <c r="C15" s="6">
        <v>15</v>
      </c>
      <c r="D15" s="6" t="s">
        <v>16</v>
      </c>
      <c r="E15" s="1"/>
    </row>
    <row r="16" spans="1:5" x14ac:dyDescent="0.3">
      <c r="A16" s="6" t="s">
        <v>1119</v>
      </c>
      <c r="B16" s="1" t="s">
        <v>96</v>
      </c>
      <c r="C16" s="6">
        <v>15</v>
      </c>
      <c r="D16" s="6" t="s">
        <v>16</v>
      </c>
      <c r="E16" s="1"/>
    </row>
    <row r="17" spans="1:5" x14ac:dyDescent="0.3">
      <c r="A17" s="6" t="s">
        <v>1119</v>
      </c>
      <c r="B17" s="1" t="s">
        <v>744</v>
      </c>
      <c r="C17" s="6">
        <v>15</v>
      </c>
      <c r="D17" s="6" t="s">
        <v>16</v>
      </c>
      <c r="E17" s="1"/>
    </row>
    <row r="18" spans="1:5" x14ac:dyDescent="0.3">
      <c r="A18" s="6" t="s">
        <v>1119</v>
      </c>
      <c r="B18" s="1" t="s">
        <v>340</v>
      </c>
      <c r="C18" s="6">
        <v>15</v>
      </c>
      <c r="D18" s="6" t="s">
        <v>16</v>
      </c>
      <c r="E18" s="1"/>
    </row>
    <row r="19" spans="1:5" hidden="1" x14ac:dyDescent="0.3">
      <c r="A19" s="6" t="s">
        <v>1119</v>
      </c>
      <c r="B19" s="1" t="s">
        <v>1125</v>
      </c>
      <c r="C19" s="6">
        <v>15</v>
      </c>
      <c r="D19" s="6" t="s">
        <v>28</v>
      </c>
      <c r="E19" s="1"/>
    </row>
    <row r="20" spans="1:5" x14ac:dyDescent="0.3">
      <c r="A20" s="6" t="s">
        <v>1119</v>
      </c>
      <c r="B20" s="1" t="s">
        <v>1</v>
      </c>
      <c r="C20" s="6">
        <v>16</v>
      </c>
      <c r="D20" s="6" t="s">
        <v>16</v>
      </c>
      <c r="E20" s="1"/>
    </row>
    <row r="21" spans="1:5" hidden="1" x14ac:dyDescent="0.3">
      <c r="A21" s="6" t="s">
        <v>1119</v>
      </c>
      <c r="B21" s="1" t="s">
        <v>82</v>
      </c>
      <c r="C21" s="6">
        <v>15</v>
      </c>
      <c r="D21" s="6" t="s">
        <v>35</v>
      </c>
      <c r="E21" s="1"/>
    </row>
    <row r="22" spans="1:5" hidden="1" x14ac:dyDescent="0.3">
      <c r="A22" s="6" t="s">
        <v>1119</v>
      </c>
      <c r="B22" s="1" t="s">
        <v>348</v>
      </c>
      <c r="C22" s="6">
        <v>15</v>
      </c>
      <c r="D22" s="6" t="s">
        <v>28</v>
      </c>
      <c r="E22" s="1"/>
    </row>
    <row r="23" spans="1:5" hidden="1" x14ac:dyDescent="0.3">
      <c r="A23" s="6" t="s">
        <v>1119</v>
      </c>
      <c r="B23" s="1" t="s">
        <v>537</v>
      </c>
      <c r="C23" s="6">
        <v>14</v>
      </c>
      <c r="D23" s="6" t="s">
        <v>28</v>
      </c>
      <c r="E23" s="1"/>
    </row>
    <row r="24" spans="1:5" hidden="1" x14ac:dyDescent="0.3">
      <c r="A24" s="6" t="s">
        <v>1119</v>
      </c>
      <c r="B24" s="1" t="s">
        <v>71</v>
      </c>
      <c r="C24" s="6">
        <v>14</v>
      </c>
      <c r="D24" s="6" t="s">
        <v>28</v>
      </c>
      <c r="E24" s="1"/>
    </row>
    <row r="25" spans="1:5" x14ac:dyDescent="0.3">
      <c r="A25" s="6" t="s">
        <v>1119</v>
      </c>
      <c r="B25" s="1" t="s">
        <v>105</v>
      </c>
      <c r="C25" s="6">
        <v>16</v>
      </c>
      <c r="D25" s="6" t="s">
        <v>16</v>
      </c>
      <c r="E25" s="1"/>
    </row>
    <row r="26" spans="1:5" hidden="1" x14ac:dyDescent="0.3">
      <c r="A26" s="6" t="s">
        <v>1119</v>
      </c>
      <c r="B26" s="1" t="s">
        <v>534</v>
      </c>
      <c r="C26" s="6">
        <v>14</v>
      </c>
      <c r="D26" s="6" t="s">
        <v>28</v>
      </c>
      <c r="E26" s="1"/>
    </row>
    <row r="27" spans="1:5" hidden="1" x14ac:dyDescent="0.3">
      <c r="A27" s="6" t="s">
        <v>1119</v>
      </c>
      <c r="B27" s="1" t="s">
        <v>331</v>
      </c>
      <c r="C27" s="6">
        <v>14</v>
      </c>
      <c r="D27" s="6" t="s">
        <v>28</v>
      </c>
      <c r="E27" s="1"/>
    </row>
    <row r="28" spans="1:5" hidden="1" x14ac:dyDescent="0.3">
      <c r="A28" s="6" t="s">
        <v>1119</v>
      </c>
      <c r="B28" s="1" t="s">
        <v>155</v>
      </c>
      <c r="C28" s="6">
        <v>14</v>
      </c>
      <c r="D28" s="6" t="s">
        <v>35</v>
      </c>
      <c r="E28" s="1"/>
    </row>
    <row r="29" spans="1:5" hidden="1" x14ac:dyDescent="0.3">
      <c r="A29" s="6" t="s">
        <v>1119</v>
      </c>
      <c r="B29" s="1" t="s">
        <v>743</v>
      </c>
      <c r="C29" s="6">
        <v>14</v>
      </c>
      <c r="D29" s="6" t="s">
        <v>35</v>
      </c>
      <c r="E29" s="1"/>
    </row>
    <row r="30" spans="1:5" x14ac:dyDescent="0.3">
      <c r="A30" s="6" t="s">
        <v>1119</v>
      </c>
      <c r="B30" s="1" t="s">
        <v>746</v>
      </c>
      <c r="C30" s="6">
        <v>16</v>
      </c>
      <c r="D30" s="6" t="s">
        <v>16</v>
      </c>
      <c r="E30" s="1"/>
    </row>
    <row r="31" spans="1:5" hidden="1" x14ac:dyDescent="0.3">
      <c r="A31" s="6" t="s">
        <v>1119</v>
      </c>
      <c r="B31" s="1" t="s">
        <v>531</v>
      </c>
      <c r="C31" s="6">
        <v>14</v>
      </c>
      <c r="D31" s="6" t="s">
        <v>28</v>
      </c>
      <c r="E31" s="1"/>
    </row>
    <row r="32" spans="1:5" x14ac:dyDescent="0.3">
      <c r="A32" s="6" t="s">
        <v>1119</v>
      </c>
      <c r="B32" s="1" t="s">
        <v>363</v>
      </c>
      <c r="C32" s="6">
        <v>16</v>
      </c>
      <c r="D32" s="6" t="s">
        <v>16</v>
      </c>
      <c r="E32" s="1"/>
    </row>
    <row r="33" spans="1:5" x14ac:dyDescent="0.3">
      <c r="A33" s="6" t="s">
        <v>1119</v>
      </c>
      <c r="B33" s="1" t="s">
        <v>745</v>
      </c>
      <c r="C33" s="6">
        <v>16</v>
      </c>
      <c r="D33" s="6" t="s">
        <v>16</v>
      </c>
      <c r="E33" s="1"/>
    </row>
    <row r="34" spans="1:5" x14ac:dyDescent="0.3">
      <c r="D34" s="19">
        <f>+COUNTIF(D2:D33,"OK")</f>
        <v>15</v>
      </c>
    </row>
  </sheetData>
  <autoFilter ref="A1:E34" xr:uid="{52A1C3D8-653A-4B96-A6BC-3DE169086546}">
    <filterColumn colId="3">
      <filters>
        <filter val="15"/>
        <filter val="OK"/>
      </filters>
    </filterColumn>
    <sortState xmlns:xlrd2="http://schemas.microsoft.com/office/spreadsheetml/2017/richdata2" ref="A4:E34">
      <sortCondition ref="C1:C34"/>
    </sortState>
  </autoFilter>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C47DB-B7E0-41BE-992F-4DE9203A4258}">
  <dimension ref="A1:F13"/>
  <sheetViews>
    <sheetView workbookViewId="0">
      <selection activeCell="B18" sqref="B18"/>
    </sheetView>
  </sheetViews>
  <sheetFormatPr baseColWidth="10" defaultColWidth="11.44140625" defaultRowHeight="14.4" x14ac:dyDescent="0.3"/>
  <cols>
    <col min="2" max="2" width="26.5546875" customWidth="1"/>
    <col min="3" max="4" width="13.109375" customWidth="1"/>
    <col min="5" max="5" width="11.33203125" customWidth="1"/>
    <col min="6" max="6" width="11.109375" customWidth="1"/>
  </cols>
  <sheetData>
    <row r="1" spans="1:6" x14ac:dyDescent="0.3">
      <c r="A1" s="376" t="s">
        <v>1126</v>
      </c>
      <c r="B1" s="376"/>
      <c r="C1" s="376"/>
      <c r="D1" s="376"/>
      <c r="E1" s="376"/>
      <c r="F1" s="376"/>
    </row>
    <row r="2" spans="1:6" x14ac:dyDescent="0.3">
      <c r="A2" s="376"/>
      <c r="B2" s="376"/>
      <c r="C2" s="376"/>
      <c r="D2" s="376"/>
      <c r="E2" s="376"/>
      <c r="F2" s="376"/>
    </row>
    <row r="3" spans="1:6" x14ac:dyDescent="0.3">
      <c r="A3" s="84" t="s">
        <v>818</v>
      </c>
      <c r="B3" s="84" t="s">
        <v>1127</v>
      </c>
      <c r="C3" s="84" t="s">
        <v>740</v>
      </c>
      <c r="D3" s="84" t="s">
        <v>1128</v>
      </c>
      <c r="E3" s="84"/>
      <c r="F3" s="84"/>
    </row>
    <row r="4" spans="1:6" x14ac:dyDescent="0.3">
      <c r="A4" s="79">
        <v>1</v>
      </c>
      <c r="B4" s="79" t="s">
        <v>579</v>
      </c>
      <c r="C4" s="79">
        <v>16</v>
      </c>
      <c r="D4" s="79" t="s">
        <v>16</v>
      </c>
      <c r="E4" s="79"/>
      <c r="F4" s="79"/>
    </row>
    <row r="5" spans="1:6" x14ac:dyDescent="0.3">
      <c r="A5" s="9">
        <v>2</v>
      </c>
      <c r="B5" s="9" t="s">
        <v>746</v>
      </c>
      <c r="C5" s="9">
        <v>16</v>
      </c>
      <c r="D5" s="9" t="s">
        <v>16</v>
      </c>
      <c r="E5" s="9"/>
      <c r="F5" s="9"/>
    </row>
    <row r="6" spans="1:6" x14ac:dyDescent="0.3">
      <c r="A6" s="9">
        <v>3</v>
      </c>
      <c r="B6" s="9" t="s">
        <v>1129</v>
      </c>
      <c r="C6" s="9">
        <v>16</v>
      </c>
      <c r="D6" s="9" t="s">
        <v>16</v>
      </c>
      <c r="E6" s="9"/>
      <c r="F6" s="9"/>
    </row>
    <row r="7" spans="1:6" x14ac:dyDescent="0.3">
      <c r="A7" s="9">
        <v>4</v>
      </c>
      <c r="B7" s="9" t="s">
        <v>1130</v>
      </c>
      <c r="C7" s="9">
        <v>16</v>
      </c>
      <c r="D7" s="9" t="s">
        <v>16</v>
      </c>
      <c r="E7" s="9"/>
      <c r="F7" s="9"/>
    </row>
    <row r="8" spans="1:6" x14ac:dyDescent="0.3">
      <c r="A8" s="9">
        <v>5</v>
      </c>
      <c r="B8" s="9" t="s">
        <v>1131</v>
      </c>
      <c r="C8" s="9">
        <v>16</v>
      </c>
      <c r="D8" s="9" t="s">
        <v>28</v>
      </c>
      <c r="E8" s="9"/>
      <c r="F8" s="9"/>
    </row>
    <row r="9" spans="1:6" x14ac:dyDescent="0.3">
      <c r="A9" s="9">
        <v>6</v>
      </c>
      <c r="B9" s="9" t="s">
        <v>1132</v>
      </c>
      <c r="C9" s="9">
        <v>16</v>
      </c>
      <c r="D9" s="9" t="s">
        <v>28</v>
      </c>
      <c r="E9" s="9"/>
      <c r="F9" s="9"/>
    </row>
    <row r="10" spans="1:6" x14ac:dyDescent="0.3">
      <c r="A10" s="9">
        <v>7</v>
      </c>
      <c r="B10" s="9" t="s">
        <v>1133</v>
      </c>
      <c r="C10" s="9">
        <v>16</v>
      </c>
      <c r="D10" s="9" t="s">
        <v>28</v>
      </c>
      <c r="E10" s="9"/>
      <c r="F10" s="9"/>
    </row>
    <row r="11" spans="1:6" x14ac:dyDescent="0.3">
      <c r="A11" s="9">
        <v>8</v>
      </c>
      <c r="B11" s="9" t="s">
        <v>1134</v>
      </c>
      <c r="C11" s="9">
        <v>16</v>
      </c>
      <c r="D11" s="9" t="s">
        <v>16</v>
      </c>
      <c r="E11" s="9"/>
      <c r="F11" s="9"/>
    </row>
    <row r="12" spans="1:6" x14ac:dyDescent="0.3">
      <c r="A12" s="9">
        <v>9</v>
      </c>
      <c r="B12" s="9" t="s">
        <v>1135</v>
      </c>
      <c r="C12" s="9">
        <v>16</v>
      </c>
      <c r="D12" s="9" t="s">
        <v>28</v>
      </c>
      <c r="E12" s="9"/>
      <c r="F12" s="9"/>
    </row>
    <row r="13" spans="1:6" x14ac:dyDescent="0.3">
      <c r="A13">
        <v>10</v>
      </c>
      <c r="B13" t="s">
        <v>664</v>
      </c>
      <c r="C13">
        <v>16</v>
      </c>
    </row>
  </sheetData>
  <mergeCells count="1">
    <mergeCell ref="A1: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913F-F4DC-4855-AD61-9BC2790D798D}">
  <sheetPr>
    <tabColor rgb="FFFF0000"/>
  </sheetPr>
  <dimension ref="A1:E50"/>
  <sheetViews>
    <sheetView topLeftCell="A9" workbookViewId="0">
      <selection activeCell="C22" sqref="C22"/>
    </sheetView>
  </sheetViews>
  <sheetFormatPr baseColWidth="10" defaultColWidth="11.44140625" defaultRowHeight="14.4" x14ac:dyDescent="0.3"/>
  <cols>
    <col min="1" max="1" width="42" customWidth="1"/>
    <col min="2" max="2" width="12" bestFit="1" customWidth="1"/>
    <col min="3" max="3" width="23.88671875" bestFit="1" customWidth="1"/>
    <col min="4" max="4" width="24.44140625" bestFit="1" customWidth="1"/>
    <col min="5" max="5" width="17.6640625" bestFit="1" customWidth="1"/>
  </cols>
  <sheetData>
    <row r="1" spans="1:5" x14ac:dyDescent="0.3">
      <c r="A1" s="8" t="s">
        <v>739</v>
      </c>
      <c r="B1" s="8" t="s">
        <v>740</v>
      </c>
      <c r="C1" s="8" t="s">
        <v>741</v>
      </c>
      <c r="D1" s="8" t="s">
        <v>742</v>
      </c>
      <c r="E1" s="8" t="s">
        <v>4</v>
      </c>
    </row>
    <row r="2" spans="1:5" x14ac:dyDescent="0.3">
      <c r="A2" s="7" t="s">
        <v>305</v>
      </c>
      <c r="B2" s="3">
        <v>13</v>
      </c>
      <c r="C2" s="12" t="s">
        <v>16</v>
      </c>
      <c r="D2" s="12" t="s">
        <v>16</v>
      </c>
      <c r="E2" s="1" t="s">
        <v>20</v>
      </c>
    </row>
    <row r="3" spans="1:5" x14ac:dyDescent="0.3">
      <c r="A3" s="7" t="s">
        <v>306</v>
      </c>
      <c r="B3" s="3">
        <v>13</v>
      </c>
      <c r="C3" s="12"/>
      <c r="D3" s="12" t="s">
        <v>16</v>
      </c>
      <c r="E3" s="1" t="s">
        <v>511</v>
      </c>
    </row>
    <row r="4" spans="1:5" x14ac:dyDescent="0.3">
      <c r="A4" s="7" t="s">
        <v>76</v>
      </c>
      <c r="B4" s="3">
        <v>13</v>
      </c>
      <c r="C4" s="12" t="s">
        <v>16</v>
      </c>
      <c r="D4" s="12" t="s">
        <v>16</v>
      </c>
      <c r="E4" s="1" t="s">
        <v>79</v>
      </c>
    </row>
    <row r="5" spans="1:5" x14ac:dyDescent="0.3">
      <c r="A5" s="7" t="s">
        <v>291</v>
      </c>
      <c r="B5" s="3">
        <v>12</v>
      </c>
      <c r="C5" s="12"/>
      <c r="D5" s="12" t="s">
        <v>47</v>
      </c>
      <c r="E5" s="1" t="s">
        <v>20</v>
      </c>
    </row>
    <row r="6" spans="1:5" x14ac:dyDescent="0.3">
      <c r="A6" s="7" t="s">
        <v>294</v>
      </c>
      <c r="B6" s="3">
        <v>12</v>
      </c>
      <c r="C6" s="12"/>
      <c r="D6" s="12" t="s">
        <v>24</v>
      </c>
      <c r="E6" s="1" t="s">
        <v>511</v>
      </c>
    </row>
    <row r="7" spans="1:5" x14ac:dyDescent="0.3">
      <c r="A7" s="7" t="s">
        <v>295</v>
      </c>
      <c r="B7" s="3">
        <v>12</v>
      </c>
      <c r="C7" s="12"/>
      <c r="D7" s="12"/>
      <c r="E7" s="1" t="s">
        <v>79</v>
      </c>
    </row>
    <row r="8" spans="1:5" x14ac:dyDescent="0.3">
      <c r="A8" s="7" t="s">
        <v>45</v>
      </c>
      <c r="B8" s="3">
        <v>12</v>
      </c>
      <c r="C8" s="12" t="s">
        <v>47</v>
      </c>
      <c r="D8" s="12" t="s">
        <v>47</v>
      </c>
      <c r="E8" s="1" t="s">
        <v>20</v>
      </c>
    </row>
    <row r="9" spans="1:5" x14ac:dyDescent="0.3">
      <c r="A9" s="7" t="s">
        <v>296</v>
      </c>
      <c r="B9" s="3">
        <v>12</v>
      </c>
      <c r="C9" s="12"/>
      <c r="D9" s="12" t="s">
        <v>16</v>
      </c>
      <c r="E9" s="1" t="s">
        <v>511</v>
      </c>
    </row>
    <row r="10" spans="1:5" x14ac:dyDescent="0.3">
      <c r="A10" s="7" t="s">
        <v>307</v>
      </c>
      <c r="B10" s="3">
        <v>13</v>
      </c>
      <c r="C10" s="12" t="s">
        <v>16</v>
      </c>
      <c r="D10" s="12" t="s">
        <v>16</v>
      </c>
      <c r="E10" s="1" t="s">
        <v>79</v>
      </c>
    </row>
    <row r="11" spans="1:5" x14ac:dyDescent="0.3">
      <c r="A11" s="7" t="s">
        <v>308</v>
      </c>
      <c r="B11" s="3">
        <v>13</v>
      </c>
      <c r="C11" s="12" t="s">
        <v>16</v>
      </c>
      <c r="D11" s="12" t="s">
        <v>16</v>
      </c>
      <c r="E11" s="1" t="s">
        <v>20</v>
      </c>
    </row>
    <row r="12" spans="1:5" x14ac:dyDescent="0.3">
      <c r="A12" s="7" t="s">
        <v>49</v>
      </c>
      <c r="B12" s="3">
        <v>12</v>
      </c>
      <c r="C12" s="12"/>
      <c r="D12" s="12" t="s">
        <v>24</v>
      </c>
      <c r="E12" s="1" t="s">
        <v>511</v>
      </c>
    </row>
    <row r="13" spans="1:5" x14ac:dyDescent="0.3">
      <c r="A13" s="7" t="s">
        <v>309</v>
      </c>
      <c r="B13" s="3">
        <v>13</v>
      </c>
      <c r="C13" s="12"/>
      <c r="D13" s="12"/>
      <c r="E13" s="1" t="s">
        <v>79</v>
      </c>
    </row>
    <row r="14" spans="1:5" x14ac:dyDescent="0.3">
      <c r="A14" s="7" t="s">
        <v>310</v>
      </c>
      <c r="B14" s="3">
        <v>13</v>
      </c>
      <c r="C14" s="12" t="s">
        <v>16</v>
      </c>
      <c r="D14" s="12" t="s">
        <v>14</v>
      </c>
      <c r="E14" s="1" t="s">
        <v>20</v>
      </c>
    </row>
    <row r="15" spans="1:5" x14ac:dyDescent="0.3">
      <c r="A15" s="7" t="s">
        <v>311</v>
      </c>
      <c r="B15" s="3">
        <v>13</v>
      </c>
      <c r="C15" s="12"/>
      <c r="D15" s="12" t="s">
        <v>116</v>
      </c>
      <c r="E15" s="1" t="s">
        <v>511</v>
      </c>
    </row>
    <row r="16" spans="1:5" x14ac:dyDescent="0.3">
      <c r="A16" s="7" t="s">
        <v>312</v>
      </c>
      <c r="B16" s="3">
        <v>13</v>
      </c>
      <c r="C16" s="12" t="s">
        <v>16</v>
      </c>
      <c r="D16" s="12" t="s">
        <v>16</v>
      </c>
      <c r="E16" s="1" t="s">
        <v>79</v>
      </c>
    </row>
    <row r="17" spans="1:5" x14ac:dyDescent="0.3">
      <c r="A17" s="7" t="s">
        <v>297</v>
      </c>
      <c r="B17" s="3">
        <v>12</v>
      </c>
      <c r="C17" s="12" t="s">
        <v>14</v>
      </c>
      <c r="D17" s="12" t="s">
        <v>35</v>
      </c>
      <c r="E17" s="1" t="s">
        <v>20</v>
      </c>
    </row>
    <row r="18" spans="1:5" x14ac:dyDescent="0.3">
      <c r="A18" s="7" t="s">
        <v>313</v>
      </c>
      <c r="B18" s="3">
        <v>13</v>
      </c>
      <c r="C18" s="12"/>
      <c r="D18" s="12" t="s">
        <v>116</v>
      </c>
      <c r="E18" s="1" t="s">
        <v>511</v>
      </c>
    </row>
    <row r="19" spans="1:5" x14ac:dyDescent="0.3">
      <c r="A19" s="7" t="s">
        <v>314</v>
      </c>
      <c r="B19" s="3">
        <v>13</v>
      </c>
      <c r="C19" s="12" t="s">
        <v>14</v>
      </c>
      <c r="D19" s="12" t="s">
        <v>16</v>
      </c>
      <c r="E19" s="1" t="s">
        <v>79</v>
      </c>
    </row>
    <row r="20" spans="1:5" x14ac:dyDescent="0.3">
      <c r="A20" s="7" t="s">
        <v>315</v>
      </c>
      <c r="B20" s="3">
        <v>13</v>
      </c>
      <c r="C20" s="12" t="s">
        <v>35</v>
      </c>
      <c r="D20" s="12" t="s">
        <v>35</v>
      </c>
      <c r="E20" s="1" t="s">
        <v>20</v>
      </c>
    </row>
    <row r="21" spans="1:5" x14ac:dyDescent="0.3">
      <c r="A21" s="7" t="s">
        <v>316</v>
      </c>
      <c r="B21" s="3">
        <v>13</v>
      </c>
      <c r="C21" s="12"/>
      <c r="D21" s="12" t="s">
        <v>116</v>
      </c>
      <c r="E21" s="1" t="s">
        <v>511</v>
      </c>
    </row>
    <row r="22" spans="1:5" x14ac:dyDescent="0.3">
      <c r="A22" s="7" t="s">
        <v>317</v>
      </c>
      <c r="B22" s="3">
        <v>13</v>
      </c>
      <c r="C22" s="12" t="s">
        <v>16</v>
      </c>
      <c r="D22" s="12" t="s">
        <v>16</v>
      </c>
      <c r="E22" s="1" t="s">
        <v>79</v>
      </c>
    </row>
    <row r="23" spans="1:5" x14ac:dyDescent="0.3">
      <c r="A23" s="7" t="s">
        <v>57</v>
      </c>
      <c r="B23" s="3">
        <v>13</v>
      </c>
      <c r="C23" s="12" t="s">
        <v>47</v>
      </c>
      <c r="D23" s="12" t="s">
        <v>47</v>
      </c>
      <c r="E23" s="1" t="s">
        <v>20</v>
      </c>
    </row>
    <row r="24" spans="1:5" x14ac:dyDescent="0.3">
      <c r="A24" s="7" t="s">
        <v>318</v>
      </c>
      <c r="B24" s="3">
        <v>13</v>
      </c>
      <c r="C24" s="12"/>
      <c r="D24" s="12" t="s">
        <v>116</v>
      </c>
      <c r="E24" s="1" t="s">
        <v>511</v>
      </c>
    </row>
    <row r="25" spans="1:5" x14ac:dyDescent="0.3">
      <c r="A25" s="7" t="s">
        <v>299</v>
      </c>
      <c r="B25" s="3">
        <v>12</v>
      </c>
      <c r="C25" s="12"/>
      <c r="D25" s="12"/>
      <c r="E25" s="1" t="s">
        <v>79</v>
      </c>
    </row>
    <row r="26" spans="1:5" x14ac:dyDescent="0.3">
      <c r="A26" s="7" t="s">
        <v>300</v>
      </c>
      <c r="B26" s="3">
        <v>12</v>
      </c>
      <c r="C26" s="12" t="s">
        <v>16</v>
      </c>
      <c r="D26" s="12" t="s">
        <v>16</v>
      </c>
      <c r="E26" s="1" t="s">
        <v>20</v>
      </c>
    </row>
    <row r="27" spans="1:5" x14ac:dyDescent="0.3">
      <c r="A27" s="7" t="s">
        <v>319</v>
      </c>
      <c r="B27" s="3">
        <v>13</v>
      </c>
      <c r="C27" s="12" t="s">
        <v>16</v>
      </c>
      <c r="D27" s="12" t="s">
        <v>16</v>
      </c>
      <c r="E27" s="1" t="s">
        <v>511</v>
      </c>
    </row>
    <row r="28" spans="1:5" x14ac:dyDescent="0.3">
      <c r="A28" s="7" t="s">
        <v>58</v>
      </c>
      <c r="B28" s="3">
        <v>13</v>
      </c>
      <c r="C28" s="12" t="s">
        <v>16</v>
      </c>
      <c r="D28" s="12" t="s">
        <v>16</v>
      </c>
      <c r="E28" s="1" t="s">
        <v>79</v>
      </c>
    </row>
    <row r="29" spans="1:5" x14ac:dyDescent="0.3">
      <c r="A29" s="7" t="s">
        <v>62</v>
      </c>
      <c r="B29" s="3">
        <v>13</v>
      </c>
      <c r="C29" s="12" t="s">
        <v>16</v>
      </c>
      <c r="D29" s="12" t="s">
        <v>16</v>
      </c>
      <c r="E29" s="1" t="s">
        <v>20</v>
      </c>
    </row>
    <row r="30" spans="1:5" x14ac:dyDescent="0.3">
      <c r="A30" s="7" t="s">
        <v>63</v>
      </c>
      <c r="B30" s="3">
        <v>13</v>
      </c>
      <c r="C30" s="12"/>
      <c r="D30" s="12" t="s">
        <v>16</v>
      </c>
      <c r="E30" s="1" t="s">
        <v>511</v>
      </c>
    </row>
    <row r="31" spans="1:5" x14ac:dyDescent="0.3">
      <c r="A31" s="7" t="s">
        <v>320</v>
      </c>
      <c r="B31" s="3">
        <v>13</v>
      </c>
      <c r="C31" s="12" t="s">
        <v>14</v>
      </c>
      <c r="D31" s="12" t="s">
        <v>14</v>
      </c>
      <c r="E31" s="1" t="s">
        <v>79</v>
      </c>
    </row>
    <row r="32" spans="1:5" x14ac:dyDescent="0.3">
      <c r="A32" s="7" t="s">
        <v>321</v>
      </c>
      <c r="B32" s="3">
        <v>13</v>
      </c>
      <c r="C32" s="12" t="s">
        <v>16</v>
      </c>
      <c r="D32" s="12" t="s">
        <v>47</v>
      </c>
      <c r="E32" s="1" t="s">
        <v>20</v>
      </c>
    </row>
    <row r="33" spans="1:5" x14ac:dyDescent="0.3">
      <c r="A33" s="7" t="s">
        <v>248</v>
      </c>
      <c r="B33" s="3">
        <v>13</v>
      </c>
      <c r="C33" s="12"/>
      <c r="D33" s="12" t="s">
        <v>116</v>
      </c>
      <c r="E33" s="1" t="s">
        <v>511</v>
      </c>
    </row>
    <row r="34" spans="1:5" x14ac:dyDescent="0.3">
      <c r="A34" s="7" t="s">
        <v>46</v>
      </c>
      <c r="B34" s="3">
        <v>12</v>
      </c>
      <c r="C34" s="12"/>
      <c r="D34" s="12"/>
      <c r="E34" s="1" t="s">
        <v>79</v>
      </c>
    </row>
    <row r="35" spans="1:5" x14ac:dyDescent="0.3">
      <c r="A35" s="7" t="s">
        <v>302</v>
      </c>
      <c r="B35" s="3">
        <v>12</v>
      </c>
      <c r="C35" s="12" t="s">
        <v>47</v>
      </c>
      <c r="D35" s="12" t="s">
        <v>47</v>
      </c>
      <c r="E35" s="1" t="s">
        <v>20</v>
      </c>
    </row>
    <row r="36" spans="1:5" x14ac:dyDescent="0.3">
      <c r="A36" s="7" t="s">
        <v>1136</v>
      </c>
      <c r="B36" s="3">
        <v>15</v>
      </c>
      <c r="C36" s="12" t="s">
        <v>16</v>
      </c>
      <c r="D36" s="12"/>
      <c r="E36" s="1" t="s">
        <v>511</v>
      </c>
    </row>
    <row r="37" spans="1:5" x14ac:dyDescent="0.3">
      <c r="A37" s="7" t="s">
        <v>1137</v>
      </c>
      <c r="B37" s="3">
        <v>15</v>
      </c>
      <c r="C37" s="12" t="s">
        <v>16</v>
      </c>
      <c r="D37" s="12"/>
      <c r="E37" s="1" t="s">
        <v>511</v>
      </c>
    </row>
    <row r="38" spans="1:5" x14ac:dyDescent="0.3">
      <c r="A38" s="7" t="s">
        <v>1138</v>
      </c>
      <c r="B38" s="3">
        <v>15</v>
      </c>
      <c r="C38" s="12" t="s">
        <v>16</v>
      </c>
      <c r="D38" s="12"/>
      <c r="E38" s="1" t="s">
        <v>511</v>
      </c>
    </row>
    <row r="39" spans="1:5" x14ac:dyDescent="0.3">
      <c r="A39" s="7" t="s">
        <v>1139</v>
      </c>
      <c r="B39" s="3">
        <v>15</v>
      </c>
      <c r="C39" s="12" t="s">
        <v>16</v>
      </c>
      <c r="D39" s="12"/>
      <c r="E39" s="1" t="s">
        <v>511</v>
      </c>
    </row>
    <row r="40" spans="1:5" x14ac:dyDescent="0.3">
      <c r="A40" s="7" t="s">
        <v>1140</v>
      </c>
      <c r="B40" s="3">
        <v>15</v>
      </c>
      <c r="C40" s="12" t="s">
        <v>16</v>
      </c>
      <c r="D40" s="12"/>
      <c r="E40" s="1" t="s">
        <v>511</v>
      </c>
    </row>
    <row r="41" spans="1:5" x14ac:dyDescent="0.3">
      <c r="A41" s="7" t="s">
        <v>1141</v>
      </c>
      <c r="B41" s="3">
        <v>15</v>
      </c>
      <c r="C41" s="12" t="s">
        <v>16</v>
      </c>
      <c r="D41" s="12"/>
      <c r="E41" s="1" t="s">
        <v>511</v>
      </c>
    </row>
    <row r="42" spans="1:5" x14ac:dyDescent="0.3">
      <c r="A42" s="7" t="s">
        <v>1142</v>
      </c>
      <c r="B42" s="3">
        <v>15</v>
      </c>
      <c r="C42" s="12" t="s">
        <v>16</v>
      </c>
      <c r="D42" s="12"/>
      <c r="E42" s="1" t="s">
        <v>511</v>
      </c>
    </row>
    <row r="43" spans="1:5" x14ac:dyDescent="0.3">
      <c r="A43" s="7" t="s">
        <v>1143</v>
      </c>
      <c r="B43" s="3">
        <v>14</v>
      </c>
      <c r="C43" s="12" t="s">
        <v>16</v>
      </c>
      <c r="D43" s="12"/>
      <c r="E43" s="1" t="s">
        <v>511</v>
      </c>
    </row>
    <row r="44" spans="1:5" x14ac:dyDescent="0.3">
      <c r="A44" s="7" t="s">
        <v>1144</v>
      </c>
      <c r="B44" s="3">
        <v>15</v>
      </c>
      <c r="C44" s="12" t="s">
        <v>16</v>
      </c>
      <c r="D44" s="12"/>
      <c r="E44" s="1" t="s">
        <v>511</v>
      </c>
    </row>
    <row r="45" spans="1:5" x14ac:dyDescent="0.3">
      <c r="A45" s="7" t="s">
        <v>1145</v>
      </c>
      <c r="B45" s="3">
        <v>14</v>
      </c>
      <c r="C45" s="12" t="s">
        <v>16</v>
      </c>
      <c r="D45" s="12"/>
      <c r="E45" s="1" t="s">
        <v>511</v>
      </c>
    </row>
    <row r="46" spans="1:5" x14ac:dyDescent="0.3">
      <c r="A46" s="7" t="s">
        <v>56</v>
      </c>
      <c r="B46" s="3">
        <v>13</v>
      </c>
      <c r="C46" s="12"/>
      <c r="D46" s="12"/>
      <c r="E46" s="1" t="s">
        <v>511</v>
      </c>
    </row>
    <row r="47" spans="1:5" x14ac:dyDescent="0.3">
      <c r="A47" s="7" t="s">
        <v>303</v>
      </c>
      <c r="B47" s="3">
        <v>12</v>
      </c>
      <c r="C47" s="12"/>
      <c r="D47" s="12"/>
      <c r="E47" s="1" t="s">
        <v>79</v>
      </c>
    </row>
    <row r="48" spans="1:5" x14ac:dyDescent="0.3">
      <c r="A48" s="7" t="s">
        <v>304</v>
      </c>
      <c r="B48" s="3">
        <v>12</v>
      </c>
      <c r="C48" s="12" t="s">
        <v>16</v>
      </c>
      <c r="D48" s="12" t="s">
        <v>16</v>
      </c>
      <c r="E48" s="1" t="s">
        <v>20</v>
      </c>
    </row>
    <row r="50" spans="1:4" ht="21" x14ac:dyDescent="0.4">
      <c r="A50" s="365" t="s">
        <v>211</v>
      </c>
      <c r="B50" s="365"/>
      <c r="C50" s="11">
        <f>+COUNTIF(C2:C48,"ok")</f>
        <v>23</v>
      </c>
      <c r="D50" s="11">
        <f>+COUNTIF(D2:D48,"ok")</f>
        <v>15</v>
      </c>
    </row>
  </sheetData>
  <autoFilter ref="A1:E48" xr:uid="{8CC9BC97-C9D6-4F7B-82B5-6DE4D6574A99}"/>
  <mergeCells count="1">
    <mergeCell ref="A50:B50"/>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1B47E-49DF-48FD-81E6-5A02A9A81C3F}">
  <sheetPr filterMode="1">
    <tabColor theme="8" tint="0.39997558519241921"/>
  </sheetPr>
  <dimension ref="A2:N153"/>
  <sheetViews>
    <sheetView zoomScale="95" workbookViewId="0">
      <pane ySplit="3" topLeftCell="A7" activePane="bottomLeft" state="frozen"/>
      <selection activeCell="B1" sqref="B1"/>
      <selection pane="bottomLeft" activeCell="F116" sqref="F116"/>
    </sheetView>
  </sheetViews>
  <sheetFormatPr baseColWidth="10" defaultColWidth="8.88671875" defaultRowHeight="15" customHeight="1" x14ac:dyDescent="0.3"/>
  <cols>
    <col min="1" max="1" width="8" customWidth="1"/>
    <col min="2" max="2" width="42.88671875" customWidth="1"/>
    <col min="3" max="3" width="9.109375" style="5" bestFit="1" customWidth="1"/>
    <col min="4" max="4" width="24.6640625" style="5" bestFit="1" customWidth="1"/>
    <col min="5" max="7" width="23.6640625" style="5" customWidth="1"/>
    <col min="8" max="8" width="25.44140625" style="5" customWidth="1"/>
    <col min="9" max="9" width="42.5546875" customWidth="1"/>
    <col min="10" max="11" width="9.109375" bestFit="1" customWidth="1"/>
    <col min="12" max="12" width="21.6640625" customWidth="1"/>
  </cols>
  <sheetData>
    <row r="2" spans="1:12" s="103" customFormat="1" ht="43.2" customHeight="1" x14ac:dyDescent="0.3">
      <c r="A2" s="377" t="s">
        <v>816</v>
      </c>
      <c r="B2" s="378"/>
      <c r="C2" s="379"/>
      <c r="D2" s="113" t="s">
        <v>971</v>
      </c>
      <c r="E2" s="113" t="s">
        <v>971</v>
      </c>
      <c r="F2" s="113" t="s">
        <v>971</v>
      </c>
      <c r="G2" s="113" t="s">
        <v>971</v>
      </c>
      <c r="H2" s="113" t="s">
        <v>971</v>
      </c>
      <c r="I2" s="114" t="s">
        <v>817</v>
      </c>
    </row>
    <row r="3" spans="1:12" s="5" customFormat="1" ht="14.4" x14ac:dyDescent="0.3">
      <c r="A3" s="123" t="s">
        <v>4</v>
      </c>
      <c r="B3" s="124" t="s">
        <v>739</v>
      </c>
      <c r="C3" s="124" t="s">
        <v>740</v>
      </c>
      <c r="D3" s="100" t="s">
        <v>1146</v>
      </c>
      <c r="E3" s="100" t="s">
        <v>1063</v>
      </c>
      <c r="F3" s="100" t="s">
        <v>1064</v>
      </c>
      <c r="G3" s="100" t="s">
        <v>908</v>
      </c>
      <c r="H3" s="100" t="s">
        <v>1147</v>
      </c>
      <c r="I3" s="3"/>
      <c r="K3" s="366" t="s">
        <v>970</v>
      </c>
      <c r="L3" s="366"/>
    </row>
    <row r="4" spans="1:12" ht="14.4" hidden="1" customHeight="1" x14ac:dyDescent="0.3">
      <c r="A4" s="33" t="s">
        <v>922</v>
      </c>
      <c r="B4" s="1" t="s">
        <v>96</v>
      </c>
      <c r="C4" s="6">
        <v>0</v>
      </c>
      <c r="D4" s="3"/>
      <c r="E4" s="3"/>
      <c r="F4" s="190"/>
      <c r="G4" s="190"/>
      <c r="H4" s="190"/>
      <c r="I4" s="1"/>
    </row>
    <row r="5" spans="1:12" ht="14.4" hidden="1" customHeight="1" x14ac:dyDescent="0.3">
      <c r="A5" s="9" t="s">
        <v>978</v>
      </c>
      <c r="B5" s="56" t="s">
        <v>34</v>
      </c>
      <c r="C5" s="6">
        <v>5</v>
      </c>
      <c r="D5" s="3"/>
      <c r="E5" s="3"/>
      <c r="F5" s="3"/>
      <c r="G5" s="3"/>
      <c r="H5" s="3"/>
      <c r="I5" s="1"/>
      <c r="K5" s="105" t="s">
        <v>16</v>
      </c>
      <c r="L5" s="106" t="s">
        <v>976</v>
      </c>
    </row>
    <row r="6" spans="1:12" ht="14.4" hidden="1" customHeight="1" x14ac:dyDescent="0.3">
      <c r="A6" s="9" t="s">
        <v>110</v>
      </c>
      <c r="B6" s="56" t="s">
        <v>261</v>
      </c>
      <c r="C6" s="6">
        <v>7</v>
      </c>
      <c r="D6" s="3" t="s">
        <v>28</v>
      </c>
      <c r="E6" s="3" t="s">
        <v>28</v>
      </c>
      <c r="F6" s="3" t="s">
        <v>28</v>
      </c>
      <c r="G6" s="3" t="s">
        <v>28</v>
      </c>
      <c r="H6" s="3" t="s">
        <v>28</v>
      </c>
      <c r="I6" s="1" t="s">
        <v>934</v>
      </c>
    </row>
    <row r="7" spans="1:12" ht="14.4" customHeight="1" x14ac:dyDescent="0.3">
      <c r="A7" s="256" t="s">
        <v>921</v>
      </c>
      <c r="B7" s="33" t="s">
        <v>253</v>
      </c>
      <c r="C7" s="48">
        <v>7</v>
      </c>
      <c r="D7" s="48" t="s">
        <v>16</v>
      </c>
      <c r="E7" s="48"/>
      <c r="F7" s="48"/>
      <c r="G7" s="48"/>
      <c r="H7" s="48" t="s">
        <v>16</v>
      </c>
      <c r="I7" s="1" t="s">
        <v>1148</v>
      </c>
    </row>
    <row r="8" spans="1:12" ht="14.4" hidden="1" customHeight="1" x14ac:dyDescent="0.3">
      <c r="A8" s="9" t="s">
        <v>922</v>
      </c>
      <c r="B8" s="9" t="s">
        <v>25</v>
      </c>
      <c r="C8" s="19">
        <v>8</v>
      </c>
      <c r="D8" s="14"/>
      <c r="E8" s="14"/>
      <c r="F8" s="14"/>
      <c r="G8" s="14"/>
      <c r="H8" s="14"/>
      <c r="I8" s="56"/>
    </row>
    <row r="9" spans="1:12" ht="14.4" hidden="1" customHeight="1" x14ac:dyDescent="0.3">
      <c r="A9" s="9" t="s">
        <v>978</v>
      </c>
      <c r="B9" s="9" t="s">
        <v>272</v>
      </c>
      <c r="C9" s="19">
        <v>9</v>
      </c>
      <c r="D9" s="14" t="s">
        <v>28</v>
      </c>
      <c r="E9" s="14" t="s">
        <v>16</v>
      </c>
      <c r="F9" s="14" t="s">
        <v>16</v>
      </c>
      <c r="G9" s="14" t="s">
        <v>28</v>
      </c>
      <c r="H9" s="14" t="s">
        <v>28</v>
      </c>
      <c r="I9" s="56"/>
    </row>
    <row r="10" spans="1:12" ht="14.4" hidden="1" customHeight="1" x14ac:dyDescent="0.3">
      <c r="A10" s="79" t="s">
        <v>978</v>
      </c>
      <c r="B10" s="64" t="s">
        <v>53</v>
      </c>
      <c r="C10" s="348">
        <v>11</v>
      </c>
      <c r="D10" s="94"/>
      <c r="E10" s="94"/>
      <c r="F10" s="349"/>
      <c r="G10" s="349"/>
      <c r="H10" s="349"/>
      <c r="I10" s="1"/>
    </row>
    <row r="11" spans="1:12" ht="14.4" hidden="1" customHeight="1" x14ac:dyDescent="0.3">
      <c r="A11" s="9" t="s">
        <v>977</v>
      </c>
      <c r="B11" s="56" t="s">
        <v>278</v>
      </c>
      <c r="C11" s="6">
        <v>10</v>
      </c>
      <c r="D11" s="3" t="s">
        <v>16</v>
      </c>
      <c r="E11" s="3"/>
      <c r="F11" s="3"/>
      <c r="G11" s="3"/>
      <c r="H11" s="3"/>
      <c r="I11" s="1"/>
    </row>
    <row r="12" spans="1:12" ht="14.4" hidden="1" customHeight="1" x14ac:dyDescent="0.3">
      <c r="A12" s="256" t="s">
        <v>921</v>
      </c>
      <c r="B12" s="1" t="s">
        <v>68</v>
      </c>
      <c r="C12" s="6">
        <v>11</v>
      </c>
      <c r="D12" s="3" t="s">
        <v>24</v>
      </c>
      <c r="E12" s="3"/>
      <c r="F12" s="3"/>
      <c r="G12" s="3"/>
      <c r="H12" s="3"/>
      <c r="I12" s="1"/>
    </row>
    <row r="13" spans="1:12" ht="14.4" hidden="1" customHeight="1" x14ac:dyDescent="0.3">
      <c r="A13" s="33" t="s">
        <v>922</v>
      </c>
      <c r="B13" s="56" t="s">
        <v>41</v>
      </c>
      <c r="C13" s="6">
        <v>11</v>
      </c>
      <c r="D13" s="3" t="s">
        <v>28</v>
      </c>
      <c r="E13" s="3" t="s">
        <v>28</v>
      </c>
      <c r="F13" s="3" t="s">
        <v>28</v>
      </c>
      <c r="G13" s="3" t="s">
        <v>28</v>
      </c>
      <c r="H13" s="3" t="s">
        <v>28</v>
      </c>
      <c r="I13" s="1" t="s">
        <v>1149</v>
      </c>
    </row>
    <row r="14" spans="1:12" ht="14.4" hidden="1" customHeight="1" x14ac:dyDescent="0.3">
      <c r="A14" s="9" t="s">
        <v>978</v>
      </c>
      <c r="B14" s="1" t="s">
        <v>284</v>
      </c>
      <c r="C14" s="6">
        <v>11</v>
      </c>
      <c r="D14" s="3"/>
      <c r="E14" s="3"/>
      <c r="F14" s="190"/>
      <c r="G14" s="190"/>
      <c r="H14" s="190"/>
      <c r="I14" s="1"/>
    </row>
    <row r="15" spans="1:12" ht="14.4" hidden="1" customHeight="1" x14ac:dyDescent="0.3">
      <c r="A15" s="9" t="s">
        <v>977</v>
      </c>
      <c r="B15" s="56" t="s">
        <v>287</v>
      </c>
      <c r="C15" s="6">
        <v>11</v>
      </c>
      <c r="D15" s="3" t="s">
        <v>28</v>
      </c>
      <c r="E15" s="3" t="s">
        <v>28</v>
      </c>
      <c r="F15" s="3" t="s">
        <v>28</v>
      </c>
      <c r="G15" s="3" t="s">
        <v>28</v>
      </c>
      <c r="H15" s="3" t="s">
        <v>28</v>
      </c>
      <c r="I15" s="1" t="s">
        <v>468</v>
      </c>
    </row>
    <row r="16" spans="1:12" ht="14.4" customHeight="1" x14ac:dyDescent="0.3">
      <c r="A16" s="256" t="s">
        <v>978</v>
      </c>
      <c r="B16" s="56" t="s">
        <v>38</v>
      </c>
      <c r="C16" s="6">
        <v>11</v>
      </c>
      <c r="D16" s="3"/>
      <c r="E16" s="3"/>
      <c r="F16" s="3"/>
      <c r="G16" s="3" t="s">
        <v>16</v>
      </c>
      <c r="H16" s="3" t="s">
        <v>16</v>
      </c>
      <c r="I16" s="1"/>
    </row>
    <row r="17" spans="1:14" ht="14.4" hidden="1" customHeight="1" x14ac:dyDescent="0.3">
      <c r="A17" s="33" t="s">
        <v>922</v>
      </c>
      <c r="B17" s="56" t="s">
        <v>45</v>
      </c>
      <c r="C17" s="6">
        <v>12</v>
      </c>
      <c r="D17" s="3"/>
      <c r="E17" s="3"/>
      <c r="F17" s="3"/>
      <c r="G17" s="3"/>
      <c r="H17" s="3"/>
      <c r="I17" s="1"/>
    </row>
    <row r="18" spans="1:14" ht="14.4" hidden="1" customHeight="1" x14ac:dyDescent="0.3">
      <c r="A18" s="9" t="s">
        <v>978</v>
      </c>
      <c r="B18" s="56" t="s">
        <v>300</v>
      </c>
      <c r="C18" s="6">
        <v>12</v>
      </c>
      <c r="D18" s="3" t="s">
        <v>16</v>
      </c>
      <c r="E18" s="3"/>
      <c r="F18" s="3"/>
      <c r="G18" s="3"/>
      <c r="H18" s="3"/>
      <c r="I18" s="1"/>
    </row>
    <row r="19" spans="1:14" ht="14.4" hidden="1" x14ac:dyDescent="0.3">
      <c r="A19" s="9" t="s">
        <v>977</v>
      </c>
      <c r="B19" s="56" t="s">
        <v>298</v>
      </c>
      <c r="C19" s="6">
        <v>12</v>
      </c>
      <c r="D19" s="3" t="s">
        <v>24</v>
      </c>
      <c r="E19" s="3"/>
      <c r="F19" s="3"/>
      <c r="G19" s="3"/>
      <c r="H19" s="3"/>
      <c r="I19" s="1"/>
    </row>
    <row r="20" spans="1:14" ht="14.4" hidden="1" x14ac:dyDescent="0.3">
      <c r="A20" s="256" t="s">
        <v>921</v>
      </c>
      <c r="B20" s="56" t="s">
        <v>293</v>
      </c>
      <c r="C20" s="6">
        <v>12</v>
      </c>
      <c r="D20" s="3" t="s">
        <v>28</v>
      </c>
      <c r="E20" s="3" t="s">
        <v>28</v>
      </c>
      <c r="F20" s="3" t="s">
        <v>28</v>
      </c>
      <c r="G20" s="3" t="s">
        <v>28</v>
      </c>
      <c r="H20" s="3" t="s">
        <v>28</v>
      </c>
      <c r="I20" s="1" t="s">
        <v>584</v>
      </c>
    </row>
    <row r="21" spans="1:14" ht="14.4" hidden="1" x14ac:dyDescent="0.3">
      <c r="A21" s="33" t="s">
        <v>922</v>
      </c>
      <c r="B21" s="257" t="s">
        <v>295</v>
      </c>
      <c r="C21" s="6">
        <v>12</v>
      </c>
      <c r="D21" s="3" t="s">
        <v>244</v>
      </c>
      <c r="E21" s="3" t="s">
        <v>244</v>
      </c>
      <c r="F21" s="3" t="s">
        <v>244</v>
      </c>
      <c r="G21" s="3" t="s">
        <v>244</v>
      </c>
      <c r="H21" s="3" t="s">
        <v>244</v>
      </c>
      <c r="I21" s="1" t="s">
        <v>1150</v>
      </c>
    </row>
    <row r="22" spans="1:14" ht="14.4" hidden="1" x14ac:dyDescent="0.3">
      <c r="A22" s="9" t="s">
        <v>977</v>
      </c>
      <c r="B22" s="56" t="s">
        <v>319</v>
      </c>
      <c r="C22" s="6">
        <v>13</v>
      </c>
      <c r="D22" s="3" t="s">
        <v>28</v>
      </c>
      <c r="E22" s="3" t="s">
        <v>28</v>
      </c>
      <c r="F22" s="3" t="s">
        <v>28</v>
      </c>
      <c r="G22" s="3" t="s">
        <v>28</v>
      </c>
      <c r="H22" s="3" t="s">
        <v>28</v>
      </c>
      <c r="I22" s="1"/>
    </row>
    <row r="23" spans="1:14" ht="14.4" hidden="1" x14ac:dyDescent="0.3">
      <c r="A23" s="256" t="s">
        <v>921</v>
      </c>
      <c r="B23" s="1" t="s">
        <v>315</v>
      </c>
      <c r="C23" s="6">
        <v>13</v>
      </c>
      <c r="D23" s="3"/>
      <c r="E23" s="3"/>
      <c r="F23" s="3"/>
      <c r="G23" s="3"/>
      <c r="H23" s="3"/>
      <c r="I23" s="1"/>
    </row>
    <row r="24" spans="1:14" ht="14.4" hidden="1" x14ac:dyDescent="0.3">
      <c r="A24" s="33" t="s">
        <v>922</v>
      </c>
      <c r="B24" s="1" t="s">
        <v>58</v>
      </c>
      <c r="C24" s="6">
        <v>13</v>
      </c>
      <c r="D24" s="3"/>
      <c r="E24" s="3"/>
      <c r="F24" s="3"/>
      <c r="G24" s="3"/>
      <c r="H24" s="3"/>
      <c r="I24" s="1"/>
    </row>
    <row r="25" spans="1:14" ht="14.4" hidden="1" x14ac:dyDescent="0.3">
      <c r="A25" s="9" t="s">
        <v>978</v>
      </c>
      <c r="B25" s="259" t="s">
        <v>62</v>
      </c>
      <c r="C25" s="6">
        <v>13</v>
      </c>
      <c r="D25" s="3" t="s">
        <v>16</v>
      </c>
      <c r="E25" s="3"/>
      <c r="F25" s="3"/>
      <c r="G25" s="3"/>
      <c r="H25" s="3"/>
      <c r="I25" s="1"/>
    </row>
    <row r="26" spans="1:14" ht="14.4" x14ac:dyDescent="0.3">
      <c r="A26" s="9" t="s">
        <v>977</v>
      </c>
      <c r="B26" s="1" t="s">
        <v>63</v>
      </c>
      <c r="C26" s="6">
        <v>13</v>
      </c>
      <c r="D26" s="3"/>
      <c r="E26" s="3"/>
      <c r="F26" s="3"/>
      <c r="G26" s="3"/>
      <c r="H26" s="3" t="s">
        <v>16</v>
      </c>
      <c r="I26" s="1"/>
    </row>
    <row r="27" spans="1:14" ht="14.4" hidden="1" x14ac:dyDescent="0.3">
      <c r="A27" s="256" t="s">
        <v>921</v>
      </c>
      <c r="B27" s="1" t="s">
        <v>308</v>
      </c>
      <c r="C27" s="6">
        <v>13</v>
      </c>
      <c r="D27" s="3" t="s">
        <v>16</v>
      </c>
      <c r="E27" s="3"/>
      <c r="F27" s="3"/>
      <c r="G27" s="3"/>
      <c r="H27" s="3"/>
      <c r="I27" s="1" t="s">
        <v>1151</v>
      </c>
    </row>
    <row r="28" spans="1:14" ht="14.4" hidden="1" x14ac:dyDescent="0.3">
      <c r="A28" s="33" t="s">
        <v>978</v>
      </c>
      <c r="B28" s="1" t="s">
        <v>305</v>
      </c>
      <c r="C28" s="6">
        <v>13</v>
      </c>
      <c r="D28" s="3" t="s">
        <v>16</v>
      </c>
      <c r="E28" s="3"/>
      <c r="F28" s="3"/>
      <c r="G28" s="3"/>
      <c r="H28" s="3"/>
      <c r="I28" s="1"/>
    </row>
    <row r="29" spans="1:14" ht="14.4" hidden="1" x14ac:dyDescent="0.3">
      <c r="A29" s="9" t="s">
        <v>978</v>
      </c>
      <c r="B29" s="1" t="s">
        <v>331</v>
      </c>
      <c r="C29" s="6">
        <v>14</v>
      </c>
      <c r="D29" s="3"/>
      <c r="E29" s="3"/>
      <c r="F29" s="190"/>
      <c r="G29" s="190"/>
      <c r="H29" s="190"/>
      <c r="I29" s="1"/>
    </row>
    <row r="30" spans="1:14" ht="14.4" hidden="1" x14ac:dyDescent="0.3">
      <c r="A30" s="9" t="s">
        <v>977</v>
      </c>
      <c r="B30" s="1" t="s">
        <v>825</v>
      </c>
      <c r="C30" s="6">
        <v>14</v>
      </c>
      <c r="D30" s="3" t="s">
        <v>28</v>
      </c>
      <c r="E30" s="3" t="s">
        <v>28</v>
      </c>
      <c r="F30" s="3" t="s">
        <v>28</v>
      </c>
      <c r="G30" s="3" t="s">
        <v>28</v>
      </c>
      <c r="H30" s="3" t="s">
        <v>28</v>
      </c>
      <c r="I30" s="1" t="s">
        <v>1152</v>
      </c>
    </row>
    <row r="31" spans="1:14" ht="14.4" hidden="1" x14ac:dyDescent="0.3">
      <c r="A31" s="256" t="s">
        <v>921</v>
      </c>
      <c r="B31" s="1" t="s">
        <v>155</v>
      </c>
      <c r="C31" s="6">
        <v>14</v>
      </c>
      <c r="D31" s="3"/>
      <c r="E31" s="3"/>
      <c r="F31" s="3"/>
      <c r="G31" s="3"/>
      <c r="H31" s="3"/>
      <c r="I31" s="1"/>
      <c r="N31">
        <f>8+2+8+13+1+11+1</f>
        <v>44</v>
      </c>
    </row>
    <row r="32" spans="1:14" ht="14.4" hidden="1" x14ac:dyDescent="0.3">
      <c r="A32" s="33" t="s">
        <v>922</v>
      </c>
      <c r="B32" s="1" t="s">
        <v>82</v>
      </c>
      <c r="C32" s="6">
        <v>15</v>
      </c>
      <c r="D32" s="3"/>
      <c r="E32" s="3"/>
      <c r="F32" s="3"/>
      <c r="G32" s="3"/>
      <c r="H32" s="3"/>
      <c r="I32" s="1"/>
    </row>
    <row r="33" spans="1:9" ht="14.4" hidden="1" x14ac:dyDescent="0.3">
      <c r="A33" s="9" t="s">
        <v>978</v>
      </c>
      <c r="B33" s="1" t="s">
        <v>697</v>
      </c>
      <c r="C33" s="6">
        <v>15</v>
      </c>
      <c r="D33" s="3"/>
      <c r="E33" s="3"/>
      <c r="F33" s="3"/>
      <c r="G33" s="3"/>
      <c r="H33" s="3"/>
      <c r="I33" s="1" t="s">
        <v>468</v>
      </c>
    </row>
    <row r="34" spans="1:9" ht="14.4" hidden="1" x14ac:dyDescent="0.3">
      <c r="A34" s="9" t="s">
        <v>977</v>
      </c>
      <c r="B34" s="1" t="s">
        <v>348</v>
      </c>
      <c r="C34" s="6">
        <v>15</v>
      </c>
      <c r="D34" s="3" t="s">
        <v>24</v>
      </c>
      <c r="E34" s="3"/>
      <c r="F34" s="3"/>
      <c r="G34" s="3"/>
      <c r="H34" s="3"/>
      <c r="I34" s="1"/>
    </row>
    <row r="35" spans="1:9" ht="14.4" hidden="1" x14ac:dyDescent="0.3">
      <c r="A35" s="256" t="s">
        <v>921</v>
      </c>
      <c r="B35" s="1" t="s">
        <v>98</v>
      </c>
      <c r="C35" s="6">
        <v>15</v>
      </c>
      <c r="D35" s="3" t="s">
        <v>16</v>
      </c>
      <c r="E35" s="3"/>
      <c r="F35" s="3"/>
      <c r="G35" s="3"/>
      <c r="H35" s="3"/>
      <c r="I35" s="1"/>
    </row>
    <row r="36" spans="1:9" ht="14.4" hidden="1" x14ac:dyDescent="0.3">
      <c r="A36" s="33" t="s">
        <v>922</v>
      </c>
      <c r="B36" s="56" t="s">
        <v>1153</v>
      </c>
      <c r="C36" s="6">
        <v>15</v>
      </c>
      <c r="D36" s="3"/>
      <c r="E36" s="3"/>
      <c r="F36" s="3"/>
      <c r="G36" s="3"/>
      <c r="H36" s="3"/>
      <c r="I36" s="33"/>
    </row>
    <row r="37" spans="1:9" ht="14.4" hidden="1" x14ac:dyDescent="0.3">
      <c r="A37" s="9" t="s">
        <v>978</v>
      </c>
      <c r="B37" s="272" t="s">
        <v>343</v>
      </c>
      <c r="C37" s="116">
        <v>15</v>
      </c>
      <c r="D37" s="3"/>
      <c r="E37" s="3"/>
      <c r="F37" s="3"/>
      <c r="G37" s="3"/>
      <c r="H37" s="3"/>
      <c r="I37" s="119"/>
    </row>
    <row r="38" spans="1:9" ht="14.4" hidden="1" x14ac:dyDescent="0.3">
      <c r="A38" s="9" t="s">
        <v>977</v>
      </c>
      <c r="B38" s="179" t="s">
        <v>354</v>
      </c>
      <c r="C38" s="95">
        <v>16</v>
      </c>
      <c r="D38" s="3" t="s">
        <v>24</v>
      </c>
      <c r="E38" s="3"/>
      <c r="F38" s="3"/>
      <c r="G38" s="3"/>
      <c r="H38" s="3"/>
      <c r="I38" s="9"/>
    </row>
    <row r="39" spans="1:9" ht="14.4" hidden="1" x14ac:dyDescent="0.3">
      <c r="A39" s="256" t="s">
        <v>921</v>
      </c>
      <c r="B39" s="1" t="s">
        <v>360</v>
      </c>
      <c r="C39" s="6">
        <v>16</v>
      </c>
      <c r="D39" s="3"/>
      <c r="E39" s="3"/>
      <c r="F39" s="3"/>
      <c r="G39" s="3"/>
      <c r="H39" s="3"/>
      <c r="I39" s="120" t="s">
        <v>468</v>
      </c>
    </row>
    <row r="40" spans="1:9" ht="14.4" hidden="1" x14ac:dyDescent="0.3">
      <c r="A40" s="9" t="s">
        <v>978</v>
      </c>
      <c r="B40" s="56" t="s">
        <v>17</v>
      </c>
      <c r="C40" s="6">
        <v>16</v>
      </c>
      <c r="D40" s="3"/>
      <c r="E40" s="3"/>
      <c r="F40" s="3"/>
      <c r="G40" s="3"/>
      <c r="H40" s="3"/>
      <c r="I40" s="120" t="s">
        <v>980</v>
      </c>
    </row>
    <row r="41" spans="1:9" ht="14.4" hidden="1" x14ac:dyDescent="0.3">
      <c r="A41" s="9" t="s">
        <v>977</v>
      </c>
      <c r="B41" s="1" t="s">
        <v>363</v>
      </c>
      <c r="C41" s="6">
        <v>16</v>
      </c>
      <c r="D41" s="3" t="s">
        <v>35</v>
      </c>
      <c r="E41" s="3"/>
      <c r="F41" s="3"/>
      <c r="G41" s="3"/>
      <c r="H41" s="3"/>
      <c r="I41" s="120"/>
    </row>
    <row r="42" spans="1:9" ht="14.4" hidden="1" x14ac:dyDescent="0.3">
      <c r="A42" s="256" t="s">
        <v>921</v>
      </c>
      <c r="B42" s="1" t="s">
        <v>112</v>
      </c>
      <c r="C42" s="6">
        <v>16</v>
      </c>
      <c r="D42" s="3"/>
      <c r="E42" s="3" t="s">
        <v>16</v>
      </c>
      <c r="F42" s="3"/>
      <c r="G42" s="3"/>
      <c r="H42" s="3"/>
      <c r="I42" s="120" t="s">
        <v>1151</v>
      </c>
    </row>
    <row r="43" spans="1:9" ht="14.4" x14ac:dyDescent="0.3">
      <c r="A43" s="33" t="s">
        <v>922</v>
      </c>
      <c r="B43" s="1" t="s">
        <v>357</v>
      </c>
      <c r="C43" s="6">
        <v>16</v>
      </c>
      <c r="D43" s="3"/>
      <c r="E43" s="3"/>
      <c r="F43" s="3"/>
      <c r="G43" s="3"/>
      <c r="H43" s="3" t="s">
        <v>16</v>
      </c>
      <c r="I43" s="120"/>
    </row>
    <row r="44" spans="1:9" ht="14.4" hidden="1" x14ac:dyDescent="0.3">
      <c r="A44" s="9" t="s">
        <v>978</v>
      </c>
      <c r="B44" s="1" t="s">
        <v>186</v>
      </c>
      <c r="C44" s="6">
        <v>16</v>
      </c>
      <c r="D44" s="3"/>
      <c r="E44" s="3"/>
      <c r="F44" s="3"/>
      <c r="G44" s="3"/>
      <c r="H44" s="3"/>
      <c r="I44" s="120"/>
    </row>
    <row r="45" spans="1:9" ht="14.4" hidden="1" x14ac:dyDescent="0.3">
      <c r="A45" s="9" t="s">
        <v>977</v>
      </c>
      <c r="B45" s="1" t="s">
        <v>351</v>
      </c>
      <c r="C45" s="6">
        <v>16</v>
      </c>
      <c r="D45" s="3" t="s">
        <v>24</v>
      </c>
      <c r="E45" s="3"/>
      <c r="F45" s="3"/>
      <c r="G45" s="3"/>
      <c r="H45" s="3"/>
      <c r="I45" s="120"/>
    </row>
    <row r="46" spans="1:9" ht="14.4" hidden="1" x14ac:dyDescent="0.3">
      <c r="A46" s="256" t="s">
        <v>921</v>
      </c>
      <c r="B46" s="1" t="s">
        <v>120</v>
      </c>
      <c r="C46" s="6">
        <v>17</v>
      </c>
      <c r="D46" s="3" t="s">
        <v>28</v>
      </c>
      <c r="E46" s="3" t="s">
        <v>28</v>
      </c>
      <c r="F46" s="3" t="s">
        <v>28</v>
      </c>
      <c r="G46" s="3" t="s">
        <v>28</v>
      </c>
      <c r="H46" s="3" t="s">
        <v>28</v>
      </c>
      <c r="I46" s="120"/>
    </row>
    <row r="47" spans="1:9" ht="14.4" hidden="1" x14ac:dyDescent="0.3">
      <c r="A47" s="33" t="s">
        <v>922</v>
      </c>
      <c r="B47" s="1" t="s">
        <v>63</v>
      </c>
      <c r="C47" s="6">
        <v>13</v>
      </c>
      <c r="D47" s="3"/>
      <c r="E47" s="3"/>
      <c r="F47" s="3"/>
      <c r="G47" s="3"/>
      <c r="H47" s="3"/>
      <c r="I47" s="120"/>
    </row>
    <row r="48" spans="1:9" ht="14.4" hidden="1" x14ac:dyDescent="0.3">
      <c r="A48" s="9" t="s">
        <v>978</v>
      </c>
      <c r="B48" s="1" t="s">
        <v>368</v>
      </c>
      <c r="C48" s="6">
        <v>17</v>
      </c>
      <c r="D48" s="3"/>
      <c r="E48" s="3"/>
      <c r="F48" s="3"/>
      <c r="G48" s="3"/>
      <c r="H48" s="3"/>
      <c r="I48" s="120"/>
    </row>
    <row r="49" spans="1:9" ht="14.4" hidden="1" x14ac:dyDescent="0.3">
      <c r="A49" s="9" t="s">
        <v>977</v>
      </c>
      <c r="B49" s="1" t="s">
        <v>100</v>
      </c>
      <c r="C49" s="6">
        <v>17</v>
      </c>
      <c r="D49" s="3" t="s">
        <v>16</v>
      </c>
      <c r="E49" s="3"/>
      <c r="F49" s="3"/>
      <c r="G49" s="3"/>
      <c r="H49" s="3"/>
      <c r="I49" s="120" t="s">
        <v>980</v>
      </c>
    </row>
    <row r="50" spans="1:9" ht="14.4" hidden="1" x14ac:dyDescent="0.3">
      <c r="A50" s="256" t="s">
        <v>921</v>
      </c>
      <c r="B50" s="1" t="s">
        <v>117</v>
      </c>
      <c r="C50" s="6">
        <v>17</v>
      </c>
      <c r="D50" s="3" t="s">
        <v>24</v>
      </c>
      <c r="E50" s="3"/>
      <c r="F50" s="3"/>
      <c r="G50" s="3"/>
      <c r="H50" s="3"/>
      <c r="I50" s="120"/>
    </row>
    <row r="51" spans="1:9" ht="14.4" hidden="1" x14ac:dyDescent="0.3">
      <c r="A51" s="33" t="s">
        <v>922</v>
      </c>
      <c r="B51" s="1" t="s">
        <v>125</v>
      </c>
      <c r="C51" s="6">
        <v>17</v>
      </c>
      <c r="D51" s="3"/>
      <c r="E51" s="3"/>
      <c r="F51" s="3"/>
      <c r="G51" s="3"/>
      <c r="H51" s="3"/>
      <c r="I51" s="120"/>
    </row>
    <row r="52" spans="1:9" ht="14.4" hidden="1" x14ac:dyDescent="0.3">
      <c r="A52" s="9" t="s">
        <v>978</v>
      </c>
      <c r="B52" s="61" t="s">
        <v>373</v>
      </c>
      <c r="C52" s="93">
        <v>17</v>
      </c>
      <c r="D52" s="48"/>
      <c r="E52" s="48"/>
      <c r="F52" s="48"/>
      <c r="G52" s="48"/>
      <c r="H52" s="48"/>
    </row>
    <row r="53" spans="1:9" ht="14.4" hidden="1" x14ac:dyDescent="0.3">
      <c r="A53" s="9" t="s">
        <v>977</v>
      </c>
      <c r="B53" s="9" t="s">
        <v>115</v>
      </c>
      <c r="C53" s="19">
        <v>17</v>
      </c>
      <c r="D53" s="3" t="s">
        <v>24</v>
      </c>
      <c r="E53" s="3"/>
      <c r="F53" s="3"/>
      <c r="G53" s="3"/>
      <c r="H53" s="3"/>
      <c r="I53" s="9"/>
    </row>
    <row r="54" spans="1:9" ht="14.4" hidden="1" x14ac:dyDescent="0.3">
      <c r="A54" s="256" t="s">
        <v>921</v>
      </c>
      <c r="B54" s="9" t="s">
        <v>367</v>
      </c>
      <c r="C54" s="19">
        <v>17</v>
      </c>
      <c r="D54" s="3" t="s">
        <v>24</v>
      </c>
      <c r="E54" s="3"/>
      <c r="F54" s="3"/>
      <c r="G54" s="3"/>
      <c r="H54" s="3"/>
      <c r="I54" s="9"/>
    </row>
    <row r="55" spans="1:9" ht="14.4" hidden="1" x14ac:dyDescent="0.3">
      <c r="A55" s="33" t="s">
        <v>922</v>
      </c>
      <c r="B55" s="146" t="s">
        <v>370</v>
      </c>
      <c r="C55" s="19">
        <v>17</v>
      </c>
      <c r="D55" s="3" t="s">
        <v>110</v>
      </c>
      <c r="E55" s="3" t="s">
        <v>110</v>
      </c>
      <c r="F55" s="3" t="s">
        <v>110</v>
      </c>
      <c r="G55" s="3" t="s">
        <v>110</v>
      </c>
      <c r="H55" s="3" t="s">
        <v>110</v>
      </c>
      <c r="I55" s="9"/>
    </row>
    <row r="56" spans="1:9" ht="14.4" hidden="1" x14ac:dyDescent="0.3">
      <c r="A56" s="9" t="s">
        <v>978</v>
      </c>
      <c r="B56" s="146" t="s">
        <v>376</v>
      </c>
      <c r="C56" s="19">
        <v>17</v>
      </c>
      <c r="D56" s="3"/>
      <c r="E56" s="3"/>
      <c r="F56" s="3"/>
      <c r="G56" s="3"/>
      <c r="H56" s="3"/>
      <c r="I56" s="9"/>
    </row>
    <row r="57" spans="1:9" ht="14.4" x14ac:dyDescent="0.3">
      <c r="A57" s="9" t="s">
        <v>977</v>
      </c>
      <c r="B57" s="1" t="s">
        <v>365</v>
      </c>
      <c r="C57" s="6">
        <v>17</v>
      </c>
      <c r="D57" s="78"/>
      <c r="E57" s="78"/>
      <c r="F57" s="78"/>
      <c r="G57" s="78" t="s">
        <v>16</v>
      </c>
      <c r="H57" s="78" t="s">
        <v>16</v>
      </c>
      <c r="I57" s="68"/>
    </row>
    <row r="58" spans="1:9" ht="14.4" hidden="1" x14ac:dyDescent="0.3">
      <c r="A58" s="256" t="s">
        <v>921</v>
      </c>
      <c r="B58" s="179" t="s">
        <v>137</v>
      </c>
      <c r="C58" s="95">
        <v>18</v>
      </c>
      <c r="D58" s="3" t="s">
        <v>28</v>
      </c>
      <c r="E58" s="3"/>
      <c r="F58" s="3"/>
      <c r="G58" s="3"/>
      <c r="H58" s="3"/>
      <c r="I58" s="68"/>
    </row>
    <row r="59" spans="1:9" ht="14.4" hidden="1" x14ac:dyDescent="0.3">
      <c r="A59" s="33" t="s">
        <v>922</v>
      </c>
      <c r="B59" s="68" t="s">
        <v>379</v>
      </c>
      <c r="C59" s="95">
        <v>18</v>
      </c>
      <c r="D59" s="78" t="s">
        <v>468</v>
      </c>
      <c r="E59" s="78" t="s">
        <v>468</v>
      </c>
      <c r="F59" s="78" t="s">
        <v>468</v>
      </c>
      <c r="G59" s="78" t="s">
        <v>468</v>
      </c>
      <c r="H59" s="78" t="s">
        <v>468</v>
      </c>
      <c r="I59" s="68" t="s">
        <v>468</v>
      </c>
    </row>
    <row r="60" spans="1:9" ht="14.4" hidden="1" x14ac:dyDescent="0.3">
      <c r="A60" s="9" t="s">
        <v>978</v>
      </c>
      <c r="B60" s="9" t="s">
        <v>130</v>
      </c>
      <c r="C60" s="19">
        <v>18</v>
      </c>
      <c r="D60" s="14"/>
      <c r="E60" s="14" t="s">
        <v>35</v>
      </c>
      <c r="F60" s="14" t="s">
        <v>35</v>
      </c>
      <c r="G60" s="14" t="s">
        <v>35</v>
      </c>
      <c r="H60" s="14" t="s">
        <v>35</v>
      </c>
      <c r="I60" s="9" t="s">
        <v>468</v>
      </c>
    </row>
    <row r="61" spans="1:9" ht="14.4" hidden="1" x14ac:dyDescent="0.3">
      <c r="A61" s="9" t="s">
        <v>977</v>
      </c>
      <c r="B61" s="9" t="s">
        <v>102</v>
      </c>
      <c r="C61" s="19">
        <v>18</v>
      </c>
      <c r="D61" s="14"/>
      <c r="E61" s="78"/>
      <c r="F61" s="78"/>
      <c r="G61" s="78"/>
      <c r="H61" s="78"/>
      <c r="I61" s="9"/>
    </row>
    <row r="62" spans="1:9" ht="14.4" hidden="1" x14ac:dyDescent="0.3">
      <c r="A62" s="256" t="s">
        <v>921</v>
      </c>
      <c r="B62" s="9" t="s">
        <v>559</v>
      </c>
      <c r="C62" s="19">
        <v>18</v>
      </c>
      <c r="D62" s="14"/>
      <c r="E62" s="14"/>
      <c r="F62" s="14"/>
      <c r="G62" s="14"/>
      <c r="H62" s="14"/>
      <c r="I62" s="9"/>
    </row>
    <row r="63" spans="1:9" ht="14.4" hidden="1" x14ac:dyDescent="0.3">
      <c r="A63" s="33" t="s">
        <v>922</v>
      </c>
      <c r="B63" s="179" t="s">
        <v>134</v>
      </c>
      <c r="C63" s="95">
        <v>18</v>
      </c>
      <c r="D63" s="78" t="s">
        <v>16</v>
      </c>
      <c r="E63" s="78"/>
      <c r="F63" s="78"/>
      <c r="G63" s="78"/>
      <c r="H63" s="78"/>
      <c r="I63" s="68"/>
    </row>
    <row r="64" spans="1:9" ht="14.4" hidden="1" x14ac:dyDescent="0.3">
      <c r="A64" s="9" t="s">
        <v>110</v>
      </c>
      <c r="B64" s="9" t="s">
        <v>128</v>
      </c>
      <c r="C64" s="19">
        <v>18</v>
      </c>
      <c r="D64" s="14"/>
      <c r="E64" s="14"/>
      <c r="F64" s="14"/>
      <c r="G64" s="14"/>
      <c r="H64" s="14"/>
      <c r="I64" s="9"/>
    </row>
    <row r="65" spans="1:9" ht="14.4" hidden="1" x14ac:dyDescent="0.3">
      <c r="A65" s="9" t="s">
        <v>977</v>
      </c>
      <c r="B65" s="9" t="s">
        <v>383</v>
      </c>
      <c r="C65" s="19">
        <v>19</v>
      </c>
      <c r="D65" s="14" t="s">
        <v>241</v>
      </c>
      <c r="E65" s="14" t="s">
        <v>241</v>
      </c>
      <c r="F65" s="14" t="s">
        <v>241</v>
      </c>
      <c r="G65" s="14" t="s">
        <v>241</v>
      </c>
      <c r="H65" s="14" t="s">
        <v>241</v>
      </c>
      <c r="I65" s="9"/>
    </row>
    <row r="66" spans="1:9" ht="14.4" hidden="1" x14ac:dyDescent="0.3">
      <c r="A66" s="256" t="s">
        <v>921</v>
      </c>
      <c r="B66" s="9" t="s">
        <v>385</v>
      </c>
      <c r="C66" s="19">
        <v>19</v>
      </c>
      <c r="D66" s="14" t="s">
        <v>241</v>
      </c>
      <c r="E66" s="14" t="s">
        <v>241</v>
      </c>
      <c r="F66" s="14" t="s">
        <v>241</v>
      </c>
      <c r="G66" s="14" t="s">
        <v>241</v>
      </c>
      <c r="H66" s="14" t="s">
        <v>241</v>
      </c>
      <c r="I66" s="9"/>
    </row>
    <row r="67" spans="1:9" ht="14.4" hidden="1" x14ac:dyDescent="0.3">
      <c r="A67" s="33" t="s">
        <v>922</v>
      </c>
      <c r="B67" s="9" t="s">
        <v>387</v>
      </c>
      <c r="C67" s="19">
        <v>19</v>
      </c>
      <c r="D67" s="14"/>
      <c r="E67" s="14"/>
      <c r="F67" s="14" t="s">
        <v>35</v>
      </c>
      <c r="G67" s="14" t="s">
        <v>35</v>
      </c>
      <c r="H67" s="14" t="s">
        <v>35</v>
      </c>
      <c r="I67" s="9"/>
    </row>
    <row r="68" spans="1:9" ht="14.4" hidden="1" x14ac:dyDescent="0.3">
      <c r="A68" s="9" t="s">
        <v>978</v>
      </c>
      <c r="B68" s="9" t="s">
        <v>175</v>
      </c>
      <c r="C68" s="19">
        <v>19</v>
      </c>
      <c r="D68" s="14"/>
      <c r="E68" s="14"/>
      <c r="F68" s="14"/>
      <c r="G68" s="14"/>
      <c r="H68" s="14"/>
      <c r="I68" s="9"/>
    </row>
    <row r="69" spans="1:9" ht="14.4" hidden="1" x14ac:dyDescent="0.3">
      <c r="A69" s="9" t="s">
        <v>977</v>
      </c>
      <c r="B69" s="9" t="s">
        <v>143</v>
      </c>
      <c r="C69" s="19">
        <v>19</v>
      </c>
      <c r="D69" s="14" t="s">
        <v>241</v>
      </c>
      <c r="E69" s="14" t="s">
        <v>241</v>
      </c>
      <c r="F69" s="14" t="s">
        <v>241</v>
      </c>
      <c r="G69" s="14" t="s">
        <v>241</v>
      </c>
      <c r="H69" s="14" t="s">
        <v>241</v>
      </c>
      <c r="I69" s="9"/>
    </row>
    <row r="70" spans="1:9" ht="14.4" hidden="1" x14ac:dyDescent="0.3">
      <c r="A70" s="256" t="s">
        <v>921</v>
      </c>
      <c r="B70" s="9" t="s">
        <v>140</v>
      </c>
      <c r="C70" s="19">
        <v>19</v>
      </c>
      <c r="D70" s="14"/>
      <c r="E70" s="14"/>
      <c r="F70" s="14"/>
      <c r="G70" s="14"/>
      <c r="H70" s="14"/>
      <c r="I70" s="9"/>
    </row>
    <row r="71" spans="1:9" ht="14.4" hidden="1" x14ac:dyDescent="0.3">
      <c r="A71" s="33" t="s">
        <v>922</v>
      </c>
      <c r="B71" s="9" t="s">
        <v>389</v>
      </c>
      <c r="C71" s="19">
        <v>19</v>
      </c>
      <c r="D71" s="14" t="s">
        <v>35</v>
      </c>
      <c r="E71" s="14" t="s">
        <v>35</v>
      </c>
      <c r="F71" s="14" t="s">
        <v>35</v>
      </c>
      <c r="G71" s="14" t="s">
        <v>35</v>
      </c>
      <c r="H71" s="14" t="s">
        <v>35</v>
      </c>
      <c r="I71" s="9"/>
    </row>
    <row r="72" spans="1:9" ht="14.4" hidden="1" x14ac:dyDescent="0.3">
      <c r="A72" s="9" t="s">
        <v>978</v>
      </c>
      <c r="B72" s="9" t="s">
        <v>390</v>
      </c>
      <c r="C72" s="19">
        <v>19</v>
      </c>
      <c r="D72" s="14"/>
      <c r="E72" s="14"/>
      <c r="F72" s="14"/>
      <c r="G72" s="14"/>
      <c r="H72" s="14"/>
      <c r="I72" s="9"/>
    </row>
    <row r="73" spans="1:9" ht="14.4" hidden="1" x14ac:dyDescent="0.3">
      <c r="A73" s="9" t="s">
        <v>977</v>
      </c>
      <c r="B73" s="9" t="s">
        <v>391</v>
      </c>
      <c r="C73" s="19">
        <v>19</v>
      </c>
      <c r="D73" s="14"/>
      <c r="E73" s="14"/>
      <c r="F73" s="14"/>
      <c r="G73" s="14"/>
      <c r="H73" s="14"/>
      <c r="I73" s="9"/>
    </row>
    <row r="74" spans="1:9" ht="14.4" hidden="1" x14ac:dyDescent="0.3">
      <c r="A74" s="256" t="s">
        <v>921</v>
      </c>
      <c r="B74" s="9" t="s">
        <v>149</v>
      </c>
      <c r="C74" s="19">
        <v>19</v>
      </c>
      <c r="D74" s="14" t="s">
        <v>24</v>
      </c>
      <c r="E74" s="14"/>
      <c r="F74" s="14"/>
      <c r="G74" s="14"/>
      <c r="H74" s="14"/>
      <c r="I74" s="9"/>
    </row>
    <row r="75" spans="1:9" ht="14.4" hidden="1" x14ac:dyDescent="0.3">
      <c r="A75" s="33" t="s">
        <v>922</v>
      </c>
      <c r="B75" s="9" t="s">
        <v>152</v>
      </c>
      <c r="C75" s="19">
        <v>19</v>
      </c>
      <c r="D75" s="14"/>
      <c r="E75" s="14"/>
      <c r="F75" s="14"/>
      <c r="G75" s="14"/>
      <c r="H75" s="14"/>
      <c r="I75" s="9"/>
    </row>
    <row r="76" spans="1:9" ht="14.4" hidden="1" x14ac:dyDescent="0.3">
      <c r="A76" s="9" t="s">
        <v>978</v>
      </c>
      <c r="B76" s="9" t="s">
        <v>151</v>
      </c>
      <c r="C76" s="19">
        <v>19</v>
      </c>
      <c r="D76" s="14"/>
      <c r="E76" s="14"/>
      <c r="F76" s="14"/>
      <c r="G76" s="14"/>
      <c r="H76" s="14"/>
      <c r="I76" s="9"/>
    </row>
    <row r="77" spans="1:9" ht="14.4" hidden="1" x14ac:dyDescent="0.3">
      <c r="A77" s="9" t="s">
        <v>977</v>
      </c>
      <c r="B77" s="9" t="s">
        <v>392</v>
      </c>
      <c r="C77" s="19">
        <v>19</v>
      </c>
      <c r="D77" s="14" t="s">
        <v>24</v>
      </c>
      <c r="E77" s="14"/>
      <c r="F77" s="14"/>
      <c r="G77" s="14"/>
      <c r="H77" s="14"/>
      <c r="I77" s="9"/>
    </row>
    <row r="78" spans="1:9" ht="14.4" hidden="1" x14ac:dyDescent="0.3">
      <c r="A78" s="256" t="s">
        <v>921</v>
      </c>
      <c r="B78" s="9" t="s">
        <v>144</v>
      </c>
      <c r="C78" s="19">
        <v>19</v>
      </c>
      <c r="D78" s="14"/>
      <c r="E78" s="14"/>
      <c r="F78" s="14"/>
      <c r="G78" s="14"/>
      <c r="H78" s="14"/>
      <c r="I78" s="9"/>
    </row>
    <row r="79" spans="1:9" ht="14.4" hidden="1" x14ac:dyDescent="0.3">
      <c r="A79" s="33" t="s">
        <v>922</v>
      </c>
      <c r="B79" s="9" t="s">
        <v>142</v>
      </c>
      <c r="C79" s="19">
        <v>19</v>
      </c>
      <c r="D79" s="14"/>
      <c r="E79" s="14"/>
      <c r="F79" s="14"/>
      <c r="G79" s="14"/>
      <c r="H79" s="14"/>
      <c r="I79" s="9"/>
    </row>
    <row r="80" spans="1:9" ht="14.4" hidden="1" x14ac:dyDescent="0.3">
      <c r="A80" s="79" t="s">
        <v>977</v>
      </c>
      <c r="B80" s="79" t="s">
        <v>1154</v>
      </c>
      <c r="C80" s="159">
        <v>20</v>
      </c>
      <c r="D80" s="346"/>
      <c r="E80" s="216"/>
      <c r="F80" s="216"/>
      <c r="G80" s="216"/>
      <c r="H80" s="216"/>
      <c r="I80" s="204"/>
    </row>
    <row r="81" spans="1:13" ht="15.6" hidden="1" x14ac:dyDescent="0.3">
      <c r="A81" s="256" t="s">
        <v>921</v>
      </c>
      <c r="B81" s="301" t="s">
        <v>399</v>
      </c>
      <c r="C81" s="299">
        <v>20</v>
      </c>
      <c r="D81" s="17" t="s">
        <v>28</v>
      </c>
      <c r="E81" s="17" t="s">
        <v>28</v>
      </c>
      <c r="F81" s="17" t="s">
        <v>28</v>
      </c>
      <c r="G81" s="17" t="s">
        <v>28</v>
      </c>
      <c r="H81" s="17" t="s">
        <v>28</v>
      </c>
      <c r="I81" s="146" t="s">
        <v>190</v>
      </c>
    </row>
    <row r="82" spans="1:13" ht="15.6" hidden="1" x14ac:dyDescent="0.3">
      <c r="A82" s="33" t="s">
        <v>922</v>
      </c>
      <c r="B82" s="1" t="s">
        <v>982</v>
      </c>
      <c r="C82" s="299">
        <v>20</v>
      </c>
      <c r="D82" s="3"/>
      <c r="E82" s="3"/>
      <c r="F82" s="3"/>
      <c r="G82" s="3"/>
      <c r="H82" s="3"/>
      <c r="I82" s="146"/>
    </row>
    <row r="83" spans="1:13" ht="15.6" hidden="1" x14ac:dyDescent="0.3">
      <c r="A83" s="9" t="s">
        <v>978</v>
      </c>
      <c r="B83" s="1" t="s">
        <v>1155</v>
      </c>
      <c r="C83" s="299">
        <v>20</v>
      </c>
      <c r="D83" s="17" t="s">
        <v>35</v>
      </c>
      <c r="E83" s="14"/>
      <c r="F83" s="14"/>
      <c r="G83" s="14"/>
      <c r="H83" s="14"/>
      <c r="I83" s="146"/>
    </row>
    <row r="84" spans="1:13" ht="15.6" hidden="1" x14ac:dyDescent="0.3">
      <c r="A84" s="9" t="s">
        <v>977</v>
      </c>
      <c r="B84" s="9" t="s">
        <v>1156</v>
      </c>
      <c r="C84" s="300">
        <v>20</v>
      </c>
      <c r="D84" s="3"/>
      <c r="E84" s="3" t="s">
        <v>16</v>
      </c>
      <c r="F84" s="3" t="s">
        <v>16</v>
      </c>
      <c r="G84" s="3"/>
      <c r="H84" s="3"/>
      <c r="I84" s="9"/>
    </row>
    <row r="85" spans="1:13" ht="14.4" hidden="1" x14ac:dyDescent="0.3">
      <c r="A85" s="256" t="s">
        <v>921</v>
      </c>
      <c r="B85" s="1" t="s">
        <v>396</v>
      </c>
      <c r="C85" s="6">
        <v>20</v>
      </c>
      <c r="D85" s="14"/>
      <c r="E85" s="14"/>
      <c r="F85" s="14" t="s">
        <v>16</v>
      </c>
      <c r="G85" s="14"/>
      <c r="H85" s="14"/>
      <c r="I85" s="9" t="s">
        <v>1151</v>
      </c>
    </row>
    <row r="86" spans="1:13" ht="14.4" hidden="1" x14ac:dyDescent="0.3">
      <c r="A86" s="33" t="s">
        <v>922</v>
      </c>
      <c r="B86" s="1" t="s">
        <v>400</v>
      </c>
      <c r="C86" s="6">
        <v>20</v>
      </c>
      <c r="D86" s="3"/>
      <c r="E86" s="3"/>
      <c r="F86" s="3"/>
      <c r="G86" s="3"/>
      <c r="H86" s="3"/>
      <c r="I86" s="9"/>
    </row>
    <row r="87" spans="1:13" ht="14.4" hidden="1" x14ac:dyDescent="0.3">
      <c r="A87" s="9" t="s">
        <v>978</v>
      </c>
      <c r="B87" s="197" t="s">
        <v>210</v>
      </c>
      <c r="C87" s="19" t="s">
        <v>203</v>
      </c>
      <c r="D87" s="14"/>
      <c r="E87" s="14"/>
      <c r="F87" s="14"/>
      <c r="G87" s="14"/>
      <c r="H87" s="14"/>
      <c r="I87" s="9"/>
    </row>
    <row r="88" spans="1:13" ht="14.4" hidden="1" x14ac:dyDescent="0.3">
      <c r="A88" s="9" t="s">
        <v>977</v>
      </c>
      <c r="B88" s="1" t="s">
        <v>200</v>
      </c>
      <c r="C88" s="6">
        <v>21</v>
      </c>
      <c r="D88" s="14" t="s">
        <v>24</v>
      </c>
      <c r="E88" s="14"/>
      <c r="F88" s="14"/>
      <c r="G88" s="14"/>
      <c r="H88" s="14"/>
      <c r="I88" s="9"/>
    </row>
    <row r="89" spans="1:13" ht="14.4" hidden="1" x14ac:dyDescent="0.3">
      <c r="A89" s="256" t="s">
        <v>921</v>
      </c>
      <c r="B89" s="1" t="s">
        <v>164</v>
      </c>
      <c r="C89" s="6">
        <v>21</v>
      </c>
      <c r="D89" s="14" t="s">
        <v>24</v>
      </c>
      <c r="E89" s="14"/>
      <c r="F89" s="14"/>
      <c r="G89" s="14"/>
      <c r="H89" s="14"/>
      <c r="I89" s="9"/>
    </row>
    <row r="90" spans="1:13" ht="14.4" hidden="1" x14ac:dyDescent="0.3">
      <c r="A90" s="9" t="s">
        <v>922</v>
      </c>
      <c r="B90" s="56" t="s">
        <v>189</v>
      </c>
      <c r="C90" s="6">
        <v>21</v>
      </c>
      <c r="D90" s="14" t="s">
        <v>24</v>
      </c>
      <c r="E90" s="14"/>
      <c r="F90" s="14"/>
      <c r="G90" s="14"/>
      <c r="H90" s="14"/>
      <c r="I90" s="9"/>
    </row>
    <row r="91" spans="1:13" ht="14.4" hidden="1" x14ac:dyDescent="0.3">
      <c r="A91" s="9" t="s">
        <v>110</v>
      </c>
      <c r="B91" s="56" t="s">
        <v>170</v>
      </c>
      <c r="C91" s="6">
        <v>21</v>
      </c>
      <c r="D91" s="14" t="s">
        <v>110</v>
      </c>
      <c r="E91" s="14" t="s">
        <v>110</v>
      </c>
      <c r="F91" s="14" t="s">
        <v>110</v>
      </c>
      <c r="G91" s="14" t="s">
        <v>110</v>
      </c>
      <c r="H91" s="14" t="s">
        <v>110</v>
      </c>
      <c r="I91" s="9" t="s">
        <v>1157</v>
      </c>
    </row>
    <row r="92" spans="1:13" ht="14.4" hidden="1" x14ac:dyDescent="0.3">
      <c r="A92" s="9" t="s">
        <v>977</v>
      </c>
      <c r="B92" s="56" t="s">
        <v>172</v>
      </c>
      <c r="C92" s="6">
        <v>21</v>
      </c>
      <c r="D92" s="3"/>
      <c r="E92" s="3"/>
      <c r="F92" s="3"/>
      <c r="G92" s="3"/>
      <c r="H92" s="3"/>
      <c r="I92" s="9"/>
    </row>
    <row r="93" spans="1:13" ht="14.4" hidden="1" x14ac:dyDescent="0.3">
      <c r="A93" s="9" t="s">
        <v>921</v>
      </c>
      <c r="B93" s="56" t="s">
        <v>176</v>
      </c>
      <c r="C93" s="6">
        <v>21</v>
      </c>
      <c r="D93" s="14"/>
      <c r="E93" s="3"/>
      <c r="F93" s="3"/>
      <c r="G93" s="3"/>
      <c r="H93" s="3"/>
      <c r="I93" s="3" t="s">
        <v>110</v>
      </c>
    </row>
    <row r="94" spans="1:13" ht="14.4" hidden="1" x14ac:dyDescent="0.3">
      <c r="A94" s="9" t="s">
        <v>922</v>
      </c>
      <c r="B94" s="56" t="s">
        <v>184</v>
      </c>
      <c r="C94" s="6">
        <v>21</v>
      </c>
      <c r="D94" s="14"/>
      <c r="E94" s="14"/>
      <c r="F94" s="14"/>
      <c r="G94" s="14"/>
      <c r="H94" s="14"/>
      <c r="I94" s="9"/>
    </row>
    <row r="95" spans="1:13" ht="14.4" hidden="1" x14ac:dyDescent="0.3">
      <c r="A95" s="9" t="s">
        <v>978</v>
      </c>
      <c r="B95" s="56" t="s">
        <v>197</v>
      </c>
      <c r="C95" s="6">
        <v>21</v>
      </c>
      <c r="D95" s="14"/>
      <c r="E95" s="14"/>
      <c r="F95" s="14"/>
      <c r="G95" s="14"/>
      <c r="H95" s="14"/>
      <c r="I95" s="9"/>
      <c r="M95">
        <f>104-9</f>
        <v>95</v>
      </c>
    </row>
    <row r="96" spans="1:13" ht="14.4" hidden="1" x14ac:dyDescent="0.3">
      <c r="A96" s="9" t="s">
        <v>977</v>
      </c>
      <c r="B96" s="56" t="s">
        <v>178</v>
      </c>
      <c r="C96" s="6">
        <v>21</v>
      </c>
      <c r="D96" s="14"/>
      <c r="E96" s="14"/>
      <c r="F96" s="14"/>
      <c r="G96" s="14"/>
      <c r="H96" s="14"/>
      <c r="I96" s="9"/>
    </row>
    <row r="97" spans="1:9" ht="14.4" hidden="1" x14ac:dyDescent="0.3">
      <c r="A97" s="9" t="s">
        <v>921</v>
      </c>
      <c r="B97" s="56" t="s">
        <v>183</v>
      </c>
      <c r="C97" s="6">
        <v>21</v>
      </c>
      <c r="D97" s="14"/>
      <c r="E97" s="14"/>
      <c r="F97" s="14"/>
      <c r="G97" s="14"/>
      <c r="H97" s="14"/>
      <c r="I97" s="9"/>
    </row>
    <row r="98" spans="1:9" ht="14.4" hidden="1" x14ac:dyDescent="0.3">
      <c r="A98" s="9" t="s">
        <v>922</v>
      </c>
      <c r="B98" s="56" t="s">
        <v>173</v>
      </c>
      <c r="C98" s="6">
        <v>21</v>
      </c>
      <c r="D98" s="3" t="s">
        <v>24</v>
      </c>
      <c r="E98" s="3"/>
      <c r="F98" s="3"/>
      <c r="G98" s="3"/>
      <c r="H98" s="3"/>
      <c r="I98" s="9"/>
    </row>
    <row r="99" spans="1:9" ht="14.4" hidden="1" x14ac:dyDescent="0.3">
      <c r="A99" s="9" t="s">
        <v>978</v>
      </c>
      <c r="B99" s="56" t="s">
        <v>188</v>
      </c>
      <c r="C99" s="6">
        <v>21</v>
      </c>
      <c r="D99" s="14"/>
      <c r="E99" s="14"/>
      <c r="F99" s="14"/>
      <c r="G99" s="14"/>
      <c r="H99" s="14"/>
      <c r="I99" s="9"/>
    </row>
    <row r="100" spans="1:9" ht="14.4" hidden="1" x14ac:dyDescent="0.3">
      <c r="A100" s="9" t="s">
        <v>977</v>
      </c>
      <c r="B100" s="56" t="s">
        <v>192</v>
      </c>
      <c r="C100" s="6">
        <v>21</v>
      </c>
      <c r="D100" s="14"/>
      <c r="E100" s="14"/>
      <c r="F100" s="14"/>
      <c r="G100" s="14"/>
      <c r="H100" s="14"/>
      <c r="I100" s="9" t="s">
        <v>1158</v>
      </c>
    </row>
    <row r="101" spans="1:9" ht="14.4" hidden="1" x14ac:dyDescent="0.3">
      <c r="A101" s="9" t="s">
        <v>921</v>
      </c>
      <c r="B101" s="56" t="s">
        <v>195</v>
      </c>
      <c r="C101" s="6">
        <v>21</v>
      </c>
      <c r="D101" s="14"/>
      <c r="E101" s="14"/>
      <c r="I101" s="9"/>
    </row>
    <row r="102" spans="1:9" ht="14.4" hidden="1" x14ac:dyDescent="0.3">
      <c r="A102" s="9" t="s">
        <v>922</v>
      </c>
      <c r="B102" s="56" t="s">
        <v>174</v>
      </c>
      <c r="C102" s="6">
        <v>21</v>
      </c>
      <c r="D102" s="14" t="s">
        <v>24</v>
      </c>
      <c r="E102" s="14"/>
      <c r="F102" s="14"/>
      <c r="G102" s="14"/>
      <c r="H102" s="14"/>
      <c r="I102" s="9"/>
    </row>
    <row r="103" spans="1:9" ht="14.4" hidden="1" x14ac:dyDescent="0.3">
      <c r="A103" s="9" t="s">
        <v>978</v>
      </c>
      <c r="B103" s="56" t="s">
        <v>199</v>
      </c>
      <c r="C103" s="6">
        <v>21</v>
      </c>
      <c r="D103" s="14"/>
      <c r="E103" s="14"/>
      <c r="F103" s="14"/>
      <c r="G103" s="14"/>
      <c r="H103" s="14"/>
      <c r="I103" s="9"/>
    </row>
    <row r="104" spans="1:9" ht="14.4" hidden="1" x14ac:dyDescent="0.3">
      <c r="A104" s="9" t="s">
        <v>977</v>
      </c>
      <c r="B104" s="61" t="s">
        <v>182</v>
      </c>
      <c r="C104" s="93">
        <v>21</v>
      </c>
      <c r="D104" s="78"/>
      <c r="E104" s="78"/>
      <c r="F104" s="78"/>
      <c r="G104" s="78" t="s">
        <v>16</v>
      </c>
      <c r="H104" s="78"/>
      <c r="I104" s="68" t="s">
        <v>1151</v>
      </c>
    </row>
    <row r="105" spans="1:9" ht="14.4" hidden="1" x14ac:dyDescent="0.3">
      <c r="A105" s="9" t="s">
        <v>921</v>
      </c>
      <c r="B105" s="146" t="s">
        <v>196</v>
      </c>
      <c r="C105" s="19">
        <v>21</v>
      </c>
      <c r="D105" s="14" t="s">
        <v>28</v>
      </c>
      <c r="E105" s="14"/>
      <c r="F105" s="14"/>
      <c r="G105" s="14"/>
      <c r="H105" s="14"/>
      <c r="I105" s="9"/>
    </row>
    <row r="106" spans="1:9" ht="14.4" hidden="1" x14ac:dyDescent="0.3">
      <c r="A106" s="9" t="s">
        <v>922</v>
      </c>
      <c r="B106" s="179" t="s">
        <v>201</v>
      </c>
      <c r="C106" s="95">
        <v>21</v>
      </c>
      <c r="D106" s="78" t="s">
        <v>28</v>
      </c>
      <c r="E106" s="78" t="s">
        <v>110</v>
      </c>
      <c r="F106" s="78" t="s">
        <v>110</v>
      </c>
      <c r="G106" s="78" t="s">
        <v>110</v>
      </c>
      <c r="H106" s="78" t="s">
        <v>110</v>
      </c>
      <c r="I106" s="9"/>
    </row>
    <row r="107" spans="1:9" ht="14.4" hidden="1" x14ac:dyDescent="0.3">
      <c r="A107" s="9" t="s">
        <v>978</v>
      </c>
      <c r="B107" s="56" t="s">
        <v>403</v>
      </c>
      <c r="C107" s="3">
        <v>22</v>
      </c>
      <c r="D107" s="78"/>
      <c r="E107" s="78"/>
      <c r="F107" s="78"/>
      <c r="G107" s="78"/>
      <c r="H107" s="78"/>
    </row>
    <row r="108" spans="1:9" ht="14.4" hidden="1" x14ac:dyDescent="0.3">
      <c r="A108" s="9" t="s">
        <v>977</v>
      </c>
      <c r="B108" s="56" t="s">
        <v>406</v>
      </c>
      <c r="C108" s="3">
        <v>22</v>
      </c>
      <c r="D108" s="78"/>
      <c r="E108" s="78"/>
      <c r="F108" s="78"/>
      <c r="G108" s="78"/>
      <c r="H108" s="78"/>
    </row>
    <row r="109" spans="1:9" ht="14.4" hidden="1" x14ac:dyDescent="0.3">
      <c r="A109" s="9" t="s">
        <v>921</v>
      </c>
      <c r="B109" s="56" t="s">
        <v>409</v>
      </c>
      <c r="C109" s="3">
        <v>22</v>
      </c>
      <c r="D109" s="78" t="s">
        <v>24</v>
      </c>
      <c r="E109" s="78"/>
      <c r="F109" s="78"/>
      <c r="G109" s="78"/>
      <c r="H109" s="78"/>
    </row>
    <row r="110" spans="1:9" ht="14.4" hidden="1" x14ac:dyDescent="0.3">
      <c r="A110" s="9" t="s">
        <v>922</v>
      </c>
      <c r="B110" s="56" t="s">
        <v>412</v>
      </c>
      <c r="C110" s="3">
        <v>22</v>
      </c>
      <c r="D110" s="78" t="s">
        <v>16</v>
      </c>
      <c r="E110" s="78" t="s">
        <v>16</v>
      </c>
      <c r="F110" s="78" t="s">
        <v>16</v>
      </c>
      <c r="G110" s="78"/>
      <c r="H110" s="78"/>
    </row>
    <row r="111" spans="1:9" ht="14.4" x14ac:dyDescent="0.3">
      <c r="A111" s="9" t="s">
        <v>978</v>
      </c>
      <c r="B111" s="56" t="s">
        <v>415</v>
      </c>
      <c r="C111" s="3">
        <v>22</v>
      </c>
      <c r="D111" s="78" t="s">
        <v>16</v>
      </c>
      <c r="E111" s="78" t="s">
        <v>35</v>
      </c>
      <c r="F111" s="78" t="s">
        <v>16</v>
      </c>
      <c r="G111" s="78" t="s">
        <v>16</v>
      </c>
      <c r="H111" s="78" t="s">
        <v>16</v>
      </c>
      <c r="I111" t="s">
        <v>1159</v>
      </c>
    </row>
    <row r="112" spans="1:9" ht="14.4" hidden="1" x14ac:dyDescent="0.3">
      <c r="A112" s="9" t="s">
        <v>977</v>
      </c>
      <c r="B112" s="56" t="s">
        <v>418</v>
      </c>
      <c r="C112" s="3">
        <v>22</v>
      </c>
      <c r="D112" s="78" t="s">
        <v>28</v>
      </c>
      <c r="E112" s="78" t="s">
        <v>28</v>
      </c>
      <c r="F112" s="78" t="s">
        <v>28</v>
      </c>
      <c r="G112" s="78" t="s">
        <v>16</v>
      </c>
      <c r="H112" s="78" t="s">
        <v>28</v>
      </c>
    </row>
    <row r="113" spans="1:9" ht="14.4" hidden="1" x14ac:dyDescent="0.3">
      <c r="A113" s="9" t="s">
        <v>921</v>
      </c>
      <c r="B113" s="56" t="s">
        <v>421</v>
      </c>
      <c r="C113" s="3">
        <v>22</v>
      </c>
      <c r="D113" s="78" t="s">
        <v>35</v>
      </c>
      <c r="E113" s="78"/>
      <c r="F113" s="78"/>
      <c r="G113" s="78"/>
      <c r="H113" s="78"/>
    </row>
    <row r="114" spans="1:9" ht="14.4" hidden="1" x14ac:dyDescent="0.3">
      <c r="A114" s="9" t="s">
        <v>922</v>
      </c>
      <c r="B114" s="56" t="s">
        <v>402</v>
      </c>
      <c r="C114" s="3">
        <v>22</v>
      </c>
      <c r="D114" s="78" t="s">
        <v>24</v>
      </c>
      <c r="E114" s="78"/>
      <c r="F114" s="78"/>
      <c r="G114" s="78"/>
      <c r="H114" s="78"/>
    </row>
    <row r="115" spans="1:9" ht="14.4" x14ac:dyDescent="0.3">
      <c r="A115" s="9" t="s">
        <v>978</v>
      </c>
      <c r="B115" s="56" t="s">
        <v>405</v>
      </c>
      <c r="C115" s="3">
        <v>22</v>
      </c>
      <c r="D115" s="78" t="s">
        <v>35</v>
      </c>
      <c r="E115" s="78" t="s">
        <v>35</v>
      </c>
      <c r="F115" s="78" t="s">
        <v>16</v>
      </c>
      <c r="G115" s="78" t="s">
        <v>16</v>
      </c>
      <c r="H115" s="78" t="s">
        <v>16</v>
      </c>
      <c r="I115" t="s">
        <v>1160</v>
      </c>
    </row>
    <row r="116" spans="1:9" ht="14.4" hidden="1" x14ac:dyDescent="0.3">
      <c r="A116" s="9" t="s">
        <v>977</v>
      </c>
      <c r="B116" s="56" t="s">
        <v>408</v>
      </c>
      <c r="C116" s="3">
        <v>22</v>
      </c>
      <c r="D116" s="78"/>
      <c r="E116" s="78"/>
      <c r="F116" s="78"/>
      <c r="G116" s="78"/>
      <c r="H116" s="78"/>
    </row>
    <row r="117" spans="1:9" ht="14.4" hidden="1" x14ac:dyDescent="0.3">
      <c r="A117" s="9" t="s">
        <v>921</v>
      </c>
      <c r="B117" s="56" t="s">
        <v>417</v>
      </c>
      <c r="C117" s="3">
        <v>22</v>
      </c>
      <c r="D117" s="78"/>
      <c r="E117" s="78"/>
      <c r="F117" s="78"/>
      <c r="G117" s="78"/>
      <c r="H117" s="78"/>
    </row>
    <row r="118" spans="1:9" ht="14.4" hidden="1" x14ac:dyDescent="0.3">
      <c r="A118" s="9" t="s">
        <v>922</v>
      </c>
      <c r="B118" s="56" t="s">
        <v>420</v>
      </c>
      <c r="C118" s="3">
        <v>22</v>
      </c>
      <c r="D118" s="78" t="s">
        <v>110</v>
      </c>
      <c r="E118" s="78" t="s">
        <v>110</v>
      </c>
      <c r="F118" s="78" t="s">
        <v>110</v>
      </c>
      <c r="G118" s="78" t="s">
        <v>110</v>
      </c>
      <c r="H118" s="78" t="s">
        <v>110</v>
      </c>
    </row>
    <row r="119" spans="1:9" ht="14.4" hidden="1" x14ac:dyDescent="0.3">
      <c r="A119" s="9" t="s">
        <v>978</v>
      </c>
      <c r="B119" s="56" t="s">
        <v>401</v>
      </c>
      <c r="C119" s="3">
        <v>22</v>
      </c>
      <c r="D119" s="78"/>
      <c r="E119" s="78"/>
      <c r="F119" s="78"/>
      <c r="G119" s="78"/>
      <c r="H119" s="78"/>
    </row>
    <row r="120" spans="1:9" ht="14.4" hidden="1" x14ac:dyDescent="0.3">
      <c r="A120" s="9" t="s">
        <v>110</v>
      </c>
      <c r="B120" s="56" t="s">
        <v>404</v>
      </c>
      <c r="C120" s="3">
        <v>22</v>
      </c>
      <c r="D120" s="14" t="s">
        <v>241</v>
      </c>
      <c r="E120" s="78" t="s">
        <v>241</v>
      </c>
      <c r="F120" s="78" t="s">
        <v>241</v>
      </c>
      <c r="G120" s="78" t="s">
        <v>241</v>
      </c>
      <c r="H120" s="78" t="s">
        <v>241</v>
      </c>
    </row>
    <row r="121" spans="1:9" ht="14.4" hidden="1" x14ac:dyDescent="0.3">
      <c r="A121" s="9" t="s">
        <v>921</v>
      </c>
      <c r="B121" s="56" t="s">
        <v>407</v>
      </c>
      <c r="C121" s="3">
        <v>22</v>
      </c>
      <c r="D121" s="78"/>
      <c r="E121" s="78"/>
      <c r="F121" s="78"/>
      <c r="G121" s="78"/>
      <c r="H121" s="78"/>
    </row>
    <row r="122" spans="1:9" ht="14.4" hidden="1" x14ac:dyDescent="0.3">
      <c r="A122" s="9" t="s">
        <v>922</v>
      </c>
      <c r="B122" s="56" t="s">
        <v>410</v>
      </c>
      <c r="C122" s="3">
        <v>22</v>
      </c>
      <c r="D122" s="78" t="s">
        <v>239</v>
      </c>
      <c r="E122" s="78" t="s">
        <v>239</v>
      </c>
      <c r="F122" s="78" t="s">
        <v>239</v>
      </c>
      <c r="G122" s="78" t="s">
        <v>239</v>
      </c>
      <c r="H122" s="78" t="s">
        <v>239</v>
      </c>
      <c r="I122" t="s">
        <v>468</v>
      </c>
    </row>
    <row r="123" spans="1:9" ht="14.4" hidden="1" x14ac:dyDescent="0.3">
      <c r="A123" s="9" t="s">
        <v>978</v>
      </c>
      <c r="B123" s="56" t="s">
        <v>416</v>
      </c>
      <c r="C123" s="3">
        <v>22</v>
      </c>
      <c r="D123" s="14"/>
      <c r="E123" s="14"/>
      <c r="F123" s="14"/>
      <c r="G123" s="14" t="s">
        <v>16</v>
      </c>
      <c r="H123" s="14"/>
    </row>
    <row r="124" spans="1:9" ht="14.4" hidden="1" x14ac:dyDescent="0.3">
      <c r="A124" s="9" t="s">
        <v>977</v>
      </c>
      <c r="B124" s="56" t="s">
        <v>419</v>
      </c>
      <c r="C124" s="3">
        <v>22</v>
      </c>
      <c r="D124" s="14"/>
      <c r="E124" s="14"/>
      <c r="F124" s="14"/>
      <c r="G124" s="14"/>
      <c r="H124" s="14"/>
    </row>
    <row r="125" spans="1:9" ht="14.4" hidden="1" x14ac:dyDescent="0.3">
      <c r="A125" s="9" t="s">
        <v>921</v>
      </c>
      <c r="B125" s="56" t="s">
        <v>422</v>
      </c>
      <c r="C125" s="3">
        <v>22</v>
      </c>
      <c r="D125" s="14"/>
      <c r="E125" s="14"/>
      <c r="F125" s="14" t="s">
        <v>16</v>
      </c>
      <c r="G125" s="14"/>
      <c r="H125" s="14"/>
    </row>
    <row r="126" spans="1:9" ht="14.4" hidden="1" x14ac:dyDescent="0.3">
      <c r="A126" s="9" t="s">
        <v>978</v>
      </c>
      <c r="B126" s="56" t="s">
        <v>424</v>
      </c>
      <c r="C126" s="6">
        <v>23</v>
      </c>
      <c r="D126" s="14" t="s">
        <v>16</v>
      </c>
      <c r="E126" s="14"/>
      <c r="F126" s="14"/>
      <c r="G126" s="14"/>
      <c r="H126" s="14"/>
    </row>
    <row r="127" spans="1:9" ht="14.4" hidden="1" x14ac:dyDescent="0.3">
      <c r="A127" s="9" t="s">
        <v>977</v>
      </c>
      <c r="B127" s="56" t="s">
        <v>425</v>
      </c>
      <c r="C127" s="6">
        <v>23</v>
      </c>
      <c r="D127" s="14" t="s">
        <v>28</v>
      </c>
      <c r="E127" s="14" t="s">
        <v>28</v>
      </c>
      <c r="F127" s="14" t="s">
        <v>16</v>
      </c>
      <c r="G127" s="14" t="s">
        <v>28</v>
      </c>
      <c r="H127" s="14" t="s">
        <v>28</v>
      </c>
    </row>
    <row r="128" spans="1:9" ht="14.4" hidden="1" x14ac:dyDescent="0.3">
      <c r="A128" s="9" t="s">
        <v>921</v>
      </c>
      <c r="B128" s="56" t="s">
        <v>426</v>
      </c>
      <c r="C128" s="6">
        <v>23</v>
      </c>
      <c r="D128" s="14"/>
      <c r="E128" s="14"/>
      <c r="F128" s="14"/>
      <c r="G128" s="14"/>
      <c r="H128" s="14"/>
    </row>
    <row r="129" spans="1:8" ht="14.4" hidden="1" x14ac:dyDescent="0.3">
      <c r="A129" s="9" t="s">
        <v>922</v>
      </c>
      <c r="B129" s="56" t="s">
        <v>427</v>
      </c>
      <c r="C129" s="6">
        <v>23</v>
      </c>
      <c r="D129" s="14" t="s">
        <v>16</v>
      </c>
      <c r="E129" s="14" t="s">
        <v>16</v>
      </c>
      <c r="F129" s="14" t="s">
        <v>110</v>
      </c>
      <c r="G129" s="14" t="s">
        <v>110</v>
      </c>
      <c r="H129" s="14" t="s">
        <v>110</v>
      </c>
    </row>
    <row r="130" spans="1:8" ht="14.4" hidden="1" x14ac:dyDescent="0.3">
      <c r="A130" s="9" t="s">
        <v>978</v>
      </c>
      <c r="B130" s="56" t="s">
        <v>428</v>
      </c>
      <c r="C130" s="6">
        <v>23</v>
      </c>
      <c r="D130" s="14"/>
      <c r="E130" s="14" t="s">
        <v>110</v>
      </c>
      <c r="F130" s="14" t="s">
        <v>110</v>
      </c>
      <c r="G130" s="14" t="s">
        <v>110</v>
      </c>
      <c r="H130" s="14" t="s">
        <v>110</v>
      </c>
    </row>
    <row r="131" spans="1:8" ht="14.4" hidden="1" x14ac:dyDescent="0.3">
      <c r="A131" s="9" t="s">
        <v>977</v>
      </c>
      <c r="B131" s="56" t="s">
        <v>429</v>
      </c>
      <c r="C131" s="6">
        <v>23</v>
      </c>
      <c r="D131" s="14" t="s">
        <v>24</v>
      </c>
      <c r="E131" s="14"/>
      <c r="F131" s="14"/>
      <c r="G131" s="14"/>
      <c r="H131" s="14"/>
    </row>
    <row r="132" spans="1:8" ht="14.4" hidden="1" x14ac:dyDescent="0.3">
      <c r="A132" s="9" t="s">
        <v>921</v>
      </c>
      <c r="B132" s="56" t="s">
        <v>430</v>
      </c>
      <c r="C132" s="6">
        <v>23</v>
      </c>
      <c r="D132" s="14" t="s">
        <v>24</v>
      </c>
      <c r="E132" s="14"/>
      <c r="F132" s="14"/>
      <c r="G132" s="14"/>
      <c r="H132" s="14"/>
    </row>
    <row r="133" spans="1:8" ht="14.4" hidden="1" x14ac:dyDescent="0.3">
      <c r="A133" s="9" t="s">
        <v>922</v>
      </c>
      <c r="B133" s="56" t="s">
        <v>431</v>
      </c>
      <c r="C133" s="6">
        <v>23</v>
      </c>
      <c r="D133" s="14" t="s">
        <v>28</v>
      </c>
      <c r="E133" s="14" t="s">
        <v>28</v>
      </c>
      <c r="F133" s="14" t="s">
        <v>28</v>
      </c>
      <c r="G133" s="14" t="s">
        <v>28</v>
      </c>
      <c r="H133" s="14" t="s">
        <v>28</v>
      </c>
    </row>
    <row r="134" spans="1:8" ht="14.4" hidden="1" x14ac:dyDescent="0.3">
      <c r="A134" s="9" t="s">
        <v>978</v>
      </c>
      <c r="B134" s="56" t="s">
        <v>432</v>
      </c>
      <c r="C134" s="6">
        <v>23</v>
      </c>
      <c r="D134" s="14"/>
      <c r="E134" s="14"/>
      <c r="F134" s="14"/>
      <c r="G134" s="14"/>
      <c r="H134" s="14"/>
    </row>
    <row r="135" spans="1:8" ht="14.4" hidden="1" x14ac:dyDescent="0.3">
      <c r="A135" s="9" t="s">
        <v>977</v>
      </c>
      <c r="B135" s="56" t="s">
        <v>433</v>
      </c>
      <c r="C135" s="6">
        <v>23</v>
      </c>
      <c r="D135" s="14"/>
      <c r="E135" s="14" t="s">
        <v>110</v>
      </c>
      <c r="F135" s="14" t="s">
        <v>110</v>
      </c>
      <c r="G135" s="14" t="s">
        <v>110</v>
      </c>
      <c r="H135" s="14" t="s">
        <v>110</v>
      </c>
    </row>
    <row r="136" spans="1:8" ht="14.4" hidden="1" x14ac:dyDescent="0.3">
      <c r="A136" s="9" t="s">
        <v>921</v>
      </c>
      <c r="B136" s="56" t="s">
        <v>434</v>
      </c>
      <c r="C136" s="6">
        <v>23</v>
      </c>
      <c r="D136" s="14" t="s">
        <v>110</v>
      </c>
      <c r="E136" s="14" t="s">
        <v>110</v>
      </c>
      <c r="F136" s="14" t="s">
        <v>110</v>
      </c>
      <c r="G136" s="14" t="s">
        <v>110</v>
      </c>
      <c r="H136" s="14" t="s">
        <v>110</v>
      </c>
    </row>
    <row r="137" spans="1:8" ht="14.4" hidden="1" x14ac:dyDescent="0.3">
      <c r="A137" s="9" t="s">
        <v>922</v>
      </c>
      <c r="B137" s="56" t="s">
        <v>435</v>
      </c>
      <c r="C137" s="6">
        <v>23</v>
      </c>
      <c r="D137" s="14" t="s">
        <v>28</v>
      </c>
      <c r="E137" s="14" t="s">
        <v>28</v>
      </c>
      <c r="F137" s="14" t="s">
        <v>28</v>
      </c>
      <c r="G137" s="14" t="s">
        <v>28</v>
      </c>
      <c r="H137" s="14" t="s">
        <v>28</v>
      </c>
    </row>
    <row r="138" spans="1:8" ht="14.4" hidden="1" x14ac:dyDescent="0.3">
      <c r="A138" s="9" t="s">
        <v>977</v>
      </c>
      <c r="B138" s="56" t="s">
        <v>437</v>
      </c>
      <c r="C138" s="6">
        <v>23</v>
      </c>
      <c r="D138" s="14"/>
      <c r="E138" s="14"/>
      <c r="F138" s="14"/>
      <c r="G138" s="14"/>
      <c r="H138" s="14"/>
    </row>
    <row r="139" spans="1:8" ht="14.4" hidden="1" x14ac:dyDescent="0.3">
      <c r="A139" s="9" t="s">
        <v>921</v>
      </c>
      <c r="B139" s="56" t="s">
        <v>438</v>
      </c>
      <c r="C139" s="6">
        <v>23</v>
      </c>
      <c r="D139" s="14" t="s">
        <v>110</v>
      </c>
      <c r="E139" s="14" t="s">
        <v>110</v>
      </c>
      <c r="F139" s="14" t="s">
        <v>110</v>
      </c>
      <c r="G139" s="14" t="s">
        <v>110</v>
      </c>
      <c r="H139" s="14" t="s">
        <v>110</v>
      </c>
    </row>
    <row r="140" spans="1:8" ht="14.4" x14ac:dyDescent="0.3">
      <c r="A140" s="9" t="s">
        <v>922</v>
      </c>
      <c r="B140" s="56" t="s">
        <v>439</v>
      </c>
      <c r="C140" s="6">
        <v>23</v>
      </c>
      <c r="D140" s="14" t="s">
        <v>28</v>
      </c>
      <c r="E140" s="14" t="s">
        <v>16</v>
      </c>
      <c r="F140" s="14" t="s">
        <v>16</v>
      </c>
      <c r="G140" s="14" t="s">
        <v>16</v>
      </c>
      <c r="H140" s="14" t="s">
        <v>16</v>
      </c>
    </row>
    <row r="141" spans="1:8" ht="14.4" hidden="1" x14ac:dyDescent="0.3">
      <c r="A141" s="9" t="s">
        <v>978</v>
      </c>
      <c r="B141" s="56" t="s">
        <v>440</v>
      </c>
      <c r="C141" s="6">
        <v>23</v>
      </c>
      <c r="D141" s="14"/>
      <c r="E141" s="14"/>
      <c r="F141" s="14"/>
      <c r="G141" s="14"/>
      <c r="H141" s="14"/>
    </row>
    <row r="142" spans="1:8" ht="14.4" hidden="1" x14ac:dyDescent="0.3">
      <c r="A142" s="9" t="s">
        <v>977</v>
      </c>
      <c r="B142" s="56" t="s">
        <v>441</v>
      </c>
      <c r="C142" s="6">
        <v>23</v>
      </c>
      <c r="D142" s="14"/>
      <c r="E142" s="14" t="s">
        <v>110</v>
      </c>
      <c r="F142" s="14" t="s">
        <v>110</v>
      </c>
      <c r="G142" s="14" t="s">
        <v>110</v>
      </c>
      <c r="H142" s="14" t="s">
        <v>110</v>
      </c>
    </row>
    <row r="143" spans="1:8" ht="14.4" hidden="1" x14ac:dyDescent="0.3">
      <c r="A143" s="9" t="s">
        <v>921</v>
      </c>
      <c r="B143" s="56" t="s">
        <v>442</v>
      </c>
      <c r="C143" s="6">
        <v>23</v>
      </c>
      <c r="D143" s="14"/>
      <c r="E143" s="14"/>
      <c r="F143" s="14"/>
      <c r="G143" s="14"/>
      <c r="H143" s="14"/>
    </row>
    <row r="144" spans="1:8" ht="14.4" hidden="1" x14ac:dyDescent="0.3">
      <c r="A144" s="9" t="s">
        <v>922</v>
      </c>
      <c r="B144" s="56" t="s">
        <v>443</v>
      </c>
      <c r="C144" s="6">
        <v>23</v>
      </c>
      <c r="D144" s="14" t="s">
        <v>24</v>
      </c>
      <c r="E144" s="14"/>
      <c r="F144" s="14"/>
      <c r="G144" s="14"/>
      <c r="H144" s="14"/>
    </row>
    <row r="145" spans="1:9" ht="14.4" hidden="1" x14ac:dyDescent="0.3">
      <c r="A145" s="9" t="s">
        <v>978</v>
      </c>
      <c r="B145" s="56" t="s">
        <v>444</v>
      </c>
      <c r="C145" s="6">
        <v>23</v>
      </c>
      <c r="D145" s="14"/>
      <c r="E145" s="14"/>
      <c r="F145" s="14"/>
      <c r="G145" s="14"/>
      <c r="H145" s="14"/>
    </row>
    <row r="146" spans="1:9" ht="14.4" hidden="1" x14ac:dyDescent="0.3">
      <c r="A146" s="9" t="s">
        <v>978</v>
      </c>
      <c r="B146" s="56" t="s">
        <v>445</v>
      </c>
      <c r="C146" s="6">
        <v>23</v>
      </c>
      <c r="D146" s="14" t="s">
        <v>28</v>
      </c>
      <c r="E146" s="14" t="s">
        <v>28</v>
      </c>
      <c r="F146" s="14" t="s">
        <v>110</v>
      </c>
      <c r="G146" s="14" t="s">
        <v>110</v>
      </c>
      <c r="H146" s="14" t="s">
        <v>110</v>
      </c>
    </row>
    <row r="147" spans="1:9" ht="14.4" x14ac:dyDescent="0.3">
      <c r="A147" s="9" t="s">
        <v>922</v>
      </c>
      <c r="B147" s="56" t="s">
        <v>280</v>
      </c>
      <c r="C147" s="6" t="s">
        <v>7</v>
      </c>
      <c r="D147" s="14"/>
      <c r="E147" s="14"/>
      <c r="F147" s="14"/>
      <c r="G147" s="14"/>
      <c r="H147" s="14" t="s">
        <v>16</v>
      </c>
    </row>
    <row r="148" spans="1:9" ht="14.4" hidden="1" x14ac:dyDescent="0.3">
      <c r="A148" s="9" t="s">
        <v>922</v>
      </c>
      <c r="B148" s="1" t="s">
        <v>317</v>
      </c>
      <c r="C148" s="6">
        <v>13</v>
      </c>
      <c r="D148" s="14" t="s">
        <v>16</v>
      </c>
      <c r="E148" s="14"/>
      <c r="F148" s="14"/>
      <c r="G148" s="14"/>
      <c r="H148" s="14"/>
    </row>
    <row r="149" spans="1:9" ht="14.4" hidden="1" x14ac:dyDescent="0.3">
      <c r="A149" s="9" t="s">
        <v>921</v>
      </c>
      <c r="B149" s="56" t="s">
        <v>446</v>
      </c>
      <c r="C149" s="6">
        <v>23</v>
      </c>
      <c r="D149" s="14" t="s">
        <v>16</v>
      </c>
      <c r="E149" s="14" t="s">
        <v>16</v>
      </c>
      <c r="F149" s="14" t="s">
        <v>28</v>
      </c>
      <c r="G149" s="14" t="s">
        <v>28</v>
      </c>
      <c r="H149" s="14" t="s">
        <v>28</v>
      </c>
    </row>
    <row r="150" spans="1:9" ht="14.4" x14ac:dyDescent="0.3">
      <c r="C150" s="26"/>
    </row>
    <row r="152" spans="1:9" ht="14.4" customHeight="1" x14ac:dyDescent="0.3">
      <c r="B152" s="380" t="s">
        <v>1025</v>
      </c>
      <c r="C152" s="381"/>
      <c r="D152" s="14">
        <f>+COUNTIF(D4:D151,"OK")</f>
        <v>15</v>
      </c>
      <c r="E152" s="14">
        <f t="shared" ref="E152:H152" si="0">+COUNTIF(E4:E151,"OK")</f>
        <v>7</v>
      </c>
      <c r="F152" s="14">
        <f t="shared" si="0"/>
        <v>9</v>
      </c>
      <c r="G152" s="14">
        <f>+COUNTIF(G4:G151,"OK")</f>
        <v>8</v>
      </c>
      <c r="H152" s="14">
        <f t="shared" si="0"/>
        <v>9</v>
      </c>
      <c r="I152">
        <f>+SUM(D152:H152)</f>
        <v>48</v>
      </c>
    </row>
    <row r="153" spans="1:9" ht="14.4" x14ac:dyDescent="0.3">
      <c r="B153" s="382" t="s">
        <v>902</v>
      </c>
      <c r="C153" s="383"/>
      <c r="D153" s="347">
        <v>15</v>
      </c>
      <c r="E153" s="347">
        <v>10</v>
      </c>
      <c r="F153" s="347">
        <v>10</v>
      </c>
      <c r="G153" s="347">
        <v>10</v>
      </c>
      <c r="H153" s="347">
        <v>10</v>
      </c>
      <c r="I153">
        <f>+SUM(D153:H153)</f>
        <v>55</v>
      </c>
    </row>
  </sheetData>
  <autoFilter ref="A3:N149" xr:uid="{ED41B47E-49DF-48FD-81E6-5A02A9A81C3F}">
    <filterColumn colId="7">
      <filters>
        <filter val="OK"/>
      </filters>
    </filterColumn>
    <filterColumn colId="10" showButton="0"/>
  </autoFilter>
  <mergeCells count="4">
    <mergeCell ref="A2:C2"/>
    <mergeCell ref="K3:L3"/>
    <mergeCell ref="B152:C152"/>
    <mergeCell ref="B153:C153"/>
  </mergeCells>
  <conditionalFormatting sqref="B3:C3">
    <cfRule type="expression" dxfId="408" priority="65">
      <formula>COUNTIF($A3:Y3, "NI")</formula>
    </cfRule>
  </conditionalFormatting>
  <conditionalFormatting sqref="B4:C8 B11:C15 B32:C37 B17:C30">
    <cfRule type="expression" dxfId="407" priority="66">
      <formula>COUNTIF($B4:AB4, "C")</formula>
    </cfRule>
    <cfRule type="expression" dxfId="406" priority="67">
      <formula>COUNTIF($B4:AB4, "Q")</formula>
    </cfRule>
    <cfRule type="expression" dxfId="405" priority="68">
      <formula>COUNTIF($B4:AB4, "M")</formula>
    </cfRule>
    <cfRule type="expression" dxfId="404" priority="69">
      <formula>COUNTIF($B4:AB4, "A")</formula>
    </cfRule>
    <cfRule type="expression" dxfId="403" priority="70">
      <formula>COUNTIF($A4:AB4, "NI")</formula>
    </cfRule>
  </conditionalFormatting>
  <conditionalFormatting sqref="B10:C10 C61 B61:B64 B39:C60">
    <cfRule type="expression" dxfId="402" priority="26">
      <formula>COUNTIF($B10:Z10, "C")</formula>
    </cfRule>
    <cfRule type="expression" dxfId="401" priority="27">
      <formula>COUNTIF($B10:Z10, "Q")</formula>
    </cfRule>
    <cfRule type="expression" dxfId="400" priority="28">
      <formula>COUNTIF($B10:Z10, "M")</formula>
    </cfRule>
    <cfRule type="expression" dxfId="399" priority="29">
      <formula>COUNTIF($B10:Z10, "A")</formula>
    </cfRule>
    <cfRule type="expression" dxfId="398" priority="30">
      <formula>COUNTIF($A10:Z10, "NI")</formula>
    </cfRule>
  </conditionalFormatting>
  <conditionalFormatting sqref="B16:C16">
    <cfRule type="expression" dxfId="397" priority="36">
      <formula>COUNTIF($B16:Z16, "C")</formula>
    </cfRule>
    <cfRule type="expression" dxfId="396" priority="37">
      <formula>COUNTIF($B16:Z16, "Q")</formula>
    </cfRule>
    <cfRule type="expression" dxfId="395" priority="38">
      <formula>COUNTIF($B16:Z16, "M")</formula>
    </cfRule>
    <cfRule type="expression" dxfId="394" priority="39">
      <formula>COUNTIF($B16:Z16, "A")</formula>
    </cfRule>
    <cfRule type="expression" dxfId="393" priority="40">
      <formula>COUNTIF($A16:Z16, "NI")</formula>
    </cfRule>
  </conditionalFormatting>
  <conditionalFormatting sqref="B31:C31">
    <cfRule type="expression" dxfId="392" priority="31">
      <formula>COUNTIF($B31:Z31, "C")</formula>
    </cfRule>
    <cfRule type="expression" dxfId="391" priority="32">
      <formula>COUNTIF($B31:Z31, "Q")</formula>
    </cfRule>
    <cfRule type="expression" dxfId="390" priority="33">
      <formula>COUNTIF($B31:Z31, "M")</formula>
    </cfRule>
    <cfRule type="expression" dxfId="389" priority="34">
      <formula>COUNTIF($B31:Z31, "A")</formula>
    </cfRule>
    <cfRule type="expression" dxfId="388" priority="35">
      <formula>COUNTIF($A31:Z31, "NI")</formula>
    </cfRule>
  </conditionalFormatting>
  <conditionalFormatting sqref="B80:C81 B87:C87 B150:C150">
    <cfRule type="expression" dxfId="387" priority="56">
      <formula>COUNTIF($B80:Z80, "C")</formula>
    </cfRule>
    <cfRule type="expression" dxfId="386" priority="57">
      <formula>COUNTIF($B80:Z80, "Q")</formula>
    </cfRule>
    <cfRule type="expression" dxfId="385" priority="58">
      <formula>COUNTIF($B80:Z80, "M")</formula>
    </cfRule>
    <cfRule type="expression" dxfId="384" priority="59">
      <formula>COUNTIF($B80:Z80, "A")</formula>
    </cfRule>
    <cfRule type="expression" dxfId="383" priority="60">
      <formula>COUNTIF($A80:Z80, "NI")</formula>
    </cfRule>
  </conditionalFormatting>
  <conditionalFormatting sqref="B82:C82 B88:C106 B126:C147 B65:C79 B149:C149 C148">
    <cfRule type="expression" dxfId="382" priority="55">
      <formula>COUNTIF($A65:Z65, "NI")</formula>
    </cfRule>
  </conditionalFormatting>
  <conditionalFormatting sqref="B83:C85 B88:C106 C126:C149 B126:B137 B65:C79">
    <cfRule type="expression" dxfId="381" priority="49">
      <formula>COUNTIF($B65:Z65, "A")</formula>
    </cfRule>
  </conditionalFormatting>
  <conditionalFormatting sqref="B83:C85 C88:C106 C126:C149 C65:C79">
    <cfRule type="expression" dxfId="380" priority="46">
      <formula>COUNTIF($B65:Z65, "C")</formula>
    </cfRule>
    <cfRule type="expression" dxfId="379" priority="47">
      <formula>COUNTIF($B65:Z65, "Q")</formula>
    </cfRule>
    <cfRule type="expression" dxfId="378" priority="48">
      <formula>COUNTIF($B65:Z65, "M")</formula>
    </cfRule>
  </conditionalFormatting>
  <conditionalFormatting sqref="B83:C85">
    <cfRule type="expression" dxfId="377" priority="50">
      <formula>COUNTIF($A83:Z83, "NI")</formula>
    </cfRule>
  </conditionalFormatting>
  <conditionalFormatting sqref="B86:C86">
    <cfRule type="expression" dxfId="376" priority="24">
      <formula>COUNTIF($B86:Z86, "A")</formula>
    </cfRule>
    <cfRule type="expression" dxfId="375" priority="25">
      <formula>COUNTIF($A86:Z86, "NI")</formula>
    </cfRule>
  </conditionalFormatting>
  <conditionalFormatting sqref="C3">
    <cfRule type="expression" dxfId="374" priority="61">
      <formula>COUNTIF($A3:Z3, "C")</formula>
    </cfRule>
    <cfRule type="expression" dxfId="373" priority="62">
      <formula>COUNTIF($A3:Z3, "Q")</formula>
    </cfRule>
    <cfRule type="expression" dxfId="372" priority="63">
      <formula>COUNTIF($A3:Z3, "M")</formula>
    </cfRule>
    <cfRule type="expression" dxfId="371" priority="64">
      <formula>COUNTIF($A3:Z3, "A")</formula>
    </cfRule>
  </conditionalFormatting>
  <conditionalFormatting sqref="C82">
    <cfRule type="expression" dxfId="370" priority="51">
      <formula>COUNTIF($B82:AA82, "C")</formula>
    </cfRule>
    <cfRule type="expression" dxfId="369" priority="52">
      <formula>COUNTIF($B82:AA82, "Q")</formula>
    </cfRule>
    <cfRule type="expression" dxfId="368" priority="53">
      <formula>COUNTIF($B82:AA82, "M")</formula>
    </cfRule>
    <cfRule type="expression" dxfId="367" priority="54">
      <formula>COUNTIF($B82:AA82, "A")</formula>
    </cfRule>
  </conditionalFormatting>
  <conditionalFormatting sqref="C86">
    <cfRule type="expression" dxfId="366" priority="21">
      <formula>COUNTIF($B86:AA86, "C")</formula>
    </cfRule>
    <cfRule type="expression" dxfId="365" priority="22">
      <formula>COUNTIF($B86:AA86, "Q")</formula>
    </cfRule>
    <cfRule type="expression" dxfId="364" priority="23">
      <formula>COUNTIF($B86:AA86, "M")</formula>
    </cfRule>
  </conditionalFormatting>
  <conditionalFormatting sqref="B9:C9">
    <cfRule type="expression" dxfId="363" priority="8">
      <formula>COUNTIF($B9:Z9, "Q")</formula>
    </cfRule>
    <cfRule type="expression" dxfId="362" priority="9">
      <formula>COUNTIF($B9:Z9, "M")</formula>
    </cfRule>
  </conditionalFormatting>
  <conditionalFormatting sqref="B9:C9">
    <cfRule type="expression" dxfId="361" priority="7">
      <formula>COUNTIF($A9:Z9, "NI")</formula>
    </cfRule>
  </conditionalFormatting>
  <conditionalFormatting sqref="B9:C9">
    <cfRule type="expression" dxfId="360" priority="6">
      <formula>COUNTIF($B9:Z9, "A")</formula>
    </cfRule>
  </conditionalFormatting>
  <conditionalFormatting sqref="B9:C9">
    <cfRule type="expression" dxfId="359" priority="10">
      <formula>COUNTIF($B9:Z9, "C")</formula>
    </cfRule>
  </conditionalFormatting>
  <conditionalFormatting sqref="B148">
    <cfRule type="expression" dxfId="358" priority="5">
      <formula>COUNTIF($A148:Z148, "NI")</formula>
    </cfRule>
  </conditionalFormatting>
  <conditionalFormatting sqref="B148">
    <cfRule type="expression" dxfId="357" priority="1">
      <formula>COUNTIF($B148:Z148, "C")</formula>
    </cfRule>
    <cfRule type="expression" dxfId="356" priority="2">
      <formula>COUNTIF($B148:Z148, "Q")</formula>
    </cfRule>
    <cfRule type="expression" dxfId="355" priority="3">
      <formula>COUNTIF($B148:Z148, "M")</formula>
    </cfRule>
  </conditionalFormatting>
  <conditionalFormatting sqref="B148">
    <cfRule type="expression" dxfId="354" priority="4">
      <formula>COUNTIF($B148:Z148, "A")</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9B816-5ABE-4469-9D25-5A3B6D81EDB7}">
  <sheetPr filterMode="1"/>
  <dimension ref="A2:M121"/>
  <sheetViews>
    <sheetView zoomScale="95" workbookViewId="0">
      <pane ySplit="3" topLeftCell="A108" activePane="bottomLeft" state="frozen"/>
      <selection activeCell="B1" sqref="B1"/>
      <selection pane="bottomLeft" activeCell="B1" sqref="B1"/>
    </sheetView>
  </sheetViews>
  <sheetFormatPr baseColWidth="10" defaultColWidth="8.88671875" defaultRowHeight="15" customHeight="1" x14ac:dyDescent="0.3"/>
  <cols>
    <col min="1" max="1" width="12.5546875" customWidth="1"/>
    <col min="2" max="2" width="39.6640625" bestFit="1" customWidth="1"/>
    <col min="3" max="3" width="9.109375" style="5"/>
    <col min="4" max="4" width="24.6640625" style="5" bestFit="1" customWidth="1"/>
    <col min="5" max="7" width="23.6640625" style="5" customWidth="1"/>
    <col min="8" max="8" width="25.44140625" style="5" customWidth="1"/>
    <col min="9" max="9" width="42.5546875" customWidth="1"/>
    <col min="10" max="11" width="9.109375"/>
    <col min="12" max="12" width="21.6640625" customWidth="1"/>
  </cols>
  <sheetData>
    <row r="2" spans="1:12" s="103" customFormat="1" ht="43.2" customHeight="1" x14ac:dyDescent="0.3">
      <c r="A2" s="377" t="s">
        <v>816</v>
      </c>
      <c r="B2" s="378"/>
      <c r="C2" s="379"/>
      <c r="D2" s="113" t="s">
        <v>971</v>
      </c>
      <c r="E2" s="113" t="s">
        <v>971</v>
      </c>
      <c r="F2" s="113" t="s">
        <v>971</v>
      </c>
      <c r="G2" s="113" t="s">
        <v>971</v>
      </c>
      <c r="H2" s="113" t="s">
        <v>971</v>
      </c>
      <c r="I2" s="114" t="s">
        <v>817</v>
      </c>
    </row>
    <row r="3" spans="1:12" s="5" customFormat="1" ht="14.4" x14ac:dyDescent="0.3">
      <c r="A3" s="123" t="s">
        <v>4</v>
      </c>
      <c r="B3" s="124" t="s">
        <v>739</v>
      </c>
      <c r="C3" s="124" t="s">
        <v>740</v>
      </c>
      <c r="D3" s="100" t="s">
        <v>1146</v>
      </c>
      <c r="E3" s="100" t="s">
        <v>1063</v>
      </c>
      <c r="F3" s="100" t="s">
        <v>1064</v>
      </c>
      <c r="G3" s="100" t="s">
        <v>908</v>
      </c>
      <c r="H3" s="100" t="s">
        <v>1147</v>
      </c>
      <c r="I3" s="3"/>
      <c r="K3" s="366" t="s">
        <v>970</v>
      </c>
      <c r="L3" s="366"/>
    </row>
    <row r="4" spans="1:12" ht="14.4" hidden="1" customHeight="1" x14ac:dyDescent="0.3">
      <c r="A4" s="33" t="s">
        <v>1046</v>
      </c>
      <c r="B4" s="1" t="s">
        <v>96</v>
      </c>
      <c r="C4" s="6">
        <v>0</v>
      </c>
      <c r="D4" s="3" t="s">
        <v>24</v>
      </c>
      <c r="E4" s="3" t="s">
        <v>24</v>
      </c>
      <c r="F4" s="190" t="s">
        <v>24</v>
      </c>
      <c r="G4" s="190" t="s">
        <v>24</v>
      </c>
      <c r="H4" s="190" t="s">
        <v>24</v>
      </c>
      <c r="I4" s="1"/>
    </row>
    <row r="5" spans="1:12" ht="14.4" hidden="1" customHeight="1" x14ac:dyDescent="0.3">
      <c r="A5" s="9" t="s">
        <v>1046</v>
      </c>
      <c r="B5" s="56" t="s">
        <v>34</v>
      </c>
      <c r="C5" s="6">
        <v>5</v>
      </c>
      <c r="D5" s="3" t="s">
        <v>110</v>
      </c>
      <c r="E5" s="3" t="s">
        <v>110</v>
      </c>
      <c r="F5" s="3" t="s">
        <v>110</v>
      </c>
      <c r="G5" s="3" t="s">
        <v>110</v>
      </c>
      <c r="H5" s="3" t="s">
        <v>110</v>
      </c>
      <c r="I5" s="1"/>
      <c r="K5" s="105" t="s">
        <v>16</v>
      </c>
      <c r="L5" s="106" t="s">
        <v>976</v>
      </c>
    </row>
    <row r="6" spans="1:12" ht="14.4" hidden="1" customHeight="1" x14ac:dyDescent="0.3">
      <c r="A6" s="256" t="s">
        <v>1046</v>
      </c>
      <c r="B6" s="1" t="s">
        <v>1037</v>
      </c>
      <c r="C6" s="6">
        <v>6</v>
      </c>
      <c r="D6" s="3" t="s">
        <v>28</v>
      </c>
      <c r="E6" s="3" t="s">
        <v>28</v>
      </c>
      <c r="F6" s="3" t="s">
        <v>28</v>
      </c>
      <c r="G6" s="3" t="s">
        <v>28</v>
      </c>
      <c r="H6" s="3" t="s">
        <v>28</v>
      </c>
      <c r="I6" s="1"/>
    </row>
    <row r="7" spans="1:12" ht="14.4" hidden="1" customHeight="1" x14ac:dyDescent="0.3">
      <c r="A7" s="9" t="s">
        <v>1045</v>
      </c>
      <c r="B7" s="56" t="s">
        <v>261</v>
      </c>
      <c r="C7" s="6">
        <v>7</v>
      </c>
      <c r="D7" s="3" t="s">
        <v>16</v>
      </c>
      <c r="E7" s="3" t="s">
        <v>16</v>
      </c>
      <c r="F7" s="3" t="s">
        <v>28</v>
      </c>
      <c r="G7" s="3" t="s">
        <v>28</v>
      </c>
      <c r="H7" s="3" t="s">
        <v>28</v>
      </c>
      <c r="I7" s="1" t="s">
        <v>934</v>
      </c>
    </row>
    <row r="8" spans="1:12" ht="14.4" hidden="1" customHeight="1" x14ac:dyDescent="0.3">
      <c r="A8" s="256" t="s">
        <v>1046</v>
      </c>
      <c r="B8" s="1" t="s">
        <v>253</v>
      </c>
      <c r="C8" s="3">
        <v>7</v>
      </c>
      <c r="D8" s="3"/>
      <c r="E8" s="3"/>
      <c r="F8" s="3"/>
      <c r="G8" s="3"/>
      <c r="H8" s="3"/>
      <c r="I8" s="1"/>
    </row>
    <row r="9" spans="1:12" ht="14.4" hidden="1" customHeight="1" x14ac:dyDescent="0.3">
      <c r="A9" s="9" t="s">
        <v>1046</v>
      </c>
      <c r="B9" s="56" t="s">
        <v>1161</v>
      </c>
      <c r="C9" s="6">
        <v>7</v>
      </c>
      <c r="D9" s="3" t="s">
        <v>110</v>
      </c>
      <c r="E9" s="3" t="s">
        <v>110</v>
      </c>
      <c r="F9" s="3" t="s">
        <v>110</v>
      </c>
      <c r="G9" s="3" t="s">
        <v>110</v>
      </c>
      <c r="H9" s="3" t="s">
        <v>110</v>
      </c>
      <c r="I9" s="1"/>
    </row>
    <row r="10" spans="1:12" ht="14.4" hidden="1" customHeight="1" x14ac:dyDescent="0.3">
      <c r="A10" t="s">
        <v>1162</v>
      </c>
      <c r="B10" s="1" t="s">
        <v>22</v>
      </c>
      <c r="C10" s="6">
        <v>8</v>
      </c>
      <c r="D10" s="3" t="s">
        <v>110</v>
      </c>
      <c r="E10" s="3" t="s">
        <v>110</v>
      </c>
      <c r="F10" s="3" t="s">
        <v>110</v>
      </c>
      <c r="G10" s="3" t="s">
        <v>110</v>
      </c>
      <c r="H10" s="3" t="s">
        <v>110</v>
      </c>
      <c r="I10" s="1"/>
    </row>
    <row r="11" spans="1:12" ht="14.4" hidden="1" customHeight="1" x14ac:dyDescent="0.3">
      <c r="A11" s="9" t="s">
        <v>1162</v>
      </c>
      <c r="B11" s="56" t="s">
        <v>25</v>
      </c>
      <c r="C11" s="6">
        <v>8</v>
      </c>
      <c r="D11" s="3" t="s">
        <v>110</v>
      </c>
      <c r="E11" s="3" t="s">
        <v>110</v>
      </c>
      <c r="F11" s="190" t="s">
        <v>110</v>
      </c>
      <c r="G11" s="190" t="s">
        <v>110</v>
      </c>
      <c r="H11" s="190" t="s">
        <v>110</v>
      </c>
      <c r="I11" s="1"/>
    </row>
    <row r="12" spans="1:12" ht="14.4" hidden="1" customHeight="1" x14ac:dyDescent="0.3">
      <c r="A12" t="s">
        <v>1162</v>
      </c>
      <c r="B12" s="1" t="s">
        <v>53</v>
      </c>
      <c r="C12" s="6">
        <v>11</v>
      </c>
      <c r="D12" s="3" t="s">
        <v>28</v>
      </c>
      <c r="E12" s="3" t="s">
        <v>28</v>
      </c>
      <c r="F12" s="190" t="s">
        <v>28</v>
      </c>
      <c r="G12" s="190" t="s">
        <v>16</v>
      </c>
      <c r="H12" s="190" t="s">
        <v>28</v>
      </c>
      <c r="I12" s="1"/>
    </row>
    <row r="13" spans="1:12" ht="14.4" hidden="1" customHeight="1" x14ac:dyDescent="0.3">
      <c r="A13" s="256" t="s">
        <v>1046</v>
      </c>
      <c r="B13" s="1" t="s">
        <v>279</v>
      </c>
      <c r="C13" s="6">
        <v>10</v>
      </c>
      <c r="D13" s="3" t="s">
        <v>110</v>
      </c>
      <c r="E13" s="3" t="s">
        <v>110</v>
      </c>
      <c r="F13" s="3" t="s">
        <v>110</v>
      </c>
      <c r="G13" s="3" t="s">
        <v>110</v>
      </c>
      <c r="H13" s="3" t="s">
        <v>110</v>
      </c>
      <c r="I13" s="1"/>
    </row>
    <row r="14" spans="1:12" ht="14.4" hidden="1" customHeight="1" x14ac:dyDescent="0.3">
      <c r="A14" s="9" t="s">
        <v>1163</v>
      </c>
      <c r="B14" s="56" t="s">
        <v>278</v>
      </c>
      <c r="C14" s="6">
        <v>10</v>
      </c>
      <c r="D14" s="3" t="s">
        <v>28</v>
      </c>
      <c r="E14" s="3" t="s">
        <v>28</v>
      </c>
      <c r="F14" s="3" t="s">
        <v>35</v>
      </c>
      <c r="G14" s="3" t="s">
        <v>35</v>
      </c>
      <c r="H14" s="3" t="s">
        <v>35</v>
      </c>
      <c r="I14" s="1"/>
    </row>
    <row r="15" spans="1:12" ht="14.4" hidden="1" customHeight="1" x14ac:dyDescent="0.3">
      <c r="A15" t="s">
        <v>1162</v>
      </c>
      <c r="B15" s="1" t="s">
        <v>68</v>
      </c>
      <c r="C15" s="6">
        <v>11</v>
      </c>
      <c r="D15" s="3" t="s">
        <v>28</v>
      </c>
      <c r="E15" s="3" t="s">
        <v>16</v>
      </c>
      <c r="F15" s="3" t="s">
        <v>28</v>
      </c>
      <c r="G15" s="3" t="s">
        <v>110</v>
      </c>
      <c r="H15" s="3" t="s">
        <v>110</v>
      </c>
      <c r="I15" s="1"/>
    </row>
    <row r="16" spans="1:12" ht="14.4" customHeight="1" x14ac:dyDescent="0.3">
      <c r="A16" s="9" t="s">
        <v>1163</v>
      </c>
      <c r="B16" s="56" t="s">
        <v>41</v>
      </c>
      <c r="C16" s="6">
        <v>11</v>
      </c>
      <c r="D16" s="136" t="s">
        <v>16</v>
      </c>
      <c r="E16" s="136" t="s">
        <v>16</v>
      </c>
      <c r="F16" s="136" t="s">
        <v>16</v>
      </c>
      <c r="G16" s="3" t="s">
        <v>28</v>
      </c>
      <c r="H16" s="136" t="s">
        <v>16</v>
      </c>
      <c r="I16" s="1" t="s">
        <v>1164</v>
      </c>
    </row>
    <row r="17" spans="1:9" ht="14.4" hidden="1" customHeight="1" x14ac:dyDescent="0.3">
      <c r="A17" s="256" t="s">
        <v>1045</v>
      </c>
      <c r="B17" s="1" t="s">
        <v>284</v>
      </c>
      <c r="C17" s="6">
        <v>11</v>
      </c>
      <c r="D17" s="3" t="s">
        <v>110</v>
      </c>
      <c r="E17" s="3" t="s">
        <v>110</v>
      </c>
      <c r="F17" s="190" t="s">
        <v>110</v>
      </c>
      <c r="G17" s="190" t="s">
        <v>110</v>
      </c>
      <c r="H17" s="190" t="s">
        <v>110</v>
      </c>
      <c r="I17" s="1"/>
    </row>
    <row r="18" spans="1:9" ht="14.4" hidden="1" customHeight="1" x14ac:dyDescent="0.3">
      <c r="A18" s="9" t="s">
        <v>1165</v>
      </c>
      <c r="B18" s="56" t="s">
        <v>287</v>
      </c>
      <c r="C18" s="6">
        <v>11</v>
      </c>
      <c r="D18" s="3" t="s">
        <v>110</v>
      </c>
      <c r="E18" s="3" t="s">
        <v>110</v>
      </c>
      <c r="F18" s="3" t="s">
        <v>110</v>
      </c>
      <c r="G18" s="3" t="s">
        <v>110</v>
      </c>
      <c r="H18" s="3" t="s">
        <v>110</v>
      </c>
      <c r="I18" s="1" t="s">
        <v>468</v>
      </c>
    </row>
    <row r="19" spans="1:9" ht="14.4" hidden="1" customHeight="1" x14ac:dyDescent="0.3">
      <c r="A19" t="s">
        <v>1162</v>
      </c>
      <c r="B19" s="1" t="s">
        <v>38</v>
      </c>
      <c r="C19" s="6">
        <v>11</v>
      </c>
      <c r="D19" s="3" t="s">
        <v>28</v>
      </c>
      <c r="E19" s="3" t="s">
        <v>28</v>
      </c>
      <c r="F19" s="3" t="s">
        <v>28</v>
      </c>
      <c r="G19" s="3" t="s">
        <v>16</v>
      </c>
      <c r="H19" s="3" t="s">
        <v>16</v>
      </c>
      <c r="I19" s="1"/>
    </row>
    <row r="20" spans="1:9" ht="14.4" hidden="1" customHeight="1" x14ac:dyDescent="0.3">
      <c r="A20" s="256" t="s">
        <v>1046</v>
      </c>
      <c r="B20" s="1" t="s">
        <v>45</v>
      </c>
      <c r="C20" s="6">
        <v>12</v>
      </c>
      <c r="D20" s="3" t="s">
        <v>28</v>
      </c>
      <c r="E20" s="3" t="s">
        <v>28</v>
      </c>
      <c r="F20" s="3" t="s">
        <v>28</v>
      </c>
      <c r="G20" s="3" t="s">
        <v>28</v>
      </c>
      <c r="H20" s="3" t="s">
        <v>28</v>
      </c>
      <c r="I20" s="1"/>
    </row>
    <row r="21" spans="1:9" ht="14.4" hidden="1" customHeight="1" x14ac:dyDescent="0.3">
      <c r="A21" s="9" t="s">
        <v>1165</v>
      </c>
      <c r="B21" s="56" t="s">
        <v>300</v>
      </c>
      <c r="C21" s="6">
        <v>12</v>
      </c>
      <c r="D21" s="3" t="s">
        <v>28</v>
      </c>
      <c r="E21" s="3" t="s">
        <v>28</v>
      </c>
      <c r="F21" s="3" t="s">
        <v>28</v>
      </c>
      <c r="G21" s="3" t="s">
        <v>28</v>
      </c>
      <c r="H21" s="3" t="s">
        <v>28</v>
      </c>
      <c r="I21" s="1"/>
    </row>
    <row r="22" spans="1:9" ht="14.4" customHeight="1" x14ac:dyDescent="0.3">
      <c r="A22" s="256" t="s">
        <v>1045</v>
      </c>
      <c r="B22" s="1" t="s">
        <v>1166</v>
      </c>
      <c r="C22" s="6">
        <v>12</v>
      </c>
      <c r="D22" s="136" t="s">
        <v>16</v>
      </c>
      <c r="E22" s="136" t="s">
        <v>16</v>
      </c>
      <c r="F22" s="136" t="s">
        <v>16</v>
      </c>
      <c r="G22" s="136" t="s">
        <v>16</v>
      </c>
      <c r="H22" s="136" t="s">
        <v>16</v>
      </c>
      <c r="I22" s="1" t="s">
        <v>1164</v>
      </c>
    </row>
    <row r="23" spans="1:9" ht="14.4" hidden="1" x14ac:dyDescent="0.3">
      <c r="A23" s="9" t="s">
        <v>1046</v>
      </c>
      <c r="B23" s="56" t="s">
        <v>298</v>
      </c>
      <c r="C23" s="6">
        <v>12</v>
      </c>
      <c r="D23" s="3" t="s">
        <v>28</v>
      </c>
      <c r="E23" s="3" t="s">
        <v>28</v>
      </c>
      <c r="F23" s="3" t="s">
        <v>28</v>
      </c>
      <c r="G23" s="3" t="s">
        <v>28</v>
      </c>
      <c r="H23" s="3" t="s">
        <v>28</v>
      </c>
      <c r="I23" s="1"/>
    </row>
    <row r="24" spans="1:9" ht="14.4" hidden="1" x14ac:dyDescent="0.3">
      <c r="A24" s="256" t="s">
        <v>1162</v>
      </c>
      <c r="B24" s="1" t="s">
        <v>293</v>
      </c>
      <c r="C24" s="6">
        <v>12</v>
      </c>
      <c r="D24" s="3" t="s">
        <v>16</v>
      </c>
      <c r="E24" s="3" t="s">
        <v>28</v>
      </c>
      <c r="F24" s="3" t="s">
        <v>28</v>
      </c>
      <c r="G24" s="3" t="s">
        <v>28</v>
      </c>
      <c r="H24" s="3" t="s">
        <v>16</v>
      </c>
      <c r="I24" s="1"/>
    </row>
    <row r="25" spans="1:9" ht="14.4" hidden="1" x14ac:dyDescent="0.3">
      <c r="A25" s="9" t="s">
        <v>1165</v>
      </c>
      <c r="B25" s="257" t="s">
        <v>295</v>
      </c>
      <c r="C25" s="6">
        <v>12</v>
      </c>
      <c r="D25" s="3" t="s">
        <v>110</v>
      </c>
      <c r="E25" s="3" t="s">
        <v>110</v>
      </c>
      <c r="F25" s="3" t="s">
        <v>110</v>
      </c>
      <c r="G25" s="3" t="s">
        <v>110</v>
      </c>
      <c r="H25" s="3" t="s">
        <v>110</v>
      </c>
      <c r="I25" s="1" t="s">
        <v>1150</v>
      </c>
    </row>
    <row r="26" spans="1:9" ht="14.4" hidden="1" x14ac:dyDescent="0.3">
      <c r="A26" s="256" t="s">
        <v>1045</v>
      </c>
      <c r="B26" s="1" t="s">
        <v>46</v>
      </c>
      <c r="C26" s="6">
        <v>12</v>
      </c>
      <c r="D26" s="3" t="s">
        <v>28</v>
      </c>
      <c r="E26" s="3" t="s">
        <v>28</v>
      </c>
      <c r="F26" s="3" t="s">
        <v>28</v>
      </c>
      <c r="G26" s="3" t="s">
        <v>28</v>
      </c>
      <c r="H26" s="3" t="s">
        <v>16</v>
      </c>
      <c r="I26" s="1"/>
    </row>
    <row r="27" spans="1:9" ht="14.4" hidden="1" x14ac:dyDescent="0.3">
      <c r="A27" s="9" t="s">
        <v>1163</v>
      </c>
      <c r="B27" s="56" t="s">
        <v>319</v>
      </c>
      <c r="C27" s="6">
        <v>13</v>
      </c>
      <c r="D27" s="3" t="s">
        <v>110</v>
      </c>
      <c r="E27" s="3" t="s">
        <v>110</v>
      </c>
      <c r="F27" s="3" t="s">
        <v>110</v>
      </c>
      <c r="G27" s="3" t="s">
        <v>110</v>
      </c>
      <c r="H27" s="3" t="s">
        <v>110</v>
      </c>
      <c r="I27" s="1"/>
    </row>
    <row r="28" spans="1:9" ht="14.4" hidden="1" x14ac:dyDescent="0.3">
      <c r="A28" t="s">
        <v>1162</v>
      </c>
      <c r="B28" s="1" t="s">
        <v>315</v>
      </c>
      <c r="C28" s="6">
        <v>13</v>
      </c>
      <c r="D28" s="3" t="s">
        <v>110</v>
      </c>
      <c r="E28" s="3" t="s">
        <v>110</v>
      </c>
      <c r="F28" s="3" t="s">
        <v>110</v>
      </c>
      <c r="G28" s="3" t="s">
        <v>110</v>
      </c>
      <c r="H28" s="3" t="s">
        <v>110</v>
      </c>
      <c r="I28" s="1"/>
    </row>
    <row r="29" spans="1:9" ht="14.4" hidden="1" x14ac:dyDescent="0.3">
      <c r="A29" s="64" t="s">
        <v>1046</v>
      </c>
      <c r="B29" s="1" t="s">
        <v>318</v>
      </c>
      <c r="C29" s="6">
        <v>13</v>
      </c>
      <c r="D29" s="3" t="s">
        <v>110</v>
      </c>
      <c r="E29" s="3" t="s">
        <v>110</v>
      </c>
      <c r="F29" s="3" t="s">
        <v>110</v>
      </c>
      <c r="G29" s="3" t="s">
        <v>110</v>
      </c>
      <c r="H29" s="3" t="s">
        <v>110</v>
      </c>
      <c r="I29" s="1"/>
    </row>
    <row r="30" spans="1:9" ht="14.4" hidden="1" x14ac:dyDescent="0.3">
      <c r="A30" s="1" t="s">
        <v>1165</v>
      </c>
      <c r="B30" s="1" t="s">
        <v>58</v>
      </c>
      <c r="C30" s="6">
        <v>13</v>
      </c>
      <c r="D30" s="3" t="s">
        <v>28</v>
      </c>
      <c r="E30" s="3" t="s">
        <v>28</v>
      </c>
      <c r="F30" s="3" t="s">
        <v>28</v>
      </c>
      <c r="G30" s="3" t="s">
        <v>28</v>
      </c>
      <c r="H30" s="3" t="s">
        <v>28</v>
      </c>
      <c r="I30" s="1"/>
    </row>
    <row r="31" spans="1:9" ht="14.4" hidden="1" x14ac:dyDescent="0.3">
      <c r="A31" s="1" t="s">
        <v>1046</v>
      </c>
      <c r="B31" s="259" t="s">
        <v>62</v>
      </c>
      <c r="C31" s="6">
        <v>13</v>
      </c>
      <c r="D31" s="3" t="s">
        <v>16</v>
      </c>
      <c r="E31" s="3" t="s">
        <v>28</v>
      </c>
      <c r="F31" s="3" t="s">
        <v>28</v>
      </c>
      <c r="G31" s="3" t="s">
        <v>28</v>
      </c>
      <c r="H31" s="3" t="s">
        <v>28</v>
      </c>
      <c r="I31" s="1"/>
    </row>
    <row r="32" spans="1:9" ht="14.4" hidden="1" x14ac:dyDescent="0.3">
      <c r="A32" t="s">
        <v>1045</v>
      </c>
      <c r="B32" s="1" t="s">
        <v>76</v>
      </c>
      <c r="C32" s="6">
        <v>13</v>
      </c>
      <c r="D32" s="3" t="s">
        <v>110</v>
      </c>
      <c r="E32" s="3" t="s">
        <v>110</v>
      </c>
      <c r="F32" s="3" t="s">
        <v>110</v>
      </c>
      <c r="G32" s="3" t="s">
        <v>110</v>
      </c>
      <c r="H32" s="3" t="s">
        <v>110</v>
      </c>
      <c r="I32" s="1"/>
    </row>
    <row r="33" spans="1:9" ht="14.4" hidden="1" x14ac:dyDescent="0.3">
      <c r="A33" s="1" t="s">
        <v>13</v>
      </c>
      <c r="B33" s="1" t="s">
        <v>309</v>
      </c>
      <c r="C33" s="6">
        <v>13</v>
      </c>
      <c r="D33" s="3" t="s">
        <v>14</v>
      </c>
      <c r="E33" s="3"/>
      <c r="F33" s="190"/>
      <c r="G33" s="190"/>
      <c r="H33" s="190"/>
      <c r="I33" s="1"/>
    </row>
    <row r="34" spans="1:9" ht="14.4" hidden="1" x14ac:dyDescent="0.3">
      <c r="A34" s="1" t="s">
        <v>1046</v>
      </c>
      <c r="B34" s="1" t="s">
        <v>63</v>
      </c>
      <c r="C34" s="6">
        <v>13</v>
      </c>
      <c r="D34" s="3" t="s">
        <v>28</v>
      </c>
      <c r="E34" s="3" t="s">
        <v>28</v>
      </c>
      <c r="F34" s="3" t="s">
        <v>28</v>
      </c>
      <c r="G34" s="3" t="s">
        <v>28</v>
      </c>
      <c r="H34" s="3" t="s">
        <v>28</v>
      </c>
      <c r="I34" s="1"/>
    </row>
    <row r="35" spans="1:9" ht="14.4" hidden="1" x14ac:dyDescent="0.3">
      <c r="A35" s="1" t="s">
        <v>1045</v>
      </c>
      <c r="B35" s="1" t="s">
        <v>308</v>
      </c>
      <c r="C35" s="6">
        <v>13</v>
      </c>
      <c r="D35" s="3" t="s">
        <v>110</v>
      </c>
      <c r="E35" s="3" t="s">
        <v>110</v>
      </c>
      <c r="F35" s="3" t="s">
        <v>110</v>
      </c>
      <c r="G35" s="3" t="s">
        <v>110</v>
      </c>
      <c r="H35" s="3" t="s">
        <v>110</v>
      </c>
      <c r="I35" s="1"/>
    </row>
    <row r="36" spans="1:9" ht="14.4" hidden="1" x14ac:dyDescent="0.3">
      <c r="A36" t="s">
        <v>1165</v>
      </c>
      <c r="B36" s="1" t="s">
        <v>305</v>
      </c>
      <c r="C36" s="6">
        <v>13</v>
      </c>
      <c r="D36" s="3" t="s">
        <v>16</v>
      </c>
      <c r="E36" s="3"/>
      <c r="F36" s="3"/>
      <c r="G36" s="3"/>
      <c r="H36" s="3" t="s">
        <v>16</v>
      </c>
      <c r="I36" s="1"/>
    </row>
    <row r="37" spans="1:9" ht="14.4" hidden="1" x14ac:dyDescent="0.3">
      <c r="A37" s="1" t="s">
        <v>1045</v>
      </c>
      <c r="B37" s="1" t="s">
        <v>331</v>
      </c>
      <c r="C37" s="6">
        <v>14</v>
      </c>
      <c r="D37" s="3" t="s">
        <v>28</v>
      </c>
      <c r="E37" s="3" t="s">
        <v>28</v>
      </c>
      <c r="F37" s="190" t="s">
        <v>28</v>
      </c>
      <c r="G37" s="190" t="s">
        <v>28</v>
      </c>
      <c r="H37" s="190" t="s">
        <v>28</v>
      </c>
      <c r="I37" s="1"/>
    </row>
    <row r="38" spans="1:9" ht="14.4" x14ac:dyDescent="0.3">
      <c r="A38" s="1" t="s">
        <v>1165</v>
      </c>
      <c r="B38" s="1" t="s">
        <v>825</v>
      </c>
      <c r="C38" s="6">
        <v>14</v>
      </c>
      <c r="D38" s="3" t="s">
        <v>28</v>
      </c>
      <c r="E38" s="3" t="s">
        <v>28</v>
      </c>
      <c r="F38" s="3" t="s">
        <v>16</v>
      </c>
      <c r="G38" s="3" t="s">
        <v>28</v>
      </c>
      <c r="H38" s="3" t="s">
        <v>16</v>
      </c>
      <c r="I38" s="1"/>
    </row>
    <row r="39" spans="1:9" ht="14.4" hidden="1" x14ac:dyDescent="0.3">
      <c r="A39" s="1" t="s">
        <v>1046</v>
      </c>
      <c r="B39" s="1" t="s">
        <v>155</v>
      </c>
      <c r="C39" s="6">
        <v>14</v>
      </c>
      <c r="D39" s="3" t="s">
        <v>28</v>
      </c>
      <c r="E39" s="3" t="s">
        <v>28</v>
      </c>
      <c r="F39" s="3" t="s">
        <v>28</v>
      </c>
      <c r="G39" s="3" t="s">
        <v>28</v>
      </c>
      <c r="H39" s="3" t="s">
        <v>28</v>
      </c>
      <c r="I39" s="1"/>
    </row>
    <row r="40" spans="1:9" ht="14.4" hidden="1" x14ac:dyDescent="0.3">
      <c r="A40" t="s">
        <v>1046</v>
      </c>
      <c r="B40" s="1" t="s">
        <v>1167</v>
      </c>
      <c r="C40" s="6">
        <v>14</v>
      </c>
      <c r="D40" s="3" t="s">
        <v>110</v>
      </c>
      <c r="E40" s="3" t="s">
        <v>110</v>
      </c>
      <c r="F40" s="3" t="s">
        <v>110</v>
      </c>
      <c r="G40" s="3" t="s">
        <v>110</v>
      </c>
      <c r="H40" s="3" t="s">
        <v>110</v>
      </c>
      <c r="I40" s="1"/>
    </row>
    <row r="41" spans="1:9" ht="14.4" hidden="1" x14ac:dyDescent="0.3">
      <c r="A41" s="1" t="s">
        <v>1165</v>
      </c>
      <c r="B41" s="1" t="s">
        <v>82</v>
      </c>
      <c r="C41" s="6">
        <v>15</v>
      </c>
      <c r="D41" s="3" t="s">
        <v>110</v>
      </c>
      <c r="E41" s="3" t="s">
        <v>110</v>
      </c>
      <c r="F41" s="3" t="s">
        <v>110</v>
      </c>
      <c r="G41" s="3" t="s">
        <v>110</v>
      </c>
      <c r="H41" s="3" t="s">
        <v>110</v>
      </c>
      <c r="I41" s="1"/>
    </row>
    <row r="42" spans="1:9" ht="14.4" hidden="1" x14ac:dyDescent="0.3">
      <c r="A42" s="1" t="s">
        <v>1045</v>
      </c>
      <c r="B42" s="1" t="s">
        <v>697</v>
      </c>
      <c r="C42" s="6">
        <v>15</v>
      </c>
      <c r="D42" s="3" t="s">
        <v>110</v>
      </c>
      <c r="E42" s="3" t="s">
        <v>110</v>
      </c>
      <c r="F42" s="3" t="s">
        <v>110</v>
      </c>
      <c r="G42" s="3" t="s">
        <v>110</v>
      </c>
      <c r="H42" s="3" t="s">
        <v>110</v>
      </c>
      <c r="I42" s="1" t="s">
        <v>468</v>
      </c>
    </row>
    <row r="43" spans="1:9" ht="14.4" hidden="1" x14ac:dyDescent="0.3">
      <c r="A43" t="s">
        <v>1045</v>
      </c>
      <c r="B43" s="1" t="s">
        <v>348</v>
      </c>
      <c r="C43" s="6">
        <v>15</v>
      </c>
      <c r="D43" s="3"/>
      <c r="E43" s="3"/>
      <c r="F43" s="3"/>
      <c r="G43" s="3"/>
      <c r="H43" s="3"/>
      <c r="I43" s="1"/>
    </row>
    <row r="44" spans="1:9" ht="14.4" hidden="1" x14ac:dyDescent="0.3">
      <c r="A44" s="1" t="s">
        <v>1046</v>
      </c>
      <c r="B44" s="1" t="s">
        <v>98</v>
      </c>
      <c r="C44" s="6">
        <v>15</v>
      </c>
      <c r="D44" s="3" t="s">
        <v>110</v>
      </c>
      <c r="E44" s="3" t="s">
        <v>110</v>
      </c>
      <c r="F44" s="3" t="s">
        <v>110</v>
      </c>
      <c r="G44" s="3" t="s">
        <v>110</v>
      </c>
      <c r="H44" s="3" t="s">
        <v>110</v>
      </c>
      <c r="I44" s="1"/>
    </row>
    <row r="45" spans="1:9" ht="14.4" hidden="1" x14ac:dyDescent="0.3">
      <c r="A45" s="1" t="s">
        <v>1046</v>
      </c>
      <c r="B45" s="1" t="s">
        <v>1153</v>
      </c>
      <c r="C45" s="6">
        <v>15</v>
      </c>
      <c r="D45" s="3" t="s">
        <v>110</v>
      </c>
      <c r="E45" s="3" t="s">
        <v>110</v>
      </c>
      <c r="F45" s="3" t="s">
        <v>110</v>
      </c>
      <c r="G45" s="3" t="s">
        <v>110</v>
      </c>
      <c r="H45" s="3" t="s">
        <v>110</v>
      </c>
      <c r="I45" s="33"/>
    </row>
    <row r="46" spans="1:9" ht="14.4" hidden="1" x14ac:dyDescent="0.3">
      <c r="A46" t="s">
        <v>1163</v>
      </c>
      <c r="B46" s="115" t="s">
        <v>343</v>
      </c>
      <c r="C46" s="116">
        <v>15</v>
      </c>
      <c r="D46" s="3" t="s">
        <v>110</v>
      </c>
      <c r="E46" s="3" t="s">
        <v>110</v>
      </c>
      <c r="F46" s="3" t="s">
        <v>110</v>
      </c>
      <c r="G46" s="3" t="s">
        <v>110</v>
      </c>
      <c r="H46" s="3" t="s">
        <v>110</v>
      </c>
      <c r="I46" s="119"/>
    </row>
    <row r="47" spans="1:9" ht="14.4" hidden="1" x14ac:dyDescent="0.3">
      <c r="A47" s="68" t="s">
        <v>1162</v>
      </c>
      <c r="B47" s="68" t="s">
        <v>354</v>
      </c>
      <c r="C47" s="95">
        <v>16</v>
      </c>
      <c r="D47" s="3" t="s">
        <v>110</v>
      </c>
      <c r="E47" s="3" t="s">
        <v>110</v>
      </c>
      <c r="F47" s="3" t="s">
        <v>110</v>
      </c>
      <c r="G47" s="3" t="s">
        <v>110</v>
      </c>
      <c r="H47" s="3" t="s">
        <v>110</v>
      </c>
      <c r="I47" s="9"/>
    </row>
    <row r="48" spans="1:9" ht="14.4" hidden="1" x14ac:dyDescent="0.3">
      <c r="A48" t="s">
        <v>1046</v>
      </c>
      <c r="B48" s="1" t="s">
        <v>105</v>
      </c>
      <c r="C48" s="6">
        <v>16</v>
      </c>
      <c r="D48" s="3" t="s">
        <v>28</v>
      </c>
      <c r="E48" s="3" t="s">
        <v>28</v>
      </c>
      <c r="F48" s="3" t="s">
        <v>28</v>
      </c>
      <c r="G48" s="3" t="s">
        <v>28</v>
      </c>
      <c r="H48" s="3" t="s">
        <v>28</v>
      </c>
      <c r="I48" s="120"/>
    </row>
    <row r="49" spans="1:9" ht="14.4" hidden="1" x14ac:dyDescent="0.3">
      <c r="A49" s="1" t="s">
        <v>1046</v>
      </c>
      <c r="B49" s="1" t="s">
        <v>360</v>
      </c>
      <c r="C49" s="6">
        <v>16</v>
      </c>
      <c r="D49" s="3" t="s">
        <v>110</v>
      </c>
      <c r="E49" s="3" t="s">
        <v>110</v>
      </c>
      <c r="F49" s="3" t="s">
        <v>110</v>
      </c>
      <c r="G49" s="3" t="s">
        <v>110</v>
      </c>
      <c r="H49" s="3" t="s">
        <v>110</v>
      </c>
      <c r="I49" s="120" t="s">
        <v>468</v>
      </c>
    </row>
    <row r="50" spans="1:9" ht="14.4" hidden="1" x14ac:dyDescent="0.3">
      <c r="A50" s="1" t="s">
        <v>1045</v>
      </c>
      <c r="B50" s="1" t="s">
        <v>358</v>
      </c>
      <c r="C50" s="6">
        <v>16</v>
      </c>
      <c r="D50" s="3" t="s">
        <v>110</v>
      </c>
      <c r="E50" s="3" t="s">
        <v>110</v>
      </c>
      <c r="F50" s="3" t="s">
        <v>110</v>
      </c>
      <c r="G50" s="3" t="s">
        <v>110</v>
      </c>
      <c r="H50" s="3" t="s">
        <v>110</v>
      </c>
      <c r="I50" s="120"/>
    </row>
    <row r="51" spans="1:9" ht="14.4" hidden="1" x14ac:dyDescent="0.3">
      <c r="A51" s="1" t="s">
        <v>1162</v>
      </c>
      <c r="B51" s="1" t="s">
        <v>17</v>
      </c>
      <c r="C51" s="6">
        <v>16</v>
      </c>
      <c r="D51" s="3" t="s">
        <v>28</v>
      </c>
      <c r="E51" s="3" t="s">
        <v>28</v>
      </c>
      <c r="F51" s="3" t="s">
        <v>28</v>
      </c>
      <c r="G51" s="3" t="s">
        <v>28</v>
      </c>
      <c r="H51" s="3" t="s">
        <v>28</v>
      </c>
      <c r="I51" s="120" t="s">
        <v>980</v>
      </c>
    </row>
    <row r="52" spans="1:9" ht="14.4" hidden="1" x14ac:dyDescent="0.3">
      <c r="A52" s="1" t="s">
        <v>1163</v>
      </c>
      <c r="B52" s="1" t="s">
        <v>363</v>
      </c>
      <c r="C52" s="6">
        <v>16</v>
      </c>
      <c r="D52" s="3" t="s">
        <v>110</v>
      </c>
      <c r="E52" s="3" t="s">
        <v>110</v>
      </c>
      <c r="F52" s="3" t="s">
        <v>110</v>
      </c>
      <c r="G52" s="3" t="s">
        <v>110</v>
      </c>
      <c r="H52" s="3" t="s">
        <v>110</v>
      </c>
      <c r="I52" s="120"/>
    </row>
    <row r="53" spans="1:9" ht="14.4" hidden="1" x14ac:dyDescent="0.3">
      <c r="A53" s="1" t="s">
        <v>1046</v>
      </c>
      <c r="B53" s="1" t="s">
        <v>112</v>
      </c>
      <c r="C53" s="6">
        <v>16</v>
      </c>
      <c r="D53" s="3" t="s">
        <v>110</v>
      </c>
      <c r="E53" s="3" t="s">
        <v>110</v>
      </c>
      <c r="F53" s="3" t="s">
        <v>110</v>
      </c>
      <c r="G53" s="3" t="s">
        <v>110</v>
      </c>
      <c r="H53" s="3" t="s">
        <v>110</v>
      </c>
      <c r="I53" s="120"/>
    </row>
    <row r="54" spans="1:9" ht="14.4" hidden="1" x14ac:dyDescent="0.3">
      <c r="A54" s="1" t="s">
        <v>1165</v>
      </c>
      <c r="B54" s="1" t="s">
        <v>357</v>
      </c>
      <c r="C54" s="6">
        <v>16</v>
      </c>
      <c r="D54" s="3" t="s">
        <v>110</v>
      </c>
      <c r="E54" s="3" t="s">
        <v>110</v>
      </c>
      <c r="F54" s="3" t="s">
        <v>110</v>
      </c>
      <c r="G54" s="3" t="s">
        <v>110</v>
      </c>
      <c r="H54" s="3" t="s">
        <v>110</v>
      </c>
      <c r="I54" s="120"/>
    </row>
    <row r="55" spans="1:9" ht="14.4" hidden="1" x14ac:dyDescent="0.3">
      <c r="A55" s="1" t="s">
        <v>1045</v>
      </c>
      <c r="B55" s="1" t="s">
        <v>186</v>
      </c>
      <c r="C55" s="6">
        <v>16</v>
      </c>
      <c r="D55" s="3" t="s">
        <v>110</v>
      </c>
      <c r="E55" s="3" t="s">
        <v>110</v>
      </c>
      <c r="F55" s="3" t="s">
        <v>110</v>
      </c>
      <c r="G55" s="3" t="s">
        <v>110</v>
      </c>
      <c r="H55" s="3" t="s">
        <v>110</v>
      </c>
      <c r="I55" s="120"/>
    </row>
    <row r="56" spans="1:9" ht="14.4" hidden="1" x14ac:dyDescent="0.3">
      <c r="A56" t="s">
        <v>1045</v>
      </c>
      <c r="B56" s="1" t="s">
        <v>351</v>
      </c>
      <c r="C56" s="6">
        <v>16</v>
      </c>
      <c r="D56" s="3" t="s">
        <v>110</v>
      </c>
      <c r="E56" s="3" t="s">
        <v>110</v>
      </c>
      <c r="F56" s="3" t="s">
        <v>110</v>
      </c>
      <c r="G56" s="3" t="s">
        <v>110</v>
      </c>
      <c r="H56" s="3" t="s">
        <v>110</v>
      </c>
      <c r="I56" s="120"/>
    </row>
    <row r="57" spans="1:9" ht="14.4" hidden="1" x14ac:dyDescent="0.3">
      <c r="A57" s="1" t="s">
        <v>1045</v>
      </c>
      <c r="B57" s="1" t="s">
        <v>120</v>
      </c>
      <c r="C57" s="6">
        <v>17</v>
      </c>
      <c r="D57" s="3" t="s">
        <v>110</v>
      </c>
      <c r="E57" s="3" t="s">
        <v>110</v>
      </c>
      <c r="F57" s="3" t="s">
        <v>110</v>
      </c>
      <c r="G57" s="3" t="s">
        <v>110</v>
      </c>
      <c r="H57" s="3" t="s">
        <v>110</v>
      </c>
      <c r="I57" s="120"/>
    </row>
    <row r="58" spans="1:9" ht="14.4" hidden="1" x14ac:dyDescent="0.3">
      <c r="A58" s="1" t="s">
        <v>1162</v>
      </c>
      <c r="B58" s="1" t="s">
        <v>63</v>
      </c>
      <c r="C58" s="6">
        <v>13</v>
      </c>
      <c r="D58" s="3" t="s">
        <v>28</v>
      </c>
      <c r="E58" s="3" t="s">
        <v>28</v>
      </c>
      <c r="F58" s="3" t="s">
        <v>28</v>
      </c>
      <c r="G58" s="3" t="s">
        <v>28</v>
      </c>
      <c r="H58" s="3" t="s">
        <v>28</v>
      </c>
      <c r="I58" s="120"/>
    </row>
    <row r="59" spans="1:9" ht="14.4" hidden="1" x14ac:dyDescent="0.3">
      <c r="A59" s="1" t="s">
        <v>1046</v>
      </c>
      <c r="B59" s="1" t="s">
        <v>368</v>
      </c>
      <c r="C59" s="6">
        <v>17</v>
      </c>
      <c r="D59" s="3"/>
      <c r="E59" s="3"/>
      <c r="F59" s="3"/>
      <c r="G59" s="3"/>
      <c r="H59" s="3"/>
      <c r="I59" s="120"/>
    </row>
    <row r="60" spans="1:9" ht="14.4" hidden="1" x14ac:dyDescent="0.3">
      <c r="A60" s="1" t="s">
        <v>1165</v>
      </c>
      <c r="B60" s="1" t="s">
        <v>100</v>
      </c>
      <c r="C60" s="6">
        <v>17</v>
      </c>
      <c r="D60" s="3" t="s">
        <v>28</v>
      </c>
      <c r="E60" s="3" t="s">
        <v>28</v>
      </c>
      <c r="F60" s="3" t="s">
        <v>28</v>
      </c>
      <c r="G60" s="3" t="s">
        <v>28</v>
      </c>
      <c r="H60" s="3" t="s">
        <v>28</v>
      </c>
      <c r="I60" s="120"/>
    </row>
    <row r="61" spans="1:9" ht="14.4" hidden="1" x14ac:dyDescent="0.3">
      <c r="A61" s="1" t="s">
        <v>1045</v>
      </c>
      <c r="B61" s="1" t="s">
        <v>117</v>
      </c>
      <c r="C61" s="6">
        <v>17</v>
      </c>
      <c r="D61" s="3" t="s">
        <v>110</v>
      </c>
      <c r="E61" s="3" t="s">
        <v>110</v>
      </c>
      <c r="F61" s="3" t="s">
        <v>110</v>
      </c>
      <c r="G61" s="3" t="s">
        <v>110</v>
      </c>
      <c r="H61" s="3" t="s">
        <v>110</v>
      </c>
      <c r="I61" s="120"/>
    </row>
    <row r="62" spans="1:9" ht="14.4" hidden="1" x14ac:dyDescent="0.3">
      <c r="A62" s="33" t="s">
        <v>1162</v>
      </c>
      <c r="B62" s="1" t="s">
        <v>125</v>
      </c>
      <c r="C62" s="6">
        <v>17</v>
      </c>
      <c r="D62" s="3" t="s">
        <v>110</v>
      </c>
      <c r="E62" s="3" t="s">
        <v>110</v>
      </c>
      <c r="F62" s="3" t="s">
        <v>110</v>
      </c>
      <c r="G62" s="3" t="s">
        <v>110</v>
      </c>
      <c r="H62" s="3" t="s">
        <v>110</v>
      </c>
      <c r="I62" s="120"/>
    </row>
    <row r="63" spans="1:9" ht="14.4" hidden="1" x14ac:dyDescent="0.3">
      <c r="A63" s="9" t="s">
        <v>1046</v>
      </c>
      <c r="B63" s="61" t="s">
        <v>373</v>
      </c>
      <c r="C63" s="93">
        <v>17</v>
      </c>
      <c r="D63" s="48"/>
      <c r="E63" s="48"/>
      <c r="F63" s="48"/>
      <c r="G63" s="48"/>
      <c r="H63" s="48"/>
    </row>
    <row r="64" spans="1:9" ht="14.4" hidden="1" x14ac:dyDescent="0.3">
      <c r="A64" s="77" t="s">
        <v>1046</v>
      </c>
      <c r="B64" s="9" t="s">
        <v>115</v>
      </c>
      <c r="C64" s="19">
        <v>17</v>
      </c>
      <c r="D64" s="3" t="s">
        <v>110</v>
      </c>
      <c r="E64" s="3" t="s">
        <v>110</v>
      </c>
      <c r="F64" s="3" t="s">
        <v>110</v>
      </c>
      <c r="G64" s="3" t="s">
        <v>110</v>
      </c>
      <c r="H64" s="3" t="s">
        <v>110</v>
      </c>
      <c r="I64" s="9"/>
    </row>
    <row r="65" spans="1:9" ht="14.4" hidden="1" x14ac:dyDescent="0.3">
      <c r="A65" t="s">
        <v>13</v>
      </c>
      <c r="B65" s="9" t="s">
        <v>367</v>
      </c>
      <c r="C65" s="19">
        <v>17</v>
      </c>
      <c r="D65" s="3" t="s">
        <v>110</v>
      </c>
      <c r="E65" s="3" t="s">
        <v>110</v>
      </c>
      <c r="F65" s="3" t="s">
        <v>110</v>
      </c>
      <c r="G65" s="3" t="s">
        <v>110</v>
      </c>
      <c r="H65" s="3" t="s">
        <v>110</v>
      </c>
      <c r="I65" s="9"/>
    </row>
    <row r="66" spans="1:9" ht="14.4" hidden="1" x14ac:dyDescent="0.3">
      <c r="A66" s="9" t="s">
        <v>1046</v>
      </c>
      <c r="B66" s="146" t="s">
        <v>370</v>
      </c>
      <c r="C66" s="19">
        <v>17</v>
      </c>
      <c r="D66" s="3" t="s">
        <v>110</v>
      </c>
      <c r="E66" s="3" t="s">
        <v>110</v>
      </c>
      <c r="F66" s="3" t="s">
        <v>110</v>
      </c>
      <c r="G66" s="3" t="s">
        <v>110</v>
      </c>
      <c r="H66" s="3" t="s">
        <v>110</v>
      </c>
      <c r="I66" s="9"/>
    </row>
    <row r="67" spans="1:9" ht="14.4" hidden="1" x14ac:dyDescent="0.3">
      <c r="A67" s="9" t="s">
        <v>1045</v>
      </c>
      <c r="B67" s="146" t="s">
        <v>376</v>
      </c>
      <c r="C67" s="19">
        <v>17</v>
      </c>
      <c r="D67" s="3" t="s">
        <v>110</v>
      </c>
      <c r="E67" s="3" t="s">
        <v>110</v>
      </c>
      <c r="F67" s="3" t="s">
        <v>110</v>
      </c>
      <c r="G67" s="3" t="s">
        <v>110</v>
      </c>
      <c r="H67" s="3" t="s">
        <v>110</v>
      </c>
      <c r="I67" s="9"/>
    </row>
    <row r="68" spans="1:9" ht="14.4" hidden="1" x14ac:dyDescent="0.3">
      <c r="A68" s="9" t="s">
        <v>1162</v>
      </c>
      <c r="B68" s="1" t="s">
        <v>365</v>
      </c>
      <c r="C68" s="6">
        <v>17</v>
      </c>
      <c r="D68" s="78"/>
      <c r="E68" s="78"/>
      <c r="F68" s="78"/>
      <c r="G68" s="78"/>
      <c r="H68" s="78"/>
      <c r="I68" s="68"/>
    </row>
    <row r="69" spans="1:9" ht="14.4" hidden="1" x14ac:dyDescent="0.3">
      <c r="A69" s="9" t="s">
        <v>1163</v>
      </c>
      <c r="B69" s="179" t="s">
        <v>137</v>
      </c>
      <c r="C69" s="95">
        <v>18</v>
      </c>
      <c r="D69" s="3" t="s">
        <v>110</v>
      </c>
      <c r="E69" s="3" t="s">
        <v>110</v>
      </c>
      <c r="F69" s="3" t="s">
        <v>110</v>
      </c>
      <c r="G69" s="3" t="s">
        <v>110</v>
      </c>
      <c r="H69" s="3" t="s">
        <v>110</v>
      </c>
      <c r="I69" s="68"/>
    </row>
    <row r="70" spans="1:9" ht="14.4" hidden="1" x14ac:dyDescent="0.3">
      <c r="A70" t="s">
        <v>1162</v>
      </c>
      <c r="B70" s="68" t="s">
        <v>379</v>
      </c>
      <c r="C70" s="95">
        <v>18</v>
      </c>
      <c r="D70" s="78" t="s">
        <v>110</v>
      </c>
      <c r="E70" s="78" t="s">
        <v>110</v>
      </c>
      <c r="F70" s="78" t="s">
        <v>110</v>
      </c>
      <c r="G70" s="78" t="s">
        <v>110</v>
      </c>
      <c r="H70" s="78" t="s">
        <v>110</v>
      </c>
      <c r="I70" s="68" t="s">
        <v>468</v>
      </c>
    </row>
    <row r="71" spans="1:9" ht="14.4" hidden="1" x14ac:dyDescent="0.3">
      <c r="A71" s="9" t="s">
        <v>1046</v>
      </c>
      <c r="B71" s="9" t="s">
        <v>130</v>
      </c>
      <c r="C71" s="19">
        <v>18</v>
      </c>
      <c r="D71" s="14" t="s">
        <v>110</v>
      </c>
      <c r="E71" s="14" t="s">
        <v>110</v>
      </c>
      <c r="F71" s="14" t="s">
        <v>110</v>
      </c>
      <c r="G71" s="14" t="s">
        <v>110</v>
      </c>
      <c r="H71" s="14" t="s">
        <v>110</v>
      </c>
      <c r="I71" s="9" t="s">
        <v>468</v>
      </c>
    </row>
    <row r="72" spans="1:9" ht="14.4" hidden="1" x14ac:dyDescent="0.3">
      <c r="A72" s="68" t="s">
        <v>1162</v>
      </c>
      <c r="B72" s="9" t="s">
        <v>102</v>
      </c>
      <c r="C72" s="19">
        <v>18</v>
      </c>
      <c r="D72" s="14" t="s">
        <v>16</v>
      </c>
      <c r="E72" s="78" t="s">
        <v>28</v>
      </c>
      <c r="F72" s="78" t="s">
        <v>28</v>
      </c>
      <c r="G72" s="78" t="s">
        <v>28</v>
      </c>
      <c r="H72" s="78" t="s">
        <v>28</v>
      </c>
      <c r="I72" s="9"/>
    </row>
    <row r="73" spans="1:9" ht="14.4" hidden="1" x14ac:dyDescent="0.3">
      <c r="A73" s="9" t="s">
        <v>1165</v>
      </c>
      <c r="B73" s="146" t="s">
        <v>382</v>
      </c>
      <c r="C73" s="19">
        <v>18</v>
      </c>
      <c r="D73" s="17" t="s">
        <v>110</v>
      </c>
      <c r="E73" s="14" t="s">
        <v>110</v>
      </c>
      <c r="F73" s="14" t="s">
        <v>110</v>
      </c>
      <c r="G73" s="14" t="s">
        <v>110</v>
      </c>
      <c r="H73" s="14" t="s">
        <v>110</v>
      </c>
      <c r="I73" s="146" t="s">
        <v>468</v>
      </c>
    </row>
    <row r="74" spans="1:9" ht="14.4" hidden="1" x14ac:dyDescent="0.3">
      <c r="A74" s="79" t="s">
        <v>1046</v>
      </c>
      <c r="B74" s="9" t="s">
        <v>559</v>
      </c>
      <c r="C74" s="19">
        <v>18</v>
      </c>
      <c r="D74" s="14"/>
      <c r="E74" s="14"/>
      <c r="F74" s="14"/>
      <c r="G74" s="14"/>
      <c r="H74" s="14"/>
      <c r="I74" s="9"/>
    </row>
    <row r="75" spans="1:9" ht="14.4" hidden="1" x14ac:dyDescent="0.3">
      <c r="A75" s="68" t="s">
        <v>1046</v>
      </c>
      <c r="B75" s="9" t="s">
        <v>380</v>
      </c>
      <c r="C75" s="19">
        <v>18</v>
      </c>
      <c r="D75" s="3" t="s">
        <v>110</v>
      </c>
      <c r="E75" s="3" t="s">
        <v>110</v>
      </c>
      <c r="F75" s="3" t="s">
        <v>110</v>
      </c>
      <c r="G75" s="3" t="s">
        <v>110</v>
      </c>
      <c r="H75" s="3" t="s">
        <v>110</v>
      </c>
      <c r="I75" s="9"/>
    </row>
    <row r="76" spans="1:9" ht="14.4" hidden="1" x14ac:dyDescent="0.3">
      <c r="A76" s="9" t="s">
        <v>1162</v>
      </c>
      <c r="B76" s="146" t="s">
        <v>134</v>
      </c>
      <c r="C76" s="19">
        <v>18</v>
      </c>
      <c r="D76" s="14" t="s">
        <v>24</v>
      </c>
      <c r="E76" s="14" t="s">
        <v>24</v>
      </c>
      <c r="F76" s="14" t="s">
        <v>24</v>
      </c>
      <c r="G76" s="14" t="s">
        <v>24</v>
      </c>
      <c r="H76" s="14" t="s">
        <v>24</v>
      </c>
      <c r="I76" s="9"/>
    </row>
    <row r="77" spans="1:9" ht="14.4" hidden="1" x14ac:dyDescent="0.3">
      <c r="A77" s="79" t="s">
        <v>1045</v>
      </c>
      <c r="B77" s="9" t="s">
        <v>128</v>
      </c>
      <c r="C77" s="19">
        <v>18</v>
      </c>
      <c r="D77" s="5" t="s">
        <v>28</v>
      </c>
      <c r="E77" s="14" t="s">
        <v>28</v>
      </c>
      <c r="F77" s="14" t="s">
        <v>28</v>
      </c>
      <c r="G77" s="14" t="s">
        <v>28</v>
      </c>
      <c r="H77" s="14" t="s">
        <v>28</v>
      </c>
      <c r="I77" s="9"/>
    </row>
    <row r="78" spans="1:9" ht="14.4" hidden="1" x14ac:dyDescent="0.3">
      <c r="A78" s="79" t="s">
        <v>1045</v>
      </c>
      <c r="B78" s="9" t="s">
        <v>151</v>
      </c>
      <c r="C78" s="19">
        <v>19</v>
      </c>
      <c r="D78" s="3" t="s">
        <v>110</v>
      </c>
      <c r="E78" s="3" t="s">
        <v>110</v>
      </c>
      <c r="F78" s="3" t="s">
        <v>110</v>
      </c>
      <c r="G78" s="3" t="s">
        <v>110</v>
      </c>
      <c r="H78" s="3" t="s">
        <v>110</v>
      </c>
      <c r="I78" s="9"/>
    </row>
    <row r="79" spans="1:9" ht="15.6" hidden="1" x14ac:dyDescent="0.3">
      <c r="A79" s="9" t="s">
        <v>1045</v>
      </c>
      <c r="B79" s="146" t="s">
        <v>1041</v>
      </c>
      <c r="C79" s="185">
        <v>20</v>
      </c>
      <c r="D79" s="3" t="s">
        <v>110</v>
      </c>
      <c r="E79" s="3" t="s">
        <v>110</v>
      </c>
      <c r="F79" s="3" t="s">
        <v>110</v>
      </c>
      <c r="G79" s="3" t="s">
        <v>110</v>
      </c>
      <c r="H79" s="3" t="s">
        <v>110</v>
      </c>
      <c r="I79" s="9"/>
    </row>
    <row r="80" spans="1:9" ht="14.4" hidden="1" x14ac:dyDescent="0.3">
      <c r="A80" s="79" t="s">
        <v>1045</v>
      </c>
      <c r="B80" s="9" t="s">
        <v>1154</v>
      </c>
      <c r="C80" s="19">
        <v>20</v>
      </c>
      <c r="D80" s="17" t="s">
        <v>110</v>
      </c>
      <c r="E80" s="14" t="s">
        <v>110</v>
      </c>
      <c r="F80" s="14" t="s">
        <v>110</v>
      </c>
      <c r="G80" s="14" t="s">
        <v>110</v>
      </c>
      <c r="H80" s="14" t="s">
        <v>110</v>
      </c>
      <c r="I80" s="146" t="s">
        <v>468</v>
      </c>
    </row>
    <row r="81" spans="1:13" ht="15.6" hidden="1" x14ac:dyDescent="0.3">
      <c r="A81" s="9" t="s">
        <v>1162</v>
      </c>
      <c r="B81" s="1" t="s">
        <v>1040</v>
      </c>
      <c r="C81" s="198">
        <v>20</v>
      </c>
      <c r="D81" s="17" t="s">
        <v>110</v>
      </c>
      <c r="E81" s="14" t="s">
        <v>110</v>
      </c>
      <c r="F81" s="14" t="s">
        <v>110</v>
      </c>
      <c r="G81" s="14" t="s">
        <v>110</v>
      </c>
      <c r="H81" s="14" t="s">
        <v>110</v>
      </c>
      <c r="I81" s="146" t="s">
        <v>468</v>
      </c>
    </row>
    <row r="82" spans="1:13" ht="15.6" hidden="1" x14ac:dyDescent="0.3">
      <c r="A82" s="9" t="s">
        <v>1046</v>
      </c>
      <c r="B82" s="1" t="s">
        <v>982</v>
      </c>
      <c r="C82" s="198">
        <v>20</v>
      </c>
      <c r="D82" s="3" t="s">
        <v>110</v>
      </c>
      <c r="E82" s="3" t="s">
        <v>110</v>
      </c>
      <c r="F82" s="3" t="s">
        <v>110</v>
      </c>
      <c r="G82" s="3" t="s">
        <v>110</v>
      </c>
      <c r="H82" s="3" t="s">
        <v>110</v>
      </c>
      <c r="I82" s="146"/>
    </row>
    <row r="83" spans="1:13" ht="15.6" hidden="1" x14ac:dyDescent="0.3">
      <c r="A83" s="9" t="s">
        <v>1162</v>
      </c>
      <c r="B83" s="259" t="s">
        <v>1155</v>
      </c>
      <c r="C83" s="198">
        <v>20</v>
      </c>
      <c r="D83" s="17" t="s">
        <v>16</v>
      </c>
      <c r="E83" s="14" t="s">
        <v>16</v>
      </c>
      <c r="F83" s="14"/>
      <c r="G83" s="14"/>
      <c r="H83" s="14" t="s">
        <v>16</v>
      </c>
      <c r="I83" s="146"/>
    </row>
    <row r="84" spans="1:13" ht="15.6" hidden="1" x14ac:dyDescent="0.3">
      <c r="A84" s="79" t="s">
        <v>1046</v>
      </c>
      <c r="B84" s="9" t="s">
        <v>1156</v>
      </c>
      <c r="C84" s="183">
        <v>20</v>
      </c>
      <c r="D84" s="3" t="s">
        <v>110</v>
      </c>
      <c r="E84" s="3" t="s">
        <v>110</v>
      </c>
      <c r="F84" s="3" t="s">
        <v>110</v>
      </c>
      <c r="G84" s="3" t="s">
        <v>110</v>
      </c>
      <c r="H84" s="3" t="s">
        <v>110</v>
      </c>
      <c r="I84" s="9"/>
    </row>
    <row r="85" spans="1:13" ht="14.4" hidden="1" x14ac:dyDescent="0.3">
      <c r="A85" s="79" t="s">
        <v>1162</v>
      </c>
      <c r="B85" s="1" t="s">
        <v>396</v>
      </c>
      <c r="C85" s="6">
        <v>20</v>
      </c>
      <c r="D85" s="14" t="s">
        <v>110</v>
      </c>
      <c r="E85" s="14" t="s">
        <v>110</v>
      </c>
      <c r="F85" s="14" t="s">
        <v>110</v>
      </c>
      <c r="G85" s="14" t="s">
        <v>110</v>
      </c>
      <c r="H85" s="14" t="s">
        <v>110</v>
      </c>
      <c r="I85" s="9" t="s">
        <v>468</v>
      </c>
    </row>
    <row r="86" spans="1:13" ht="15.6" hidden="1" x14ac:dyDescent="0.3">
      <c r="A86" s="9" t="s">
        <v>1045</v>
      </c>
      <c r="B86" t="s">
        <v>960</v>
      </c>
      <c r="C86" s="183">
        <v>20</v>
      </c>
      <c r="D86" s="3" t="s">
        <v>110</v>
      </c>
      <c r="E86" s="3" t="s">
        <v>110</v>
      </c>
      <c r="F86" s="3" t="s">
        <v>110</v>
      </c>
      <c r="G86" s="3" t="s">
        <v>110</v>
      </c>
      <c r="H86" s="3" t="s">
        <v>110</v>
      </c>
      <c r="I86" s="9"/>
    </row>
    <row r="87" spans="1:13" ht="14.4" hidden="1" x14ac:dyDescent="0.3">
      <c r="A87" s="9" t="s">
        <v>1046</v>
      </c>
      <c r="B87" s="197" t="s">
        <v>210</v>
      </c>
      <c r="C87" s="19" t="s">
        <v>203</v>
      </c>
      <c r="D87" s="14"/>
      <c r="E87" s="14"/>
      <c r="F87" s="14"/>
      <c r="G87" s="14"/>
      <c r="H87" s="14"/>
      <c r="I87" s="9"/>
    </row>
    <row r="88" spans="1:13" ht="14.4" hidden="1" x14ac:dyDescent="0.3">
      <c r="A88" s="9" t="s">
        <v>1045</v>
      </c>
      <c r="B88" s="1" t="s">
        <v>200</v>
      </c>
      <c r="C88" s="6">
        <v>21</v>
      </c>
      <c r="D88" s="14" t="s">
        <v>24</v>
      </c>
      <c r="E88" s="14" t="s">
        <v>14</v>
      </c>
      <c r="F88" s="14"/>
      <c r="G88" s="14"/>
      <c r="H88" s="14"/>
      <c r="I88" s="9"/>
    </row>
    <row r="89" spans="1:13" ht="14.4" hidden="1" x14ac:dyDescent="0.3">
      <c r="A89" s="9" t="s">
        <v>1162</v>
      </c>
      <c r="B89" s="1" t="s">
        <v>164</v>
      </c>
      <c r="C89" s="6">
        <v>21</v>
      </c>
      <c r="D89" s="14" t="s">
        <v>35</v>
      </c>
      <c r="E89" s="14" t="s">
        <v>14</v>
      </c>
      <c r="F89" s="14"/>
      <c r="G89" s="14"/>
      <c r="H89" s="14"/>
      <c r="I89" s="9"/>
    </row>
    <row r="90" spans="1:13" ht="14.4" x14ac:dyDescent="0.3">
      <c r="A90" s="9" t="s">
        <v>1045</v>
      </c>
      <c r="B90" s="1" t="s">
        <v>189</v>
      </c>
      <c r="C90" s="6">
        <v>21</v>
      </c>
      <c r="D90" s="14" t="s">
        <v>24</v>
      </c>
      <c r="E90" s="14" t="s">
        <v>16</v>
      </c>
      <c r="F90" s="14" t="s">
        <v>1168</v>
      </c>
      <c r="G90" s="14"/>
      <c r="H90" s="14"/>
      <c r="I90" s="9"/>
    </row>
    <row r="91" spans="1:13" ht="14.4" hidden="1" x14ac:dyDescent="0.3">
      <c r="A91" s="9" t="s">
        <v>1162</v>
      </c>
      <c r="B91" s="1" t="s">
        <v>170</v>
      </c>
      <c r="C91" s="6">
        <v>21</v>
      </c>
      <c r="D91" s="14" t="s">
        <v>28</v>
      </c>
      <c r="E91" s="14" t="s">
        <v>110</v>
      </c>
      <c r="F91" s="14" t="s">
        <v>110</v>
      </c>
      <c r="G91" s="14" t="s">
        <v>110</v>
      </c>
      <c r="H91" s="14" t="s">
        <v>110</v>
      </c>
      <c r="I91" s="9"/>
    </row>
    <row r="92" spans="1:13" ht="14.4" hidden="1" x14ac:dyDescent="0.3">
      <c r="A92" s="9" t="s">
        <v>1162</v>
      </c>
      <c r="B92" s="1" t="s">
        <v>172</v>
      </c>
      <c r="C92" s="6">
        <v>21</v>
      </c>
      <c r="D92" s="3" t="s">
        <v>110</v>
      </c>
      <c r="E92" s="3" t="s">
        <v>110</v>
      </c>
      <c r="F92" s="3" t="s">
        <v>110</v>
      </c>
      <c r="G92" s="3" t="s">
        <v>110</v>
      </c>
      <c r="H92" s="3" t="s">
        <v>110</v>
      </c>
      <c r="I92" s="9"/>
    </row>
    <row r="93" spans="1:13" ht="14.4" hidden="1" x14ac:dyDescent="0.3">
      <c r="A93" s="9" t="s">
        <v>1045</v>
      </c>
      <c r="B93" s="1" t="s">
        <v>176</v>
      </c>
      <c r="C93" s="6">
        <v>21</v>
      </c>
      <c r="D93" s="14"/>
      <c r="E93" s="3" t="s">
        <v>110</v>
      </c>
      <c r="F93" s="3" t="s">
        <v>110</v>
      </c>
      <c r="G93" s="3" t="s">
        <v>110</v>
      </c>
      <c r="H93" s="3" t="s">
        <v>110</v>
      </c>
      <c r="I93" s="3" t="s">
        <v>110</v>
      </c>
    </row>
    <row r="94" spans="1:13" ht="14.4" hidden="1" x14ac:dyDescent="0.3">
      <c r="A94" s="9" t="s">
        <v>1045</v>
      </c>
      <c r="B94" s="1" t="s">
        <v>184</v>
      </c>
      <c r="C94" s="6">
        <v>21</v>
      </c>
      <c r="D94" s="14" t="s">
        <v>28</v>
      </c>
      <c r="E94" s="14" t="s">
        <v>14</v>
      </c>
      <c r="F94" s="14" t="s">
        <v>14</v>
      </c>
      <c r="G94" s="14" t="s">
        <v>14</v>
      </c>
      <c r="H94" s="14" t="s">
        <v>14</v>
      </c>
      <c r="I94" s="9"/>
    </row>
    <row r="95" spans="1:13" ht="14.4" hidden="1" x14ac:dyDescent="0.3">
      <c r="A95" s="9" t="s">
        <v>1162</v>
      </c>
      <c r="B95" s="1" t="s">
        <v>180</v>
      </c>
      <c r="C95" s="6">
        <v>21</v>
      </c>
      <c r="D95" s="14" t="s">
        <v>16</v>
      </c>
      <c r="E95" s="14" t="s">
        <v>14</v>
      </c>
      <c r="F95" s="14"/>
      <c r="G95" s="14"/>
      <c r="H95" s="14"/>
      <c r="I95" s="9"/>
    </row>
    <row r="96" spans="1:13" ht="14.4" hidden="1" x14ac:dyDescent="0.3">
      <c r="A96" s="9" t="s">
        <v>1045</v>
      </c>
      <c r="B96" s="1" t="s">
        <v>197</v>
      </c>
      <c r="C96" s="6">
        <v>21</v>
      </c>
      <c r="D96" s="14" t="s">
        <v>28</v>
      </c>
      <c r="E96" s="14" t="s">
        <v>28</v>
      </c>
      <c r="F96" s="14" t="s">
        <v>28</v>
      </c>
      <c r="G96" s="14" t="s">
        <v>16</v>
      </c>
      <c r="H96" s="14" t="s">
        <v>28</v>
      </c>
      <c r="I96" s="9"/>
      <c r="M96">
        <f>104-9</f>
        <v>95</v>
      </c>
    </row>
    <row r="97" spans="1:9" ht="14.4" hidden="1" x14ac:dyDescent="0.3">
      <c r="A97" s="9" t="s">
        <v>1162</v>
      </c>
      <c r="B97" s="1" t="s">
        <v>178</v>
      </c>
      <c r="C97" s="6">
        <v>21</v>
      </c>
      <c r="D97" s="14" t="s">
        <v>16</v>
      </c>
      <c r="E97" s="14" t="s">
        <v>14</v>
      </c>
      <c r="F97" s="14"/>
      <c r="G97" s="14"/>
      <c r="H97" s="14"/>
      <c r="I97" s="9"/>
    </row>
    <row r="98" spans="1:9" ht="14.4" hidden="1" x14ac:dyDescent="0.3">
      <c r="A98" s="9" t="s">
        <v>1045</v>
      </c>
      <c r="B98" s="1" t="s">
        <v>183</v>
      </c>
      <c r="C98" s="6">
        <v>21</v>
      </c>
      <c r="D98" s="14" t="s">
        <v>28</v>
      </c>
      <c r="E98" s="14" t="s">
        <v>14</v>
      </c>
      <c r="F98" s="14"/>
      <c r="G98" s="14"/>
      <c r="H98" s="14"/>
      <c r="I98" s="9"/>
    </row>
    <row r="99" spans="1:9" ht="14.4" hidden="1" x14ac:dyDescent="0.3">
      <c r="A99" s="9" t="s">
        <v>1162</v>
      </c>
      <c r="B99" s="1" t="s">
        <v>185</v>
      </c>
      <c r="C99" s="6">
        <v>21</v>
      </c>
      <c r="D99" s="14" t="s">
        <v>28</v>
      </c>
      <c r="E99" s="14" t="s">
        <v>14</v>
      </c>
      <c r="F99" s="14"/>
      <c r="G99" s="14"/>
      <c r="H99" s="14"/>
      <c r="I99" s="9"/>
    </row>
    <row r="100" spans="1:9" ht="14.4" hidden="1" x14ac:dyDescent="0.3">
      <c r="A100" s="9" t="s">
        <v>1045</v>
      </c>
      <c r="B100" s="1" t="s">
        <v>173</v>
      </c>
      <c r="C100" s="6">
        <v>21</v>
      </c>
      <c r="D100" s="3" t="s">
        <v>110</v>
      </c>
      <c r="E100" s="3" t="s">
        <v>110</v>
      </c>
      <c r="F100" s="3" t="s">
        <v>110</v>
      </c>
      <c r="G100" s="3" t="s">
        <v>110</v>
      </c>
      <c r="H100" s="3" t="s">
        <v>110</v>
      </c>
      <c r="I100" s="9"/>
    </row>
    <row r="101" spans="1:9" ht="14.4" hidden="1" x14ac:dyDescent="0.3">
      <c r="A101" s="9" t="s">
        <v>1162</v>
      </c>
      <c r="B101" s="1" t="s">
        <v>188</v>
      </c>
      <c r="C101" s="6">
        <v>21</v>
      </c>
      <c r="D101" s="14" t="s">
        <v>110</v>
      </c>
      <c r="E101" s="14" t="s">
        <v>110</v>
      </c>
      <c r="F101" s="14" t="s">
        <v>110</v>
      </c>
      <c r="G101" s="14" t="s">
        <v>110</v>
      </c>
      <c r="H101" s="14" t="s">
        <v>110</v>
      </c>
      <c r="I101" s="9"/>
    </row>
    <row r="102" spans="1:9" ht="14.4" hidden="1" x14ac:dyDescent="0.3">
      <c r="A102" s="9" t="s">
        <v>1045</v>
      </c>
      <c r="B102" s="1" t="s">
        <v>192</v>
      </c>
      <c r="C102" s="6">
        <v>21</v>
      </c>
      <c r="D102" s="14" t="s">
        <v>16</v>
      </c>
      <c r="E102" s="14" t="s">
        <v>28</v>
      </c>
      <c r="F102" s="14" t="s">
        <v>110</v>
      </c>
      <c r="G102" s="14" t="s">
        <v>110</v>
      </c>
      <c r="H102" s="14" t="s">
        <v>110</v>
      </c>
      <c r="I102" s="9" t="s">
        <v>1158</v>
      </c>
    </row>
    <row r="103" spans="1:9" ht="14.4" hidden="1" x14ac:dyDescent="0.3">
      <c r="A103" s="9" t="s">
        <v>1162</v>
      </c>
      <c r="B103" s="1" t="s">
        <v>194</v>
      </c>
      <c r="C103" s="6">
        <v>21</v>
      </c>
      <c r="D103" s="14" t="s">
        <v>110</v>
      </c>
      <c r="E103" s="14" t="s">
        <v>110</v>
      </c>
      <c r="F103" s="14" t="s">
        <v>110</v>
      </c>
      <c r="G103" s="14" t="s">
        <v>110</v>
      </c>
      <c r="H103" s="14" t="s">
        <v>110</v>
      </c>
      <c r="I103" s="9"/>
    </row>
    <row r="104" spans="1:9" ht="14.4" hidden="1" x14ac:dyDescent="0.3">
      <c r="A104" s="9" t="s">
        <v>1045</v>
      </c>
      <c r="B104" s="1" t="s">
        <v>195</v>
      </c>
      <c r="C104" s="6">
        <v>21</v>
      </c>
      <c r="D104" s="14" t="s">
        <v>28</v>
      </c>
      <c r="E104" s="14" t="s">
        <v>28</v>
      </c>
      <c r="F104" s="5" t="s">
        <v>28</v>
      </c>
      <c r="G104" s="5" t="s">
        <v>28</v>
      </c>
      <c r="H104" s="5" t="s">
        <v>28</v>
      </c>
      <c r="I104" s="9"/>
    </row>
    <row r="105" spans="1:9" ht="14.4" hidden="1" x14ac:dyDescent="0.3">
      <c r="A105" s="9" t="s">
        <v>1162</v>
      </c>
      <c r="B105" s="1" t="s">
        <v>174</v>
      </c>
      <c r="C105" s="6">
        <v>21</v>
      </c>
      <c r="D105" s="14" t="s">
        <v>24</v>
      </c>
      <c r="E105" s="14" t="s">
        <v>110</v>
      </c>
      <c r="F105" s="14" t="s">
        <v>110</v>
      </c>
      <c r="G105" s="14" t="s">
        <v>110</v>
      </c>
      <c r="H105" s="14" t="s">
        <v>110</v>
      </c>
      <c r="I105" s="9"/>
    </row>
    <row r="106" spans="1:9" ht="14.4" x14ac:dyDescent="0.3">
      <c r="A106" s="9" t="s">
        <v>1045</v>
      </c>
      <c r="B106" s="1" t="s">
        <v>199</v>
      </c>
      <c r="C106" s="6">
        <v>21</v>
      </c>
      <c r="D106" s="14" t="s">
        <v>28</v>
      </c>
      <c r="E106" s="14" t="s">
        <v>28</v>
      </c>
      <c r="F106" s="14" t="s">
        <v>16</v>
      </c>
      <c r="G106" s="14" t="s">
        <v>28</v>
      </c>
      <c r="H106" s="14" t="s">
        <v>16</v>
      </c>
      <c r="I106" s="9"/>
    </row>
    <row r="107" spans="1:9" ht="14.4" hidden="1" x14ac:dyDescent="0.3">
      <c r="A107" s="9" t="s">
        <v>1162</v>
      </c>
      <c r="B107" s="33" t="s">
        <v>182</v>
      </c>
      <c r="C107" s="93">
        <v>21</v>
      </c>
      <c r="D107" s="78" t="s">
        <v>28</v>
      </c>
      <c r="E107" s="78" t="s">
        <v>28</v>
      </c>
      <c r="F107" s="78" t="s">
        <v>28</v>
      </c>
      <c r="G107" s="78" t="s">
        <v>28</v>
      </c>
      <c r="H107" s="78" t="s">
        <v>28</v>
      </c>
      <c r="I107" s="68"/>
    </row>
    <row r="108" spans="1:9" ht="14.4" x14ac:dyDescent="0.3">
      <c r="A108" s="9" t="s">
        <v>1045</v>
      </c>
      <c r="B108" s="9" t="s">
        <v>196</v>
      </c>
      <c r="C108" s="19">
        <v>21</v>
      </c>
      <c r="D108" s="14" t="s">
        <v>16</v>
      </c>
      <c r="E108" s="14" t="s">
        <v>16</v>
      </c>
      <c r="F108" s="14" t="s">
        <v>16</v>
      </c>
      <c r="G108" s="14" t="s">
        <v>110</v>
      </c>
      <c r="H108" s="14" t="s">
        <v>110</v>
      </c>
      <c r="I108" s="9"/>
    </row>
    <row r="109" spans="1:9" ht="14.4" hidden="1" x14ac:dyDescent="0.3">
      <c r="A109" s="9" t="s">
        <v>1162</v>
      </c>
      <c r="B109" s="9" t="s">
        <v>201</v>
      </c>
      <c r="C109" s="19">
        <v>21</v>
      </c>
      <c r="D109" s="14" t="s">
        <v>28</v>
      </c>
      <c r="E109" s="14" t="s">
        <v>28</v>
      </c>
      <c r="F109" s="14" t="s">
        <v>28</v>
      </c>
      <c r="G109" s="14" t="s">
        <v>28</v>
      </c>
      <c r="H109" s="14" t="s">
        <v>28</v>
      </c>
      <c r="I109" s="9"/>
    </row>
    <row r="110" spans="1:9" ht="14.4" x14ac:dyDescent="0.3">
      <c r="C110" s="26"/>
    </row>
    <row r="112" spans="1:9" ht="14.4" x14ac:dyDescent="0.3">
      <c r="B112" s="371" t="s">
        <v>1025</v>
      </c>
      <c r="C112" s="384"/>
      <c r="D112" s="3">
        <f>+COUNTIF(D4:D111,"OK")</f>
        <v>12</v>
      </c>
      <c r="E112" s="3">
        <f>+COUNTIF(E4:E111,"OK")</f>
        <v>7</v>
      </c>
      <c r="F112" s="3">
        <f>+COUNTIF(F4:F111,"OK")</f>
        <v>6</v>
      </c>
      <c r="G112" s="3">
        <f>+COUNTIF(G4:G111,"OK")</f>
        <v>4</v>
      </c>
      <c r="H112" s="3">
        <f>+COUNTIF(H4:H110,"OK")</f>
        <v>9</v>
      </c>
      <c r="I112">
        <f>+SUM(D112:H112)</f>
        <v>38</v>
      </c>
    </row>
    <row r="113" spans="2:9" ht="14.4" x14ac:dyDescent="0.3">
      <c r="B113" s="109" t="s">
        <v>902</v>
      </c>
      <c r="D113" s="5">
        <v>15</v>
      </c>
      <c r="E113" s="5">
        <v>6</v>
      </c>
      <c r="F113" s="5">
        <v>6</v>
      </c>
      <c r="G113" s="5">
        <v>6</v>
      </c>
      <c r="H113" s="5">
        <v>6</v>
      </c>
      <c r="I113">
        <f>+SUM(D113:H113)</f>
        <v>39</v>
      </c>
    </row>
    <row r="117" spans="2:9" ht="14.4" x14ac:dyDescent="0.3">
      <c r="B117" s="16"/>
      <c r="C117"/>
    </row>
    <row r="118" spans="2:9" ht="14.4" x14ac:dyDescent="0.3">
      <c r="D118" s="372" t="s">
        <v>905</v>
      </c>
      <c r="E118" s="372"/>
      <c r="F118" s="372"/>
      <c r="G118" s="372"/>
      <c r="H118" s="372"/>
      <c r="I118" s="53" t="s">
        <v>903</v>
      </c>
    </row>
    <row r="119" spans="2:9" ht="15.6" x14ac:dyDescent="0.3">
      <c r="B119" s="351" t="s">
        <v>1169</v>
      </c>
      <c r="C119" s="385"/>
      <c r="D119" s="258">
        <f>+D112-2</f>
        <v>10</v>
      </c>
      <c r="E119" s="258">
        <f>+E112-2</f>
        <v>5</v>
      </c>
      <c r="F119" s="258">
        <f>+F112-2</f>
        <v>4</v>
      </c>
      <c r="G119" s="258">
        <f>+G112-1</f>
        <v>3</v>
      </c>
      <c r="H119" s="258">
        <f>+H112-2</f>
        <v>7</v>
      </c>
    </row>
    <row r="120" spans="2:9" ht="14.4" x14ac:dyDescent="0.3">
      <c r="D120" s="108" t="s">
        <v>1170</v>
      </c>
      <c r="E120" s="108" t="s">
        <v>1063</v>
      </c>
      <c r="F120" s="108" t="s">
        <v>1064</v>
      </c>
      <c r="G120" s="108" t="s">
        <v>908</v>
      </c>
      <c r="H120" s="108" t="s">
        <v>909</v>
      </c>
    </row>
    <row r="121" spans="2:9" ht="14.4" x14ac:dyDescent="0.3">
      <c r="D121" s="354" t="s">
        <v>910</v>
      </c>
      <c r="E121" s="355"/>
      <c r="F121" s="355"/>
      <c r="G121" s="355"/>
      <c r="H121" s="356"/>
      <c r="I121" s="5"/>
    </row>
  </sheetData>
  <autoFilter ref="A3:L109" xr:uid="{665D032E-E5E2-4C69-B402-399B94A8E0FE}">
    <filterColumn colId="5">
      <filters>
        <filter val="OK"/>
      </filters>
    </filterColumn>
    <filterColumn colId="10" showButton="0"/>
  </autoFilter>
  <mergeCells count="6">
    <mergeCell ref="D121:H121"/>
    <mergeCell ref="A2:C2"/>
    <mergeCell ref="K3:L3"/>
    <mergeCell ref="B112:C112"/>
    <mergeCell ref="D118:H118"/>
    <mergeCell ref="B119:C119"/>
  </mergeCells>
  <conditionalFormatting sqref="B3:C3">
    <cfRule type="expression" dxfId="353" priority="60">
      <formula>COUNTIF($A3:Y3, "NI")</formula>
    </cfRule>
  </conditionalFormatting>
  <conditionalFormatting sqref="B4:C11 B13:C18 B20:C38 B40:C46">
    <cfRule type="expression" dxfId="352" priority="61">
      <formula>COUNTIF($B4:AB4, "C")</formula>
    </cfRule>
    <cfRule type="expression" dxfId="351" priority="62">
      <formula>COUNTIF($B4:AB4, "Q")</formula>
    </cfRule>
    <cfRule type="expression" dxfId="350" priority="63">
      <formula>COUNTIF($B4:AB4, "M")</formula>
    </cfRule>
    <cfRule type="expression" dxfId="349" priority="64">
      <formula>COUNTIF($B4:AB4, "A")</formula>
    </cfRule>
    <cfRule type="expression" dxfId="348" priority="65">
      <formula>COUNTIF($A4:AB4, "NI")</formula>
    </cfRule>
  </conditionalFormatting>
  <conditionalFormatting sqref="B12:C12">
    <cfRule type="expression" dxfId="347" priority="1">
      <formula>COUNTIF($B12:Z12, "C")</formula>
    </cfRule>
    <cfRule type="expression" dxfId="346" priority="2">
      <formula>COUNTIF($B12:Z12, "Q")</formula>
    </cfRule>
    <cfRule type="expression" dxfId="345" priority="3">
      <formula>COUNTIF($B12:Z12, "M")</formula>
    </cfRule>
    <cfRule type="expression" dxfId="344" priority="4">
      <formula>COUNTIF($B12:Z12, "A")</formula>
    </cfRule>
    <cfRule type="expression" dxfId="343" priority="5">
      <formula>COUNTIF($A12:Z12, "NI")</formula>
    </cfRule>
  </conditionalFormatting>
  <conditionalFormatting sqref="B19:C19">
    <cfRule type="expression" dxfId="342" priority="11">
      <formula>COUNTIF($B19:Z19, "C")</formula>
    </cfRule>
    <cfRule type="expression" dxfId="341" priority="12">
      <formula>COUNTIF($B19:Z19, "Q")</formula>
    </cfRule>
    <cfRule type="expression" dxfId="340" priority="13">
      <formula>COUNTIF($B19:Z19, "M")</formula>
    </cfRule>
    <cfRule type="expression" dxfId="339" priority="14">
      <formula>COUNTIF($B19:Z19, "A")</formula>
    </cfRule>
    <cfRule type="expression" dxfId="338" priority="15">
      <formula>COUNTIF($A19:Z19, "NI")</formula>
    </cfRule>
  </conditionalFormatting>
  <conditionalFormatting sqref="B39:C39">
    <cfRule type="expression" dxfId="337" priority="6">
      <formula>COUNTIF($B39:Z39, "C")</formula>
    </cfRule>
    <cfRule type="expression" dxfId="336" priority="7">
      <formula>COUNTIF($B39:Z39, "Q")</formula>
    </cfRule>
    <cfRule type="expression" dxfId="335" priority="8">
      <formula>COUNTIF($B39:Z39, "M")</formula>
    </cfRule>
    <cfRule type="expression" dxfId="334" priority="9">
      <formula>COUNTIF($B39:Z39, "A")</formula>
    </cfRule>
    <cfRule type="expression" dxfId="333" priority="10">
      <formula>COUNTIF($A39:Z39, "NI")</formula>
    </cfRule>
  </conditionalFormatting>
  <conditionalFormatting sqref="B48:C71">
    <cfRule type="expression" dxfId="332" priority="16">
      <formula>COUNTIF($B48:Z48, "C")</formula>
    </cfRule>
    <cfRule type="expression" dxfId="331" priority="17">
      <formula>COUNTIF($B48:Z48, "Q")</formula>
    </cfRule>
    <cfRule type="expression" dxfId="330" priority="18">
      <formula>COUNTIF($B48:Z48, "M")</formula>
    </cfRule>
    <cfRule type="expression" dxfId="329" priority="19">
      <formula>COUNTIF($B48:Z48, "A")</formula>
    </cfRule>
    <cfRule type="expression" dxfId="328" priority="20">
      <formula>COUNTIF($A48:Z48, "NI")</formula>
    </cfRule>
  </conditionalFormatting>
  <conditionalFormatting sqref="B80:C81 C86 B87:C87 B110:C110">
    <cfRule type="expression" dxfId="327" priority="51">
      <formula>COUNTIF($B80:Z80, "C")</formula>
    </cfRule>
    <cfRule type="expression" dxfId="326" priority="52">
      <formula>COUNTIF($B80:Z80, "Q")</formula>
    </cfRule>
    <cfRule type="expression" dxfId="325" priority="53">
      <formula>COUNTIF($B80:Z80, "M")</formula>
    </cfRule>
    <cfRule type="expression" dxfId="324" priority="54">
      <formula>COUNTIF($B80:Z80, "A")</formula>
    </cfRule>
    <cfRule type="expression" dxfId="323" priority="55">
      <formula>COUNTIF($A80:Z80, "NI")</formula>
    </cfRule>
  </conditionalFormatting>
  <conditionalFormatting sqref="B82:C82 B88:C109">
    <cfRule type="expression" dxfId="322" priority="50">
      <formula>COUNTIF($A82:Z82, "NI")</formula>
    </cfRule>
  </conditionalFormatting>
  <conditionalFormatting sqref="B83:C85 B88:C109">
    <cfRule type="expression" dxfId="321" priority="39">
      <formula>COUNTIF($B83:Z83, "A")</formula>
    </cfRule>
  </conditionalFormatting>
  <conditionalFormatting sqref="B83:C85 C88:C109">
    <cfRule type="expression" dxfId="320" priority="36">
      <formula>COUNTIF($B83:Z83, "C")</formula>
    </cfRule>
    <cfRule type="expression" dxfId="319" priority="37">
      <formula>COUNTIF($B83:Z83, "Q")</formula>
    </cfRule>
    <cfRule type="expression" dxfId="318" priority="38">
      <formula>COUNTIF($B83:Z83, "M")</formula>
    </cfRule>
  </conditionalFormatting>
  <conditionalFormatting sqref="B83:C85">
    <cfRule type="expression" dxfId="317" priority="40">
      <formula>COUNTIF($A83:Z83, "NI")</formula>
    </cfRule>
  </conditionalFormatting>
  <conditionalFormatting sqref="C3">
    <cfRule type="expression" dxfId="316" priority="56">
      <formula>COUNTIF($A3:Z3, "C")</formula>
    </cfRule>
    <cfRule type="expression" dxfId="315" priority="57">
      <formula>COUNTIF($A3:Z3, "Q")</formula>
    </cfRule>
    <cfRule type="expression" dxfId="314" priority="58">
      <formula>COUNTIF($A3:Z3, "M")</formula>
    </cfRule>
    <cfRule type="expression" dxfId="313" priority="59">
      <formula>COUNTIF($A3:Z3, "A")</formula>
    </cfRule>
  </conditionalFormatting>
  <conditionalFormatting sqref="C72:C73 B72:B79">
    <cfRule type="expression" dxfId="312" priority="66">
      <formula>COUNTIF($B72:Z72, "C")</formula>
    </cfRule>
    <cfRule type="expression" dxfId="311" priority="67">
      <formula>COUNTIF($B72:Z72, "Q")</formula>
    </cfRule>
    <cfRule type="expression" dxfId="310" priority="68">
      <formula>COUNTIF($B72:Z72, "M")</formula>
    </cfRule>
    <cfRule type="expression" dxfId="309" priority="69">
      <formula>COUNTIF($B72:Z72, "A")</formula>
    </cfRule>
    <cfRule type="expression" dxfId="308" priority="70">
      <formula>COUNTIF($A72:Z72, "NI")</formula>
    </cfRule>
  </conditionalFormatting>
  <conditionalFormatting sqref="C82">
    <cfRule type="expression" dxfId="307" priority="46">
      <formula>COUNTIF($B82:AA82, "C")</formula>
    </cfRule>
    <cfRule type="expression" dxfId="306" priority="47">
      <formula>COUNTIF($B82:AA82, "Q")</formula>
    </cfRule>
    <cfRule type="expression" dxfId="305" priority="48">
      <formula>COUNTIF($B82:AA82, "M")</formula>
    </cfRule>
    <cfRule type="expression" dxfId="304" priority="49">
      <formula>COUNTIF($B82:AA82, "A")</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DF447-8B06-4D2B-B78D-8B337906D99C}">
  <dimension ref="A2:L98"/>
  <sheetViews>
    <sheetView zoomScale="95" workbookViewId="0">
      <pane ySplit="3" topLeftCell="A4" activePane="bottomLeft" state="frozen"/>
      <selection pane="bottomLeft" activeCell="B4" sqref="B4"/>
    </sheetView>
  </sheetViews>
  <sheetFormatPr baseColWidth="10" defaultColWidth="8.88671875" defaultRowHeight="15" customHeight="1" x14ac:dyDescent="0.3"/>
  <cols>
    <col min="1" max="1" width="14.6640625" customWidth="1"/>
    <col min="2" max="2" width="39.6640625" bestFit="1" customWidth="1"/>
    <col min="3" max="3" width="9.109375" style="5"/>
    <col min="4" max="7" width="23.6640625" customWidth="1"/>
    <col min="8" max="8" width="25.44140625" customWidth="1"/>
    <col min="9" max="9" width="42.5546875" customWidth="1"/>
    <col min="10" max="11" width="9.109375"/>
    <col min="12" max="12" width="21.6640625" customWidth="1"/>
  </cols>
  <sheetData>
    <row r="2" spans="1:12" s="103" customFormat="1" ht="43.2" customHeight="1" x14ac:dyDescent="0.3">
      <c r="A2" s="377" t="s">
        <v>816</v>
      </c>
      <c r="B2" s="378"/>
      <c r="C2" s="379"/>
      <c r="D2" s="113" t="s">
        <v>971</v>
      </c>
      <c r="E2" s="113" t="s">
        <v>971</v>
      </c>
      <c r="F2" s="113" t="s">
        <v>971</v>
      </c>
      <c r="G2" s="113" t="s">
        <v>971</v>
      </c>
      <c r="H2" s="113" t="s">
        <v>971</v>
      </c>
      <c r="I2" s="114" t="s">
        <v>817</v>
      </c>
    </row>
    <row r="3" spans="1:12" s="5" customFormat="1" ht="14.4" x14ac:dyDescent="0.3">
      <c r="A3" s="123" t="s">
        <v>4</v>
      </c>
      <c r="B3" s="124" t="s">
        <v>739</v>
      </c>
      <c r="C3" s="124" t="s">
        <v>740</v>
      </c>
      <c r="D3" s="100" t="s">
        <v>1170</v>
      </c>
      <c r="E3" s="100" t="s">
        <v>1063</v>
      </c>
      <c r="F3" s="100" t="s">
        <v>1171</v>
      </c>
      <c r="G3" s="100" t="s">
        <v>908</v>
      </c>
      <c r="H3" s="100" t="s">
        <v>1172</v>
      </c>
      <c r="I3" s="3"/>
      <c r="K3" s="366" t="s">
        <v>970</v>
      </c>
      <c r="L3" s="366"/>
    </row>
    <row r="4" spans="1:12" ht="14.4" customHeight="1" x14ac:dyDescent="0.3">
      <c r="A4" s="1" t="s">
        <v>1046</v>
      </c>
      <c r="B4" s="36" t="s">
        <v>34</v>
      </c>
      <c r="C4" s="6">
        <v>5</v>
      </c>
      <c r="D4" s="1" t="s">
        <v>110</v>
      </c>
      <c r="E4" s="1" t="s">
        <v>110</v>
      </c>
      <c r="F4" s="58" t="s">
        <v>110</v>
      </c>
      <c r="G4" s="58" t="s">
        <v>110</v>
      </c>
      <c r="H4" s="58" t="s">
        <v>110</v>
      </c>
      <c r="I4" s="1"/>
      <c r="K4" s="105" t="s">
        <v>16</v>
      </c>
      <c r="L4" s="106" t="s">
        <v>976</v>
      </c>
    </row>
    <row r="5" spans="1:12" ht="14.4" customHeight="1" x14ac:dyDescent="0.3">
      <c r="A5" s="1" t="s">
        <v>1046</v>
      </c>
      <c r="B5" s="36" t="s">
        <v>1037</v>
      </c>
      <c r="C5" s="6">
        <v>6</v>
      </c>
      <c r="D5" s="1" t="s">
        <v>28</v>
      </c>
      <c r="E5" s="1" t="s">
        <v>28</v>
      </c>
      <c r="F5" s="1" t="s">
        <v>28</v>
      </c>
      <c r="G5" s="1" t="s">
        <v>16</v>
      </c>
      <c r="H5" s="1" t="s">
        <v>16</v>
      </c>
      <c r="I5" s="1"/>
    </row>
    <row r="6" spans="1:12" ht="14.4" customHeight="1" x14ac:dyDescent="0.3">
      <c r="A6" s="1" t="s">
        <v>1163</v>
      </c>
      <c r="B6" s="36" t="s">
        <v>319</v>
      </c>
      <c r="C6" s="6">
        <v>13</v>
      </c>
      <c r="D6" s="1" t="s">
        <v>14</v>
      </c>
      <c r="E6" s="1" t="s">
        <v>28</v>
      </c>
      <c r="F6" s="1" t="s">
        <v>28</v>
      </c>
      <c r="G6" s="1" t="s">
        <v>28</v>
      </c>
      <c r="H6" s="1" t="s">
        <v>28</v>
      </c>
      <c r="I6" s="1"/>
    </row>
    <row r="7" spans="1:12" ht="14.4" customHeight="1" x14ac:dyDescent="0.3">
      <c r="A7" t="s">
        <v>1162</v>
      </c>
      <c r="B7" s="1" t="s">
        <v>22</v>
      </c>
      <c r="C7" s="6">
        <v>8</v>
      </c>
      <c r="D7" s="1" t="s">
        <v>28</v>
      </c>
      <c r="E7" s="1" t="s">
        <v>28</v>
      </c>
      <c r="F7" s="1" t="s">
        <v>28</v>
      </c>
      <c r="G7" s="1" t="s">
        <v>28</v>
      </c>
      <c r="H7" s="1" t="s">
        <v>28</v>
      </c>
      <c r="I7" s="1"/>
    </row>
    <row r="8" spans="1:12" ht="14.4" customHeight="1" x14ac:dyDescent="0.3">
      <c r="A8" s="1" t="s">
        <v>1045</v>
      </c>
      <c r="B8" s="36" t="s">
        <v>331</v>
      </c>
      <c r="C8" s="6">
        <v>14</v>
      </c>
      <c r="D8" s="1" t="s">
        <v>16</v>
      </c>
      <c r="E8" s="1" t="s">
        <v>28</v>
      </c>
      <c r="F8" s="58" t="s">
        <v>28</v>
      </c>
      <c r="G8" s="58" t="s">
        <v>28</v>
      </c>
      <c r="H8" s="58" t="s">
        <v>28</v>
      </c>
      <c r="I8" s="1"/>
    </row>
    <row r="9" spans="1:12" ht="14.4" customHeight="1" x14ac:dyDescent="0.3">
      <c r="A9" s="1" t="s">
        <v>1045</v>
      </c>
      <c r="B9" s="1" t="s">
        <v>1041</v>
      </c>
      <c r="C9" s="198">
        <v>20</v>
      </c>
      <c r="D9" s="1" t="s">
        <v>16</v>
      </c>
      <c r="E9" s="1" t="s">
        <v>28</v>
      </c>
      <c r="F9" s="1" t="s">
        <v>28</v>
      </c>
      <c r="G9" s="1" t="s">
        <v>28</v>
      </c>
      <c r="H9" s="1" t="s">
        <v>28</v>
      </c>
      <c r="I9" s="1"/>
    </row>
    <row r="10" spans="1:12" ht="14.4" customHeight="1" x14ac:dyDescent="0.3">
      <c r="A10" t="s">
        <v>1162</v>
      </c>
      <c r="B10" s="1" t="s">
        <v>68</v>
      </c>
      <c r="C10" s="6">
        <v>11</v>
      </c>
      <c r="D10" s="1" t="s">
        <v>28</v>
      </c>
      <c r="E10" s="1" t="s">
        <v>28</v>
      </c>
      <c r="F10" s="1" t="s">
        <v>28</v>
      </c>
      <c r="G10" s="1" t="s">
        <v>28</v>
      </c>
      <c r="H10" s="1" t="s">
        <v>28</v>
      </c>
      <c r="I10" s="1"/>
    </row>
    <row r="11" spans="1:12" ht="14.4" customHeight="1" x14ac:dyDescent="0.3">
      <c r="A11" s="1" t="s">
        <v>1046</v>
      </c>
      <c r="B11" s="36" t="s">
        <v>45</v>
      </c>
      <c r="C11" s="6">
        <v>12</v>
      </c>
      <c r="D11" s="1" t="s">
        <v>28</v>
      </c>
      <c r="E11" s="1" t="s">
        <v>28</v>
      </c>
      <c r="F11" s="58" t="s">
        <v>28</v>
      </c>
      <c r="G11" s="58" t="s">
        <v>28</v>
      </c>
      <c r="H11" s="58" t="s">
        <v>28</v>
      </c>
      <c r="I11" s="1"/>
    </row>
    <row r="12" spans="1:12" ht="14.4" customHeight="1" x14ac:dyDescent="0.3">
      <c r="A12" s="1" t="s">
        <v>1165</v>
      </c>
      <c r="B12" s="1" t="s">
        <v>300</v>
      </c>
      <c r="C12" s="6">
        <v>12</v>
      </c>
      <c r="D12" s="1" t="s">
        <v>28</v>
      </c>
      <c r="E12" s="1" t="s">
        <v>28</v>
      </c>
      <c r="F12" s="58" t="s">
        <v>28</v>
      </c>
      <c r="G12" s="58" t="s">
        <v>28</v>
      </c>
      <c r="H12" s="58"/>
      <c r="I12" s="1"/>
    </row>
    <row r="13" spans="1:12" ht="14.4" customHeight="1" x14ac:dyDescent="0.3">
      <c r="A13" s="1" t="s">
        <v>1045</v>
      </c>
      <c r="B13" s="1" t="s">
        <v>1166</v>
      </c>
      <c r="C13" s="6">
        <v>12</v>
      </c>
      <c r="D13" s="1" t="s">
        <v>14</v>
      </c>
      <c r="E13" s="1" t="s">
        <v>16</v>
      </c>
      <c r="F13" s="1" t="s">
        <v>28</v>
      </c>
      <c r="G13" s="1" t="s">
        <v>28</v>
      </c>
      <c r="H13" s="1" t="s">
        <v>16</v>
      </c>
      <c r="I13" s="1"/>
    </row>
    <row r="14" spans="1:12" ht="14.4" customHeight="1" x14ac:dyDescent="0.3">
      <c r="A14" t="s">
        <v>1162</v>
      </c>
      <c r="B14" s="1" t="s">
        <v>315</v>
      </c>
      <c r="C14" s="6">
        <v>13</v>
      </c>
      <c r="D14" s="1" t="s">
        <v>14</v>
      </c>
      <c r="E14" s="1" t="s">
        <v>110</v>
      </c>
      <c r="F14" s="1" t="s">
        <v>110</v>
      </c>
      <c r="G14" s="1" t="s">
        <v>110</v>
      </c>
      <c r="H14" s="1" t="s">
        <v>110</v>
      </c>
      <c r="I14" s="1"/>
    </row>
    <row r="15" spans="1:12" ht="14.4" customHeight="1" x14ac:dyDescent="0.3">
      <c r="A15" s="1" t="s">
        <v>1046</v>
      </c>
      <c r="B15" s="36" t="s">
        <v>317</v>
      </c>
      <c r="C15" s="6">
        <v>13</v>
      </c>
      <c r="D15" s="1" t="s">
        <v>24</v>
      </c>
      <c r="E15" s="1" t="s">
        <v>24</v>
      </c>
      <c r="F15" s="58" t="s">
        <v>24</v>
      </c>
      <c r="G15" s="58" t="s">
        <v>24</v>
      </c>
      <c r="H15" s="58" t="s">
        <v>24</v>
      </c>
      <c r="I15" s="1"/>
    </row>
    <row r="16" spans="1:12" ht="14.4" customHeight="1" x14ac:dyDescent="0.3">
      <c r="A16" s="1" t="s">
        <v>1046</v>
      </c>
      <c r="B16" s="36" t="s">
        <v>318</v>
      </c>
      <c r="C16" s="6">
        <v>13</v>
      </c>
      <c r="D16" s="1" t="s">
        <v>24</v>
      </c>
      <c r="E16" s="1" t="s">
        <v>24</v>
      </c>
      <c r="F16" s="58" t="s">
        <v>24</v>
      </c>
      <c r="G16" s="58" t="s">
        <v>24</v>
      </c>
      <c r="H16" s="58" t="s">
        <v>24</v>
      </c>
      <c r="I16" s="1"/>
    </row>
    <row r="17" spans="1:9" ht="14.4" customHeight="1" x14ac:dyDescent="0.3">
      <c r="A17" s="1" t="s">
        <v>1045</v>
      </c>
      <c r="B17" s="1" t="s">
        <v>1154</v>
      </c>
      <c r="C17" s="6">
        <v>20</v>
      </c>
      <c r="D17" s="1" t="s">
        <v>16</v>
      </c>
      <c r="E17" s="1" t="s">
        <v>28</v>
      </c>
      <c r="F17" s="1" t="s">
        <v>16</v>
      </c>
      <c r="G17" s="1" t="s">
        <v>28</v>
      </c>
      <c r="H17" s="1" t="s">
        <v>28</v>
      </c>
      <c r="I17" s="1"/>
    </row>
    <row r="18" spans="1:9" ht="14.4" customHeight="1" x14ac:dyDescent="0.3">
      <c r="A18" s="1" t="s">
        <v>1165</v>
      </c>
      <c r="B18" s="1" t="s">
        <v>58</v>
      </c>
      <c r="C18" s="6">
        <v>13</v>
      </c>
      <c r="D18" s="1" t="s">
        <v>28</v>
      </c>
      <c r="E18" s="1" t="s">
        <v>28</v>
      </c>
      <c r="F18" s="1" t="s">
        <v>28</v>
      </c>
      <c r="G18" s="1" t="s">
        <v>28</v>
      </c>
      <c r="H18" s="1" t="s">
        <v>28</v>
      </c>
      <c r="I18" s="1"/>
    </row>
    <row r="19" spans="1:9" ht="14.4" customHeight="1" x14ac:dyDescent="0.3">
      <c r="A19" s="1" t="s">
        <v>1046</v>
      </c>
      <c r="B19" s="36" t="s">
        <v>62</v>
      </c>
      <c r="C19" s="6">
        <v>13</v>
      </c>
      <c r="D19" s="1" t="s">
        <v>16</v>
      </c>
      <c r="E19" s="1" t="s">
        <v>28</v>
      </c>
      <c r="F19" s="58" t="s">
        <v>28</v>
      </c>
      <c r="G19" s="58" t="s">
        <v>28</v>
      </c>
      <c r="H19" s="58" t="s">
        <v>28</v>
      </c>
      <c r="I19" s="1"/>
    </row>
    <row r="20" spans="1:9" ht="14.4" customHeight="1" x14ac:dyDescent="0.3">
      <c r="A20" s="1" t="s">
        <v>1163</v>
      </c>
      <c r="B20" s="36" t="s">
        <v>825</v>
      </c>
      <c r="C20" s="6">
        <v>14</v>
      </c>
      <c r="D20" s="1" t="s">
        <v>28</v>
      </c>
      <c r="E20" s="1" t="s">
        <v>16</v>
      </c>
      <c r="F20" s="1" t="s">
        <v>16</v>
      </c>
      <c r="G20" s="1" t="s">
        <v>14</v>
      </c>
      <c r="H20" s="1" t="s">
        <v>16</v>
      </c>
      <c r="I20" s="1"/>
    </row>
    <row r="21" spans="1:9" ht="14.4" x14ac:dyDescent="0.3">
      <c r="A21" s="1" t="s">
        <v>1045</v>
      </c>
      <c r="B21" s="36" t="s">
        <v>261</v>
      </c>
      <c r="C21" s="6">
        <v>7</v>
      </c>
      <c r="D21" s="1" t="s">
        <v>28</v>
      </c>
      <c r="E21" s="1" t="s">
        <v>28</v>
      </c>
      <c r="F21" s="1" t="s">
        <v>28</v>
      </c>
      <c r="G21" s="1" t="s">
        <v>28</v>
      </c>
      <c r="H21" s="1" t="s">
        <v>28</v>
      </c>
      <c r="I21" s="1" t="s">
        <v>1173</v>
      </c>
    </row>
    <row r="22" spans="1:9" ht="14.4" x14ac:dyDescent="0.3">
      <c r="A22" s="1" t="s">
        <v>1046</v>
      </c>
      <c r="B22" s="36" t="s">
        <v>96</v>
      </c>
      <c r="C22" s="6">
        <v>0</v>
      </c>
      <c r="D22" s="1" t="s">
        <v>24</v>
      </c>
      <c r="E22" s="1" t="s">
        <v>24</v>
      </c>
      <c r="F22" s="58" t="s">
        <v>24</v>
      </c>
      <c r="G22" s="58" t="s">
        <v>24</v>
      </c>
      <c r="H22" s="58" t="s">
        <v>24</v>
      </c>
      <c r="I22" s="1"/>
    </row>
    <row r="23" spans="1:9" ht="14.4" x14ac:dyDescent="0.3">
      <c r="A23" s="1" t="s">
        <v>1165</v>
      </c>
      <c r="B23" s="1" t="s">
        <v>82</v>
      </c>
      <c r="C23" s="6">
        <v>15</v>
      </c>
      <c r="D23" s="1" t="s">
        <v>28</v>
      </c>
      <c r="E23" s="1" t="s">
        <v>28</v>
      </c>
      <c r="F23" s="1" t="s">
        <v>28</v>
      </c>
      <c r="G23" s="1" t="s">
        <v>28</v>
      </c>
      <c r="H23" s="1" t="s">
        <v>28</v>
      </c>
      <c r="I23" s="1"/>
    </row>
    <row r="24" spans="1:9" ht="14.4" x14ac:dyDescent="0.3">
      <c r="A24" s="1" t="s">
        <v>1163</v>
      </c>
      <c r="B24" s="36" t="s">
        <v>41</v>
      </c>
      <c r="C24" s="6">
        <v>11</v>
      </c>
      <c r="D24" s="1" t="s">
        <v>28</v>
      </c>
      <c r="E24" s="1" t="s">
        <v>28</v>
      </c>
      <c r="F24" s="1" t="s">
        <v>28</v>
      </c>
      <c r="G24" s="1" t="s">
        <v>28</v>
      </c>
      <c r="H24" s="1" t="s">
        <v>16</v>
      </c>
      <c r="I24" s="1"/>
    </row>
    <row r="25" spans="1:9" ht="14.4" x14ac:dyDescent="0.3">
      <c r="A25" t="s">
        <v>1162</v>
      </c>
      <c r="B25" s="1" t="s">
        <v>354</v>
      </c>
      <c r="C25" s="6">
        <v>16</v>
      </c>
      <c r="D25" s="1" t="s">
        <v>14</v>
      </c>
      <c r="E25" s="1"/>
      <c r="F25" s="1"/>
      <c r="G25" s="1"/>
      <c r="H25" s="1"/>
      <c r="I25" s="1"/>
    </row>
    <row r="26" spans="1:9" ht="14.4" x14ac:dyDescent="0.3">
      <c r="A26" s="1" t="s">
        <v>1046</v>
      </c>
      <c r="B26" s="36" t="s">
        <v>105</v>
      </c>
      <c r="C26" s="6">
        <v>16</v>
      </c>
      <c r="D26" s="1" t="s">
        <v>28</v>
      </c>
      <c r="E26" s="1" t="s">
        <v>16</v>
      </c>
      <c r="F26" s="1" t="s">
        <v>28</v>
      </c>
      <c r="G26" s="1" t="s">
        <v>28</v>
      </c>
      <c r="H26" s="1" t="s">
        <v>28</v>
      </c>
      <c r="I26" s="1"/>
    </row>
    <row r="27" spans="1:9" ht="14.4" x14ac:dyDescent="0.3">
      <c r="A27" s="1" t="s">
        <v>1045</v>
      </c>
      <c r="B27" s="36" t="s">
        <v>284</v>
      </c>
      <c r="C27" s="6">
        <v>11</v>
      </c>
      <c r="D27" s="1" t="s">
        <v>28</v>
      </c>
      <c r="E27" s="1" t="s">
        <v>28</v>
      </c>
      <c r="F27" s="1" t="s">
        <v>28</v>
      </c>
      <c r="G27" s="1" t="s">
        <v>28</v>
      </c>
      <c r="H27" s="1" t="s">
        <v>28</v>
      </c>
      <c r="I27" s="1"/>
    </row>
    <row r="28" spans="1:9" ht="14.4" x14ac:dyDescent="0.3">
      <c r="A28" s="1" t="s">
        <v>1046</v>
      </c>
      <c r="B28" s="36" t="s">
        <v>360</v>
      </c>
      <c r="C28" s="6">
        <v>16</v>
      </c>
      <c r="D28" s="1" t="s">
        <v>28</v>
      </c>
      <c r="E28" s="1" t="s">
        <v>28</v>
      </c>
      <c r="F28" s="58" t="s">
        <v>28</v>
      </c>
      <c r="G28" s="58" t="s">
        <v>28</v>
      </c>
      <c r="H28" s="58" t="s">
        <v>28</v>
      </c>
      <c r="I28" s="1"/>
    </row>
    <row r="29" spans="1:9" ht="14.4" x14ac:dyDescent="0.3">
      <c r="A29" s="1" t="s">
        <v>1045</v>
      </c>
      <c r="B29" s="1" t="s">
        <v>120</v>
      </c>
      <c r="C29" s="6">
        <v>17</v>
      </c>
      <c r="D29" s="1" t="s">
        <v>28</v>
      </c>
      <c r="E29" s="1" t="s">
        <v>28</v>
      </c>
      <c r="F29" s="1" t="s">
        <v>28</v>
      </c>
      <c r="G29" s="1" t="s">
        <v>28</v>
      </c>
      <c r="H29" s="1" t="s">
        <v>28</v>
      </c>
      <c r="I29" s="1"/>
    </row>
    <row r="30" spans="1:9" ht="14.4" x14ac:dyDescent="0.3">
      <c r="A30" s="1" t="s">
        <v>1163</v>
      </c>
      <c r="B30" s="36" t="s">
        <v>137</v>
      </c>
      <c r="C30" s="6">
        <v>18</v>
      </c>
      <c r="D30" s="1" t="s">
        <v>28</v>
      </c>
      <c r="E30" s="1" t="s">
        <v>28</v>
      </c>
      <c r="F30" s="1" t="s">
        <v>28</v>
      </c>
      <c r="G30" s="1" t="s">
        <v>28</v>
      </c>
      <c r="H30" s="1" t="s">
        <v>28</v>
      </c>
      <c r="I30" s="1"/>
    </row>
    <row r="31" spans="1:9" ht="14.4" x14ac:dyDescent="0.3">
      <c r="A31" t="s">
        <v>1162</v>
      </c>
      <c r="B31" s="1" t="s">
        <v>364</v>
      </c>
      <c r="C31" s="6">
        <v>17</v>
      </c>
      <c r="D31" s="1" t="s">
        <v>14</v>
      </c>
      <c r="E31" s="1"/>
      <c r="F31" s="1"/>
      <c r="G31" s="1"/>
      <c r="H31" s="1"/>
      <c r="I31" s="1"/>
    </row>
    <row r="32" spans="1:9" ht="14.4" x14ac:dyDescent="0.3">
      <c r="A32" s="1" t="s">
        <v>1046</v>
      </c>
      <c r="B32" s="36" t="s">
        <v>368</v>
      </c>
      <c r="C32" s="6">
        <v>17</v>
      </c>
      <c r="D32" s="1" t="s">
        <v>24</v>
      </c>
      <c r="E32" s="1" t="s">
        <v>24</v>
      </c>
      <c r="F32" s="58" t="s">
        <v>24</v>
      </c>
      <c r="G32" s="58" t="s">
        <v>24</v>
      </c>
      <c r="H32" s="58" t="s">
        <v>24</v>
      </c>
      <c r="I32" s="1"/>
    </row>
    <row r="33" spans="1:9" ht="14.4" x14ac:dyDescent="0.3">
      <c r="A33" s="1" t="s">
        <v>1165</v>
      </c>
      <c r="B33" s="1" t="s">
        <v>100</v>
      </c>
      <c r="C33" s="6">
        <v>17</v>
      </c>
      <c r="D33" s="1" t="s">
        <v>14</v>
      </c>
      <c r="E33" s="1" t="s">
        <v>28</v>
      </c>
      <c r="F33" s="1" t="s">
        <v>28</v>
      </c>
      <c r="G33" s="1" t="s">
        <v>28</v>
      </c>
      <c r="H33" s="1" t="s">
        <v>28</v>
      </c>
      <c r="I33" s="1"/>
    </row>
    <row r="34" spans="1:9" ht="14.4" x14ac:dyDescent="0.3">
      <c r="A34" s="1" t="s">
        <v>1045</v>
      </c>
      <c r="B34" s="1" t="s">
        <v>117</v>
      </c>
      <c r="C34" s="6">
        <v>17</v>
      </c>
      <c r="D34" s="1" t="s">
        <v>28</v>
      </c>
      <c r="E34" s="1" t="s">
        <v>28</v>
      </c>
      <c r="F34" s="1" t="s">
        <v>28</v>
      </c>
      <c r="G34" s="1" t="s">
        <v>28</v>
      </c>
      <c r="H34" s="1" t="s">
        <v>28</v>
      </c>
      <c r="I34" s="1"/>
    </row>
    <row r="35" spans="1:9" ht="14.4" x14ac:dyDescent="0.3">
      <c r="A35" t="s">
        <v>1162</v>
      </c>
      <c r="B35" s="1" t="s">
        <v>125</v>
      </c>
      <c r="C35" s="6">
        <v>17</v>
      </c>
      <c r="D35" s="1" t="s">
        <v>14</v>
      </c>
      <c r="E35" s="1"/>
      <c r="F35" s="1"/>
      <c r="G35" s="1"/>
      <c r="H35" s="1"/>
      <c r="I35" s="1"/>
    </row>
    <row r="36" spans="1:9" ht="14.4" x14ac:dyDescent="0.3">
      <c r="A36" s="1" t="s">
        <v>1046</v>
      </c>
      <c r="B36" s="36" t="s">
        <v>373</v>
      </c>
      <c r="C36" s="6">
        <v>17</v>
      </c>
      <c r="D36" s="1" t="s">
        <v>24</v>
      </c>
      <c r="E36" s="1" t="s">
        <v>24</v>
      </c>
      <c r="F36" s="58" t="s">
        <v>24</v>
      </c>
      <c r="G36" s="58" t="s">
        <v>24</v>
      </c>
      <c r="H36" s="58" t="s">
        <v>24</v>
      </c>
      <c r="I36" s="1"/>
    </row>
    <row r="37" spans="1:9" ht="14.4" x14ac:dyDescent="0.3">
      <c r="A37" s="1" t="s">
        <v>1046</v>
      </c>
      <c r="B37" s="36" t="s">
        <v>115</v>
      </c>
      <c r="C37" s="6">
        <v>17</v>
      </c>
      <c r="D37" s="1" t="s">
        <v>110</v>
      </c>
      <c r="E37" s="1" t="s">
        <v>110</v>
      </c>
      <c r="F37" s="1" t="s">
        <v>110</v>
      </c>
      <c r="G37" s="1" t="s">
        <v>110</v>
      </c>
      <c r="H37" s="1" t="s">
        <v>110</v>
      </c>
      <c r="I37" s="1"/>
    </row>
    <row r="38" spans="1:9" ht="14.4" x14ac:dyDescent="0.3">
      <c r="A38" s="1" t="s">
        <v>1045</v>
      </c>
      <c r="B38" s="1" t="s">
        <v>697</v>
      </c>
      <c r="C38" s="6">
        <v>15</v>
      </c>
      <c r="D38" s="1" t="s">
        <v>28</v>
      </c>
      <c r="E38" s="1" t="s">
        <v>28</v>
      </c>
      <c r="F38" s="1" t="s">
        <v>16</v>
      </c>
      <c r="G38" s="1" t="s">
        <v>28</v>
      </c>
      <c r="H38" s="1" t="s">
        <v>28</v>
      </c>
      <c r="I38" s="1"/>
    </row>
    <row r="39" spans="1:9" ht="14.4" x14ac:dyDescent="0.3">
      <c r="A39" t="s">
        <v>1162</v>
      </c>
      <c r="B39" s="1" t="s">
        <v>379</v>
      </c>
      <c r="C39" s="6">
        <v>18</v>
      </c>
      <c r="D39" s="1" t="s">
        <v>28</v>
      </c>
      <c r="E39" s="1" t="s">
        <v>16</v>
      </c>
      <c r="F39" s="58" t="s">
        <v>28</v>
      </c>
      <c r="G39" s="58" t="s">
        <v>28</v>
      </c>
      <c r="H39" s="1" t="s">
        <v>28</v>
      </c>
      <c r="I39" s="1"/>
    </row>
    <row r="40" spans="1:9" ht="14.4" x14ac:dyDescent="0.3">
      <c r="A40" s="1" t="s">
        <v>1046</v>
      </c>
      <c r="B40" s="36" t="s">
        <v>130</v>
      </c>
      <c r="C40" s="6">
        <v>18</v>
      </c>
      <c r="D40" s="1" t="s">
        <v>110</v>
      </c>
      <c r="E40" s="1" t="s">
        <v>110</v>
      </c>
      <c r="F40" s="58" t="s">
        <v>110</v>
      </c>
      <c r="G40" s="58" t="s">
        <v>110</v>
      </c>
      <c r="H40" s="58" t="s">
        <v>110</v>
      </c>
      <c r="I40" s="1"/>
    </row>
    <row r="41" spans="1:9" ht="14.4" x14ac:dyDescent="0.3">
      <c r="A41" s="1" t="s">
        <v>1045</v>
      </c>
      <c r="B41" s="1" t="s">
        <v>76</v>
      </c>
      <c r="C41" s="6">
        <v>13</v>
      </c>
      <c r="D41" s="1" t="s">
        <v>110</v>
      </c>
      <c r="E41" s="1" t="s">
        <v>110</v>
      </c>
      <c r="F41" s="1" t="s">
        <v>110</v>
      </c>
      <c r="G41" s="1" t="s">
        <v>110</v>
      </c>
      <c r="H41" s="1" t="s">
        <v>110</v>
      </c>
      <c r="I41" s="1"/>
    </row>
    <row r="42" spans="1:9" ht="14.4" x14ac:dyDescent="0.3">
      <c r="A42" t="s">
        <v>1162</v>
      </c>
      <c r="B42" s="1" t="s">
        <v>102</v>
      </c>
      <c r="C42" s="6">
        <v>18</v>
      </c>
      <c r="D42" s="1" t="s">
        <v>14</v>
      </c>
      <c r="E42" s="1"/>
      <c r="F42" s="1"/>
      <c r="G42" s="1"/>
      <c r="H42" s="1"/>
      <c r="I42" s="1"/>
    </row>
    <row r="43" spans="1:9" ht="14.4" x14ac:dyDescent="0.3">
      <c r="A43" s="1" t="s">
        <v>1165</v>
      </c>
      <c r="B43" s="1" t="s">
        <v>382</v>
      </c>
      <c r="C43" s="6">
        <v>18</v>
      </c>
      <c r="D43" s="1" t="s">
        <v>16</v>
      </c>
      <c r="E43" s="1" t="s">
        <v>16</v>
      </c>
      <c r="F43" s="58" t="s">
        <v>28</v>
      </c>
      <c r="G43" s="58" t="s">
        <v>28</v>
      </c>
      <c r="H43" s="58" t="s">
        <v>16</v>
      </c>
      <c r="I43" s="1"/>
    </row>
    <row r="44" spans="1:9" ht="14.4" x14ac:dyDescent="0.3">
      <c r="A44" s="1" t="s">
        <v>1046</v>
      </c>
      <c r="B44" s="36" t="s">
        <v>559</v>
      </c>
      <c r="C44" s="6">
        <v>18</v>
      </c>
      <c r="D44" s="1" t="s">
        <v>28</v>
      </c>
      <c r="E44" s="1" t="s">
        <v>28</v>
      </c>
      <c r="F44" s="1" t="s">
        <v>28</v>
      </c>
      <c r="G44" s="1" t="s">
        <v>28</v>
      </c>
      <c r="H44" s="1" t="s">
        <v>28</v>
      </c>
      <c r="I44" s="33"/>
    </row>
    <row r="45" spans="1:9" ht="14.4" x14ac:dyDescent="0.3">
      <c r="A45" t="s">
        <v>1046</v>
      </c>
      <c r="B45" s="117" t="s">
        <v>792</v>
      </c>
      <c r="C45" s="116">
        <v>14</v>
      </c>
      <c r="D45" s="115" t="s">
        <v>28</v>
      </c>
      <c r="E45" s="115" t="s">
        <v>16</v>
      </c>
      <c r="F45" s="1" t="s">
        <v>16</v>
      </c>
      <c r="G45" t="s">
        <v>28</v>
      </c>
      <c r="H45" s="118" t="s">
        <v>28</v>
      </c>
      <c r="I45" s="119"/>
    </row>
    <row r="46" spans="1:9" ht="14.4" x14ac:dyDescent="0.3">
      <c r="A46" s="68" t="s">
        <v>1046</v>
      </c>
      <c r="B46" s="121" t="s">
        <v>253</v>
      </c>
      <c r="C46" s="78">
        <v>7</v>
      </c>
      <c r="D46" s="68" t="s">
        <v>24</v>
      </c>
      <c r="E46" s="68" t="s">
        <v>24</v>
      </c>
      <c r="F46" s="96" t="s">
        <v>24</v>
      </c>
      <c r="G46" s="68" t="s">
        <v>24</v>
      </c>
      <c r="H46" s="68" t="s">
        <v>24</v>
      </c>
      <c r="I46" s="9"/>
    </row>
    <row r="47" spans="1:9" ht="14.4" x14ac:dyDescent="0.3">
      <c r="A47" t="s">
        <v>1162</v>
      </c>
      <c r="B47" s="1" t="s">
        <v>25</v>
      </c>
      <c r="C47" s="6">
        <v>8</v>
      </c>
      <c r="D47" s="1" t="s">
        <v>28</v>
      </c>
      <c r="E47" s="1" t="s">
        <v>28</v>
      </c>
      <c r="F47" s="1" t="s">
        <v>28</v>
      </c>
      <c r="G47" s="1" t="s">
        <v>28</v>
      </c>
      <c r="H47" s="1"/>
      <c r="I47" s="120"/>
    </row>
    <row r="48" spans="1:9" ht="14.4" x14ac:dyDescent="0.3">
      <c r="A48" s="1" t="s">
        <v>1046</v>
      </c>
      <c r="B48" s="36" t="s">
        <v>210</v>
      </c>
      <c r="C48" s="6" t="s">
        <v>203</v>
      </c>
      <c r="D48" s="1" t="s">
        <v>28</v>
      </c>
      <c r="E48" s="1" t="s">
        <v>28</v>
      </c>
      <c r="F48" s="1" t="s">
        <v>28</v>
      </c>
      <c r="G48" s="1" t="s">
        <v>28</v>
      </c>
      <c r="H48" s="1" t="s">
        <v>28</v>
      </c>
      <c r="I48" s="120"/>
    </row>
    <row r="49" spans="1:9" ht="14.4" x14ac:dyDescent="0.3">
      <c r="A49" s="1" t="s">
        <v>1046</v>
      </c>
      <c r="B49" s="36" t="s">
        <v>279</v>
      </c>
      <c r="C49" s="6">
        <v>10</v>
      </c>
      <c r="D49" s="1" t="s">
        <v>110</v>
      </c>
      <c r="E49" s="1" t="s">
        <v>110</v>
      </c>
      <c r="F49" s="1" t="s">
        <v>110</v>
      </c>
      <c r="G49" s="1" t="s">
        <v>110</v>
      </c>
      <c r="H49" s="1" t="s">
        <v>110</v>
      </c>
      <c r="I49" s="120"/>
    </row>
    <row r="50" spans="1:9" ht="14.4" x14ac:dyDescent="0.3">
      <c r="A50" s="1" t="s">
        <v>1046</v>
      </c>
      <c r="B50" s="1" t="s">
        <v>298</v>
      </c>
      <c r="C50" s="6">
        <v>12</v>
      </c>
      <c r="D50" s="1" t="s">
        <v>28</v>
      </c>
      <c r="E50" s="1" t="s">
        <v>28</v>
      </c>
      <c r="F50" s="1" t="s">
        <v>28</v>
      </c>
      <c r="G50" s="1" t="s">
        <v>28</v>
      </c>
      <c r="H50" s="1" t="s">
        <v>28</v>
      </c>
      <c r="I50" s="120"/>
    </row>
    <row r="51" spans="1:9" ht="14.4" x14ac:dyDescent="0.3">
      <c r="A51" s="1" t="s">
        <v>1045</v>
      </c>
      <c r="B51" s="36" t="s">
        <v>348</v>
      </c>
      <c r="C51" s="6">
        <v>15</v>
      </c>
      <c r="D51" s="1" t="s">
        <v>24</v>
      </c>
      <c r="E51" s="1" t="s">
        <v>24</v>
      </c>
      <c r="F51" s="1" t="s">
        <v>24</v>
      </c>
      <c r="G51" s="1" t="s">
        <v>24</v>
      </c>
      <c r="H51" s="1" t="s">
        <v>24</v>
      </c>
      <c r="I51" s="120"/>
    </row>
    <row r="52" spans="1:9" ht="14.4" x14ac:dyDescent="0.3">
      <c r="A52" s="1" t="s">
        <v>13</v>
      </c>
      <c r="B52" s="1" t="s">
        <v>309</v>
      </c>
      <c r="C52" s="6">
        <v>13</v>
      </c>
      <c r="D52" s="1" t="s">
        <v>14</v>
      </c>
      <c r="E52" s="1"/>
      <c r="F52" s="1"/>
      <c r="G52" s="1"/>
      <c r="H52" s="1"/>
      <c r="I52" s="120"/>
    </row>
    <row r="53" spans="1:9" ht="14.4" x14ac:dyDescent="0.3">
      <c r="A53" s="1" t="s">
        <v>1046</v>
      </c>
      <c r="B53" s="36" t="s">
        <v>63</v>
      </c>
      <c r="C53" s="6">
        <v>13</v>
      </c>
      <c r="D53" s="1" t="s">
        <v>28</v>
      </c>
      <c r="E53" s="1" t="s">
        <v>28</v>
      </c>
      <c r="F53" s="1" t="s">
        <v>28</v>
      </c>
      <c r="G53" s="1" t="s">
        <v>28</v>
      </c>
      <c r="H53" s="1" t="s">
        <v>28</v>
      </c>
      <c r="I53" s="120"/>
    </row>
    <row r="54" spans="1:9" ht="14.4" x14ac:dyDescent="0.3">
      <c r="A54" s="1" t="s">
        <v>1045</v>
      </c>
      <c r="B54" s="36" t="s">
        <v>358</v>
      </c>
      <c r="C54" s="6">
        <v>16</v>
      </c>
      <c r="D54" s="1" t="s">
        <v>24</v>
      </c>
      <c r="E54" s="1" t="s">
        <v>24</v>
      </c>
      <c r="F54" s="1" t="s">
        <v>24</v>
      </c>
      <c r="G54" s="1" t="s">
        <v>24</v>
      </c>
      <c r="H54" s="1" t="s">
        <v>24</v>
      </c>
      <c r="I54" s="120"/>
    </row>
    <row r="55" spans="1:9" ht="14.4" x14ac:dyDescent="0.3">
      <c r="A55" t="s">
        <v>1162</v>
      </c>
      <c r="B55" s="1" t="s">
        <v>17</v>
      </c>
      <c r="C55" s="6">
        <v>16</v>
      </c>
      <c r="D55" s="1" t="s">
        <v>14</v>
      </c>
      <c r="E55" s="1"/>
      <c r="F55" s="1"/>
      <c r="G55" s="1"/>
      <c r="H55" s="1"/>
      <c r="I55" s="120"/>
    </row>
    <row r="56" spans="1:9" ht="14.4" x14ac:dyDescent="0.3">
      <c r="A56" s="1" t="s">
        <v>1163</v>
      </c>
      <c r="B56" s="36" t="s">
        <v>363</v>
      </c>
      <c r="C56" s="6">
        <v>16</v>
      </c>
      <c r="D56" s="1" t="s">
        <v>24</v>
      </c>
      <c r="E56" s="1" t="s">
        <v>24</v>
      </c>
      <c r="F56" s="1" t="s">
        <v>24</v>
      </c>
      <c r="G56" s="1" t="s">
        <v>24</v>
      </c>
      <c r="H56" s="1" t="s">
        <v>24</v>
      </c>
      <c r="I56" s="120"/>
    </row>
    <row r="57" spans="1:9" ht="14.4" x14ac:dyDescent="0.3">
      <c r="A57" s="1" t="s">
        <v>1046</v>
      </c>
      <c r="B57" s="36" t="s">
        <v>112</v>
      </c>
      <c r="C57" s="6">
        <v>16</v>
      </c>
      <c r="D57" s="1" t="s">
        <v>28</v>
      </c>
      <c r="E57" s="1" t="s">
        <v>28</v>
      </c>
      <c r="F57" s="1" t="s">
        <v>28</v>
      </c>
      <c r="G57" s="1" t="s">
        <v>28</v>
      </c>
      <c r="H57" s="1" t="s">
        <v>28</v>
      </c>
      <c r="I57" s="120"/>
    </row>
    <row r="58" spans="1:9" ht="14.4" x14ac:dyDescent="0.3">
      <c r="A58" s="1" t="s">
        <v>1165</v>
      </c>
      <c r="B58" s="1" t="s">
        <v>357</v>
      </c>
      <c r="C58" s="6">
        <v>16</v>
      </c>
      <c r="D58" s="1" t="s">
        <v>14</v>
      </c>
      <c r="E58" s="1"/>
      <c r="F58" s="1"/>
      <c r="G58" s="1"/>
      <c r="H58" s="1"/>
      <c r="I58" s="120"/>
    </row>
    <row r="59" spans="1:9" ht="14.4" x14ac:dyDescent="0.3">
      <c r="A59" s="1" t="s">
        <v>1045</v>
      </c>
      <c r="B59" s="36" t="s">
        <v>186</v>
      </c>
      <c r="C59" s="6">
        <v>16</v>
      </c>
      <c r="D59" s="1" t="s">
        <v>24</v>
      </c>
      <c r="E59" s="1" t="s">
        <v>24</v>
      </c>
      <c r="F59" s="1" t="s">
        <v>24</v>
      </c>
      <c r="G59" s="1" t="s">
        <v>24</v>
      </c>
      <c r="H59" s="1" t="s">
        <v>24</v>
      </c>
      <c r="I59" s="120"/>
    </row>
    <row r="60" spans="1:9" ht="14.4" x14ac:dyDescent="0.3">
      <c r="A60" s="1" t="s">
        <v>13</v>
      </c>
      <c r="B60" s="1" t="s">
        <v>367</v>
      </c>
      <c r="C60" s="6">
        <v>17</v>
      </c>
      <c r="D60" s="1" t="s">
        <v>14</v>
      </c>
      <c r="E60" s="1"/>
      <c r="F60" s="1"/>
      <c r="G60" s="1"/>
      <c r="H60" s="1"/>
      <c r="I60" s="120"/>
    </row>
    <row r="61" spans="1:9" ht="14.4" x14ac:dyDescent="0.3">
      <c r="A61" s="33" t="s">
        <v>1046</v>
      </c>
      <c r="B61" s="36" t="s">
        <v>370</v>
      </c>
      <c r="C61" s="6">
        <v>17</v>
      </c>
      <c r="D61" s="1" t="s">
        <v>28</v>
      </c>
      <c r="E61" s="1" t="s">
        <v>28</v>
      </c>
      <c r="F61" s="1" t="s">
        <v>28</v>
      </c>
      <c r="G61" s="1" t="s">
        <v>28</v>
      </c>
      <c r="H61" s="1" t="s">
        <v>28</v>
      </c>
      <c r="I61" s="120"/>
    </row>
    <row r="62" spans="1:9" ht="14.4" x14ac:dyDescent="0.3">
      <c r="A62" s="9" t="s">
        <v>1046</v>
      </c>
      <c r="B62" s="61" t="s">
        <v>380</v>
      </c>
      <c r="C62" s="93">
        <v>18</v>
      </c>
      <c r="D62" s="33" t="s">
        <v>110</v>
      </c>
      <c r="E62" s="33" t="s">
        <v>110</v>
      </c>
      <c r="F62" s="33" t="s">
        <v>110</v>
      </c>
      <c r="G62" s="33" t="s">
        <v>110</v>
      </c>
      <c r="H62" s="33" t="s">
        <v>110</v>
      </c>
    </row>
    <row r="63" spans="1:9" ht="14.4" x14ac:dyDescent="0.3">
      <c r="A63" s="77" t="s">
        <v>1045</v>
      </c>
      <c r="B63" s="9" t="s">
        <v>308</v>
      </c>
      <c r="C63" s="19">
        <v>13</v>
      </c>
      <c r="D63" s="9" t="s">
        <v>24</v>
      </c>
      <c r="E63" s="9" t="s">
        <v>24</v>
      </c>
      <c r="F63" s="9" t="s">
        <v>24</v>
      </c>
      <c r="G63" s="9" t="s">
        <v>24</v>
      </c>
      <c r="H63" s="9" t="s">
        <v>24</v>
      </c>
      <c r="I63" s="9"/>
    </row>
    <row r="64" spans="1:9" ht="14.4" x14ac:dyDescent="0.3">
      <c r="A64" t="s">
        <v>1162</v>
      </c>
      <c r="B64" s="9" t="s">
        <v>134</v>
      </c>
      <c r="C64" s="19">
        <v>18</v>
      </c>
      <c r="D64" s="9" t="s">
        <v>14</v>
      </c>
      <c r="E64" s="9"/>
      <c r="F64" s="9"/>
      <c r="G64" s="9"/>
      <c r="H64" s="9"/>
      <c r="I64" s="9"/>
    </row>
    <row r="65" spans="1:9" ht="14.4" x14ac:dyDescent="0.3">
      <c r="A65" s="9" t="s">
        <v>1046</v>
      </c>
      <c r="B65" s="146" t="s">
        <v>98</v>
      </c>
      <c r="C65" s="19">
        <v>15</v>
      </c>
      <c r="D65" s="9" t="s">
        <v>28</v>
      </c>
      <c r="E65" s="9" t="s">
        <v>28</v>
      </c>
      <c r="F65" s="9" t="s">
        <v>28</v>
      </c>
      <c r="G65" s="9" t="s">
        <v>28</v>
      </c>
      <c r="H65" s="9" t="s">
        <v>28</v>
      </c>
      <c r="I65" s="9"/>
    </row>
    <row r="66" spans="1:9" ht="14.4" x14ac:dyDescent="0.3">
      <c r="A66" s="9" t="s">
        <v>1046</v>
      </c>
      <c r="B66" s="146" t="s">
        <v>1153</v>
      </c>
      <c r="C66" s="19">
        <v>15</v>
      </c>
      <c r="D66" s="9" t="s">
        <v>28</v>
      </c>
      <c r="E66" s="9" t="s">
        <v>28</v>
      </c>
      <c r="F66" s="9" t="s">
        <v>28</v>
      </c>
      <c r="G66" s="9" t="s">
        <v>28</v>
      </c>
      <c r="H66" s="9" t="s">
        <v>28</v>
      </c>
      <c r="I66" s="9"/>
    </row>
    <row r="67" spans="1:9" ht="14.4" x14ac:dyDescent="0.3">
      <c r="A67" s="9" t="s">
        <v>1046</v>
      </c>
      <c r="B67" s="179" t="s">
        <v>1161</v>
      </c>
      <c r="C67" s="95">
        <v>7</v>
      </c>
      <c r="D67" s="68" t="s">
        <v>28</v>
      </c>
      <c r="E67" s="68" t="s">
        <v>28</v>
      </c>
      <c r="F67" s="68" t="s">
        <v>28</v>
      </c>
      <c r="G67" s="68" t="s">
        <v>28</v>
      </c>
      <c r="H67" s="68" t="s">
        <v>28</v>
      </c>
      <c r="I67" s="68"/>
    </row>
    <row r="68" spans="1:9" ht="14.4" x14ac:dyDescent="0.3">
      <c r="A68" t="s">
        <v>1165</v>
      </c>
      <c r="B68" s="68" t="s">
        <v>305</v>
      </c>
      <c r="C68" s="95">
        <v>13</v>
      </c>
      <c r="D68" s="68" t="s">
        <v>28</v>
      </c>
      <c r="E68" s="68" t="s">
        <v>28</v>
      </c>
      <c r="F68" s="68" t="s">
        <v>28</v>
      </c>
      <c r="G68" s="68" t="s">
        <v>28</v>
      </c>
      <c r="H68" s="68" t="s">
        <v>28</v>
      </c>
      <c r="I68" s="68"/>
    </row>
    <row r="69" spans="1:9" ht="14.4" x14ac:dyDescent="0.3">
      <c r="A69" s="9" t="s">
        <v>1045</v>
      </c>
      <c r="B69" s="9" t="s">
        <v>351</v>
      </c>
      <c r="C69" s="19">
        <v>16</v>
      </c>
      <c r="D69" s="9" t="s">
        <v>24</v>
      </c>
      <c r="E69" s="9" t="s">
        <v>24</v>
      </c>
      <c r="F69" s="9" t="s">
        <v>24</v>
      </c>
      <c r="G69" s="9" t="s">
        <v>24</v>
      </c>
      <c r="H69" s="9" t="s">
        <v>24</v>
      </c>
      <c r="I69" s="9"/>
    </row>
    <row r="70" spans="1:9" ht="14.4" x14ac:dyDescent="0.3">
      <c r="A70" s="68" t="s">
        <v>1162</v>
      </c>
      <c r="B70" s="9" t="s">
        <v>1174</v>
      </c>
      <c r="C70" s="19"/>
      <c r="D70" s="9" t="s">
        <v>110</v>
      </c>
      <c r="E70" s="9" t="s">
        <v>110</v>
      </c>
      <c r="F70" s="9" t="s">
        <v>110</v>
      </c>
      <c r="G70" s="9" t="s">
        <v>110</v>
      </c>
      <c r="H70" s="9" t="s">
        <v>110</v>
      </c>
      <c r="I70" s="9"/>
    </row>
    <row r="71" spans="1:9" ht="14.4" x14ac:dyDescent="0.3">
      <c r="A71" s="9" t="s">
        <v>1046</v>
      </c>
      <c r="B71" s="146" t="s">
        <v>1167</v>
      </c>
      <c r="C71" s="19">
        <v>14</v>
      </c>
      <c r="D71" s="9" t="s">
        <v>110</v>
      </c>
      <c r="E71" s="9" t="s">
        <v>110</v>
      </c>
      <c r="F71" s="9" t="s">
        <v>110</v>
      </c>
      <c r="G71" s="9" t="s">
        <v>110</v>
      </c>
      <c r="H71" s="9" t="s">
        <v>110</v>
      </c>
      <c r="I71" s="9"/>
    </row>
    <row r="72" spans="1:9" ht="14.4" x14ac:dyDescent="0.3">
      <c r="A72" s="79" t="s">
        <v>1045</v>
      </c>
      <c r="B72" s="9" t="s">
        <v>128</v>
      </c>
      <c r="C72" s="19">
        <v>18</v>
      </c>
      <c r="D72" s="9" t="s">
        <v>24</v>
      </c>
      <c r="E72" s="9" t="s">
        <v>24</v>
      </c>
      <c r="F72" s="9" t="s">
        <v>24</v>
      </c>
      <c r="G72" s="9" t="s">
        <v>24</v>
      </c>
      <c r="H72" s="9" t="s">
        <v>24</v>
      </c>
      <c r="I72" s="9"/>
    </row>
    <row r="73" spans="1:9" ht="15.6" x14ac:dyDescent="0.3">
      <c r="A73" s="68" t="s">
        <v>1162</v>
      </c>
      <c r="B73" s="9" t="s">
        <v>1040</v>
      </c>
      <c r="C73" s="183">
        <v>20</v>
      </c>
      <c r="D73" s="9" t="s">
        <v>16</v>
      </c>
      <c r="E73" s="9" t="s">
        <v>28</v>
      </c>
      <c r="F73" s="9" t="s">
        <v>28</v>
      </c>
      <c r="G73" s="9" t="s">
        <v>28</v>
      </c>
      <c r="H73" s="9" t="s">
        <v>28</v>
      </c>
      <c r="I73" s="9"/>
    </row>
    <row r="74" spans="1:9" ht="15.6" x14ac:dyDescent="0.3">
      <c r="A74" s="9" t="s">
        <v>1046</v>
      </c>
      <c r="B74" s="146" t="s">
        <v>982</v>
      </c>
      <c r="C74" s="183">
        <v>20</v>
      </c>
      <c r="D74" s="9" t="s">
        <v>28</v>
      </c>
      <c r="E74" s="9" t="s">
        <v>28</v>
      </c>
      <c r="F74" s="9" t="s">
        <v>28</v>
      </c>
      <c r="G74" s="9" t="s">
        <v>28</v>
      </c>
      <c r="H74" s="9" t="s">
        <v>28</v>
      </c>
      <c r="I74" s="9"/>
    </row>
    <row r="75" spans="1:9" ht="15.6" x14ac:dyDescent="0.3">
      <c r="A75" s="79" t="s">
        <v>1162</v>
      </c>
      <c r="B75" s="9" t="s">
        <v>1155</v>
      </c>
      <c r="C75" s="183">
        <v>20</v>
      </c>
      <c r="D75" t="s">
        <v>16</v>
      </c>
      <c r="E75" s="9" t="s">
        <v>28</v>
      </c>
      <c r="F75" s="9" t="s">
        <v>28</v>
      </c>
      <c r="G75" s="9" t="s">
        <v>28</v>
      </c>
      <c r="H75" s="9" t="s">
        <v>28</v>
      </c>
      <c r="I75" s="9"/>
    </row>
    <row r="76" spans="1:9" ht="14.4" x14ac:dyDescent="0.3">
      <c r="A76" s="79" t="s">
        <v>1045</v>
      </c>
      <c r="B76" s="197" t="s">
        <v>376</v>
      </c>
      <c r="C76" s="19">
        <v>17</v>
      </c>
      <c r="D76" s="9" t="s">
        <v>110</v>
      </c>
      <c r="E76" s="9" t="s">
        <v>110</v>
      </c>
      <c r="F76" s="9" t="s">
        <v>110</v>
      </c>
      <c r="G76" s="9" t="s">
        <v>110</v>
      </c>
      <c r="H76" s="9" t="s">
        <v>110</v>
      </c>
      <c r="I76" s="9"/>
    </row>
    <row r="77" spans="1:9" ht="15.6" x14ac:dyDescent="0.3">
      <c r="A77" s="9" t="s">
        <v>1046</v>
      </c>
      <c r="B77" s="146" t="s">
        <v>1156</v>
      </c>
      <c r="C77" s="185">
        <v>20</v>
      </c>
      <c r="D77" s="9" t="s">
        <v>110</v>
      </c>
      <c r="E77" s="9" t="s">
        <v>110</v>
      </c>
      <c r="F77" s="9" t="s">
        <v>110</v>
      </c>
      <c r="G77" s="9" t="s">
        <v>110</v>
      </c>
      <c r="H77" s="9" t="s">
        <v>110</v>
      </c>
      <c r="I77" s="9"/>
    </row>
    <row r="78" spans="1:9" ht="14.4" x14ac:dyDescent="0.3">
      <c r="A78" s="79" t="s">
        <v>1163</v>
      </c>
      <c r="B78" s="9" t="s">
        <v>343</v>
      </c>
      <c r="C78" s="19">
        <v>15</v>
      </c>
      <c r="D78" s="9" t="s">
        <v>110</v>
      </c>
      <c r="E78" s="9" t="s">
        <v>110</v>
      </c>
      <c r="F78" s="9" t="s">
        <v>110</v>
      </c>
      <c r="G78" s="9" t="s">
        <v>110</v>
      </c>
      <c r="H78" s="9" t="s">
        <v>110</v>
      </c>
      <c r="I78" s="9"/>
    </row>
    <row r="79" spans="1:9" ht="14.4" x14ac:dyDescent="0.3">
      <c r="A79" s="9" t="s">
        <v>1165</v>
      </c>
      <c r="B79" s="1" t="s">
        <v>287</v>
      </c>
      <c r="C79" s="6">
        <v>11</v>
      </c>
      <c r="D79" s="9" t="s">
        <v>16</v>
      </c>
      <c r="E79" s="9" t="s">
        <v>16</v>
      </c>
      <c r="F79" s="9" t="s">
        <v>28</v>
      </c>
      <c r="G79" s="9" t="s">
        <v>28</v>
      </c>
      <c r="H79" s="9" t="s">
        <v>28</v>
      </c>
      <c r="I79" s="9" t="s">
        <v>934</v>
      </c>
    </row>
    <row r="80" spans="1:9" ht="14.4" x14ac:dyDescent="0.3">
      <c r="A80" s="9" t="s">
        <v>1162</v>
      </c>
      <c r="B80" s="1" t="s">
        <v>396</v>
      </c>
      <c r="C80" s="6">
        <v>20</v>
      </c>
      <c r="D80" s="9" t="s">
        <v>16</v>
      </c>
      <c r="E80" s="9" t="s">
        <v>14</v>
      </c>
      <c r="F80" s="9" t="s">
        <v>14</v>
      </c>
      <c r="G80" s="9" t="s">
        <v>14</v>
      </c>
      <c r="H80" s="9" t="s">
        <v>14</v>
      </c>
      <c r="I80" s="9"/>
    </row>
    <row r="81" spans="1:9" ht="14.4" x14ac:dyDescent="0.3">
      <c r="A81" s="9" t="s">
        <v>1162</v>
      </c>
      <c r="B81" s="1" t="s">
        <v>293</v>
      </c>
      <c r="C81" s="6">
        <v>12</v>
      </c>
      <c r="D81" s="9" t="s">
        <v>28</v>
      </c>
      <c r="E81" s="9" t="s">
        <v>28</v>
      </c>
      <c r="F81" s="9" t="s">
        <v>28</v>
      </c>
      <c r="G81" s="9" t="s">
        <v>28</v>
      </c>
      <c r="H81" s="9" t="s">
        <v>16</v>
      </c>
      <c r="I81" s="9"/>
    </row>
    <row r="82" spans="1:9" ht="14.4" x14ac:dyDescent="0.3">
      <c r="A82" s="79" t="s">
        <v>1045</v>
      </c>
      <c r="B82" s="9" t="s">
        <v>151</v>
      </c>
      <c r="C82" s="19">
        <v>19</v>
      </c>
      <c r="D82" s="9" t="s">
        <v>110</v>
      </c>
      <c r="E82" s="9" t="s">
        <v>110</v>
      </c>
      <c r="F82" s="9" t="s">
        <v>110</v>
      </c>
      <c r="G82" s="9" t="s">
        <v>110</v>
      </c>
      <c r="H82" s="9" t="s">
        <v>110</v>
      </c>
      <c r="I82" s="9"/>
    </row>
    <row r="83" spans="1:9" ht="14.4" x14ac:dyDescent="0.3">
      <c r="A83" s="9" t="s">
        <v>1165</v>
      </c>
      <c r="B83" s="163" t="s">
        <v>295</v>
      </c>
      <c r="C83" s="19">
        <v>12</v>
      </c>
      <c r="D83" s="9" t="s">
        <v>28</v>
      </c>
      <c r="E83" s="9" t="s">
        <v>28</v>
      </c>
      <c r="F83" s="9" t="s">
        <v>16</v>
      </c>
      <c r="G83" s="9" t="s">
        <v>28</v>
      </c>
      <c r="H83" s="9" t="s">
        <v>16</v>
      </c>
      <c r="I83" s="9"/>
    </row>
    <row r="84" spans="1:9" ht="15.6" x14ac:dyDescent="0.3">
      <c r="A84" s="9" t="s">
        <v>1045</v>
      </c>
      <c r="B84" s="9" t="s">
        <v>960</v>
      </c>
      <c r="C84" s="183">
        <v>20</v>
      </c>
      <c r="D84" s="9" t="s">
        <v>110</v>
      </c>
      <c r="E84" s="9" t="s">
        <v>110</v>
      </c>
      <c r="F84" s="9" t="s">
        <v>110</v>
      </c>
      <c r="G84" s="9" t="s">
        <v>110</v>
      </c>
      <c r="H84" s="9" t="s">
        <v>110</v>
      </c>
      <c r="I84" s="9"/>
    </row>
    <row r="85" spans="1:9" ht="14.4" x14ac:dyDescent="0.3">
      <c r="A85" s="9"/>
      <c r="B85" s="9"/>
      <c r="C85" s="19"/>
      <c r="D85" s="9"/>
      <c r="E85" s="9"/>
      <c r="F85" s="9"/>
      <c r="G85" s="9"/>
      <c r="H85" s="9"/>
      <c r="I85" s="9"/>
    </row>
    <row r="86" spans="1:9" ht="14.4" x14ac:dyDescent="0.3">
      <c r="C86" s="26"/>
    </row>
    <row r="87" spans="1:9" ht="14.4" x14ac:dyDescent="0.3">
      <c r="C87" s="26"/>
      <c r="D87" t="s">
        <v>1175</v>
      </c>
    </row>
    <row r="89" spans="1:9" ht="14.4" x14ac:dyDescent="0.3">
      <c r="B89" s="371" t="s">
        <v>1025</v>
      </c>
      <c r="C89" s="384"/>
      <c r="D89" s="1">
        <f>+COUNTIF(D4:D88,"OK")</f>
        <v>9</v>
      </c>
      <c r="E89" s="1">
        <f>+COUNTIF(E4:E88,"OK")</f>
        <v>7</v>
      </c>
      <c r="F89" s="1">
        <f>+COUNTIF(F4:F88,"OK")</f>
        <v>5</v>
      </c>
      <c r="G89" s="1">
        <f>+COUNTIF(G4:G88,"OK")</f>
        <v>1</v>
      </c>
      <c r="H89" s="1">
        <f>+COUNTIF(H4:H88,"OK")</f>
        <v>7</v>
      </c>
    </row>
    <row r="90" spans="1:9" ht="14.4" x14ac:dyDescent="0.3">
      <c r="B90" s="109" t="s">
        <v>902</v>
      </c>
      <c r="D90">
        <v>12</v>
      </c>
      <c r="E90">
        <v>6</v>
      </c>
      <c r="F90">
        <v>6</v>
      </c>
      <c r="G90">
        <v>6</v>
      </c>
      <c r="H90">
        <v>6</v>
      </c>
    </row>
    <row r="94" spans="1:9" ht="14.4" x14ac:dyDescent="0.3">
      <c r="B94" s="16"/>
      <c r="C94"/>
      <c r="D94" s="5"/>
    </row>
    <row r="95" spans="1:9" ht="14.4" x14ac:dyDescent="0.3">
      <c r="D95" s="372" t="s">
        <v>905</v>
      </c>
      <c r="E95" s="372"/>
      <c r="F95" s="372"/>
      <c r="G95" s="372"/>
      <c r="H95" s="372"/>
      <c r="I95" s="53" t="s">
        <v>903</v>
      </c>
    </row>
    <row r="96" spans="1:9" ht="15.6" x14ac:dyDescent="0.3">
      <c r="B96" s="351" t="s">
        <v>1032</v>
      </c>
      <c r="C96" s="385"/>
      <c r="D96" s="52">
        <f>+D89</f>
        <v>9</v>
      </c>
      <c r="E96" s="52">
        <f t="shared" ref="E96" si="0">+E89</f>
        <v>7</v>
      </c>
      <c r="F96" s="52">
        <f>+F89</f>
        <v>5</v>
      </c>
      <c r="G96" s="52">
        <f>+G89</f>
        <v>1</v>
      </c>
      <c r="H96" s="52">
        <f>+H89</f>
        <v>7</v>
      </c>
    </row>
    <row r="97" spans="4:9" ht="14.4" x14ac:dyDescent="0.3">
      <c r="D97" s="108" t="s">
        <v>1170</v>
      </c>
      <c r="E97" s="108" t="s">
        <v>1063</v>
      </c>
      <c r="F97" s="108" t="s">
        <v>1064</v>
      </c>
      <c r="G97" s="108" t="s">
        <v>908</v>
      </c>
      <c r="H97" s="108" t="s">
        <v>909</v>
      </c>
    </row>
    <row r="98" spans="4:9" ht="14.4" x14ac:dyDescent="0.3">
      <c r="D98" s="354" t="s">
        <v>910</v>
      </c>
      <c r="E98" s="355"/>
      <c r="F98" s="355"/>
      <c r="G98" s="355"/>
      <c r="H98" s="356"/>
      <c r="I98" s="5"/>
    </row>
  </sheetData>
  <autoFilter ref="A3:L84" xr:uid="{665D032E-E5E2-4C69-B402-399B94A8E0FE}">
    <filterColumn colId="10" showButton="0"/>
  </autoFilter>
  <mergeCells count="6">
    <mergeCell ref="D98:H98"/>
    <mergeCell ref="A2:C2"/>
    <mergeCell ref="K3:L3"/>
    <mergeCell ref="B89:C89"/>
    <mergeCell ref="D95:H95"/>
    <mergeCell ref="B96:C96"/>
  </mergeCells>
  <conditionalFormatting sqref="B3:C3">
    <cfRule type="expression" dxfId="303" priority="25">
      <formula>COUNTIF($A3:Y3, "NI")</formula>
    </cfRule>
  </conditionalFormatting>
  <conditionalFormatting sqref="B4:C45">
    <cfRule type="expression" dxfId="302" priority="26">
      <formula>COUNTIF($B4:AB4, "C")</formula>
    </cfRule>
    <cfRule type="expression" dxfId="301" priority="27">
      <formula>COUNTIF($B4:AB4, "Q")</formula>
    </cfRule>
    <cfRule type="expression" dxfId="300" priority="28">
      <formula>COUNTIF($B4:AB4, "M")</formula>
    </cfRule>
    <cfRule type="expression" dxfId="299" priority="29">
      <formula>COUNTIF($B4:AB4, "A")</formula>
    </cfRule>
    <cfRule type="expression" dxfId="298" priority="30">
      <formula>COUNTIF($A4:AB4, "NI")</formula>
    </cfRule>
  </conditionalFormatting>
  <conditionalFormatting sqref="B47:C69 C70:C71 B70:B77">
    <cfRule type="expression" dxfId="297" priority="31">
      <formula>COUNTIF($B47:Z47, "C")</formula>
    </cfRule>
    <cfRule type="expression" dxfId="296" priority="32">
      <formula>COUNTIF($B47:Z47, "Q")</formula>
    </cfRule>
    <cfRule type="expression" dxfId="295" priority="33">
      <formula>COUNTIF($B47:Z47, "M")</formula>
    </cfRule>
    <cfRule type="expression" dxfId="294" priority="34">
      <formula>COUNTIF($B47:Z47, "A")</formula>
    </cfRule>
    <cfRule type="expression" dxfId="293" priority="35">
      <formula>COUNTIF($A47:Z47, "NI")</formula>
    </cfRule>
  </conditionalFormatting>
  <conditionalFormatting sqref="B78:C79 C83 B84:C87">
    <cfRule type="expression" dxfId="292" priority="11">
      <formula>COUNTIF($B78:Z78, "C")</formula>
    </cfRule>
    <cfRule type="expression" dxfId="291" priority="12">
      <formula>COUNTIF($B78:Z78, "Q")</formula>
    </cfRule>
    <cfRule type="expression" dxfId="290" priority="13">
      <formula>COUNTIF($B78:Z78, "M")</formula>
    </cfRule>
    <cfRule type="expression" dxfId="289" priority="14">
      <formula>COUNTIF($B78:Z78, "A")</formula>
    </cfRule>
    <cfRule type="expression" dxfId="288" priority="15">
      <formula>COUNTIF($A78:Z78, "NI")</formula>
    </cfRule>
  </conditionalFormatting>
  <conditionalFormatting sqref="B80:C80">
    <cfRule type="expression" dxfId="287" priority="10">
      <formula>COUNTIF($A80:Z80, "NI")</formula>
    </cfRule>
  </conditionalFormatting>
  <conditionalFormatting sqref="B81:C82">
    <cfRule type="expression" dxfId="286" priority="1">
      <formula>COUNTIF($B81:Z81, "C")</formula>
    </cfRule>
    <cfRule type="expression" dxfId="285" priority="2">
      <formula>COUNTIF($B81:Z81, "Q")</formula>
    </cfRule>
    <cfRule type="expression" dxfId="284" priority="3">
      <formula>COUNTIF($B81:Z81, "M")</formula>
    </cfRule>
    <cfRule type="expression" dxfId="283" priority="4">
      <formula>COUNTIF($B81:Z81, "A")</formula>
    </cfRule>
    <cfRule type="expression" dxfId="282" priority="5">
      <formula>COUNTIF($A81:Z81, "NI")</formula>
    </cfRule>
  </conditionalFormatting>
  <conditionalFormatting sqref="C3">
    <cfRule type="expression" dxfId="281" priority="21">
      <formula>COUNTIF($A3:Z3, "C")</formula>
    </cfRule>
    <cfRule type="expression" dxfId="280" priority="22">
      <formula>COUNTIF($A3:Z3, "Q")</formula>
    </cfRule>
    <cfRule type="expression" dxfId="279" priority="23">
      <formula>COUNTIF($A3:Z3, "M")</formula>
    </cfRule>
    <cfRule type="expression" dxfId="278" priority="24">
      <formula>COUNTIF($A3:Z3, "A")</formula>
    </cfRule>
  </conditionalFormatting>
  <conditionalFormatting sqref="C80">
    <cfRule type="expression" dxfId="277" priority="6">
      <formula>COUNTIF($B80:AA80, "C")</formula>
    </cfRule>
    <cfRule type="expression" dxfId="276" priority="7">
      <formula>COUNTIF($B80:AA80, "Q")</formula>
    </cfRule>
    <cfRule type="expression" dxfId="275" priority="8">
      <formula>COUNTIF($B80:AA80, "M")</formula>
    </cfRule>
    <cfRule type="expression" dxfId="274" priority="9">
      <formula>COUNTIF($B80:AA80, "A")</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032E-E5E2-4C69-B402-399B94A8E0FE}">
  <dimension ref="A2:L86"/>
  <sheetViews>
    <sheetView zoomScale="95" workbookViewId="0">
      <pane ySplit="3" topLeftCell="A4" activePane="bottomLeft" state="frozen"/>
      <selection pane="bottomLeft" activeCell="A7" sqref="A7"/>
    </sheetView>
  </sheetViews>
  <sheetFormatPr baseColWidth="10" defaultColWidth="8.88671875" defaultRowHeight="15" customHeight="1" x14ac:dyDescent="0.3"/>
  <cols>
    <col min="1" max="1" width="14.6640625" customWidth="1"/>
    <col min="2" max="2" width="39.6640625" bestFit="1" customWidth="1"/>
    <col min="3" max="3" width="8.88671875" style="5"/>
    <col min="4" max="7" width="23.6640625" customWidth="1"/>
    <col min="8" max="8" width="25.44140625" customWidth="1"/>
    <col min="9" max="9" width="42.5546875" customWidth="1"/>
    <col min="12" max="12" width="21.6640625" customWidth="1"/>
  </cols>
  <sheetData>
    <row r="2" spans="1:12" s="103" customFormat="1" ht="43.2" customHeight="1" x14ac:dyDescent="0.3">
      <c r="A2" s="377" t="s">
        <v>816</v>
      </c>
      <c r="B2" s="378"/>
      <c r="C2" s="379"/>
      <c r="D2" s="113" t="s">
        <v>971</v>
      </c>
      <c r="E2" s="113" t="s">
        <v>971</v>
      </c>
      <c r="F2" s="113" t="s">
        <v>971</v>
      </c>
      <c r="G2" s="113" t="s">
        <v>971</v>
      </c>
      <c r="H2" s="113" t="s">
        <v>971</v>
      </c>
      <c r="I2" s="114" t="s">
        <v>817</v>
      </c>
    </row>
    <row r="3" spans="1:12" s="5" customFormat="1" ht="14.4" x14ac:dyDescent="0.3">
      <c r="A3" s="123" t="s">
        <v>4</v>
      </c>
      <c r="B3" s="124" t="s">
        <v>739</v>
      </c>
      <c r="C3" s="124" t="s">
        <v>740</v>
      </c>
      <c r="D3" s="100" t="s">
        <v>1176</v>
      </c>
      <c r="E3" s="100" t="s">
        <v>1063</v>
      </c>
      <c r="F3" s="100" t="s">
        <v>1064</v>
      </c>
      <c r="G3" s="100" t="s">
        <v>908</v>
      </c>
      <c r="H3" s="100" t="s">
        <v>909</v>
      </c>
      <c r="I3" s="3"/>
      <c r="K3" s="366" t="s">
        <v>970</v>
      </c>
      <c r="L3" s="366"/>
    </row>
    <row r="4" spans="1:12" ht="14.4" customHeight="1" x14ac:dyDescent="0.3">
      <c r="A4" s="1" t="s">
        <v>1046</v>
      </c>
      <c r="B4" s="36" t="s">
        <v>34</v>
      </c>
      <c r="C4" s="6">
        <v>5</v>
      </c>
      <c r="D4" s="1"/>
      <c r="E4" s="1"/>
      <c r="F4" s="58"/>
      <c r="G4" s="58"/>
      <c r="H4" s="58"/>
      <c r="I4" s="1"/>
      <c r="K4" s="105" t="s">
        <v>16</v>
      </c>
      <c r="L4" s="106" t="s">
        <v>976</v>
      </c>
    </row>
    <row r="5" spans="1:12" ht="14.4" customHeight="1" x14ac:dyDescent="0.3">
      <c r="A5" s="1" t="s">
        <v>1046</v>
      </c>
      <c r="B5" s="36" t="s">
        <v>1037</v>
      </c>
      <c r="C5" s="6">
        <v>6</v>
      </c>
      <c r="D5" s="1" t="s">
        <v>16</v>
      </c>
      <c r="E5" s="1" t="s">
        <v>16</v>
      </c>
      <c r="F5" s="1" t="s">
        <v>16</v>
      </c>
      <c r="G5" s="1" t="s">
        <v>16</v>
      </c>
      <c r="H5" s="1" t="s">
        <v>16</v>
      </c>
      <c r="I5" s="1"/>
    </row>
    <row r="6" spans="1:12" ht="14.4" customHeight="1" x14ac:dyDescent="0.3">
      <c r="A6" s="1" t="s">
        <v>1045</v>
      </c>
      <c r="B6" s="36" t="s">
        <v>261</v>
      </c>
      <c r="C6" s="6">
        <v>7</v>
      </c>
      <c r="D6" s="1"/>
      <c r="E6" s="1"/>
      <c r="F6" s="58"/>
      <c r="G6" s="58"/>
      <c r="H6" s="58"/>
      <c r="I6" s="1"/>
    </row>
    <row r="7" spans="1:12" ht="14.4" customHeight="1" x14ac:dyDescent="0.3">
      <c r="A7" t="s">
        <v>1162</v>
      </c>
      <c r="B7" s="36" t="s">
        <v>22</v>
      </c>
      <c r="C7" s="6">
        <v>8</v>
      </c>
      <c r="D7" s="1"/>
      <c r="E7" s="1"/>
      <c r="F7" s="1"/>
      <c r="G7" s="1"/>
      <c r="H7" s="1"/>
      <c r="I7" s="1"/>
    </row>
    <row r="8" spans="1:12" ht="14.4" customHeight="1" x14ac:dyDescent="0.3">
      <c r="A8" s="1" t="s">
        <v>1163</v>
      </c>
      <c r="B8" s="36" t="s">
        <v>41</v>
      </c>
      <c r="C8" s="6">
        <v>11</v>
      </c>
      <c r="D8" s="1"/>
      <c r="E8" s="1"/>
      <c r="F8" s="58"/>
      <c r="G8" s="58"/>
      <c r="H8" s="58"/>
      <c r="I8" s="1"/>
    </row>
    <row r="9" spans="1:12" ht="14.4" customHeight="1" x14ac:dyDescent="0.3">
      <c r="A9" s="1" t="s">
        <v>1045</v>
      </c>
      <c r="B9" s="36" t="s">
        <v>284</v>
      </c>
      <c r="C9" s="6">
        <v>11</v>
      </c>
      <c r="D9" s="1"/>
      <c r="E9" s="1"/>
      <c r="F9" s="1"/>
      <c r="G9" s="1"/>
      <c r="H9" s="1"/>
      <c r="I9" s="1"/>
    </row>
    <row r="10" spans="1:12" ht="14.4" customHeight="1" x14ac:dyDescent="0.3">
      <c r="A10" t="s">
        <v>1162</v>
      </c>
      <c r="B10" s="36" t="s">
        <v>68</v>
      </c>
      <c r="C10" s="6">
        <v>11</v>
      </c>
      <c r="D10" s="1"/>
      <c r="E10" s="1"/>
      <c r="F10" s="1"/>
      <c r="G10" s="1"/>
      <c r="H10" s="1"/>
      <c r="I10" s="1"/>
    </row>
    <row r="11" spans="1:12" ht="14.4" customHeight="1" x14ac:dyDescent="0.3">
      <c r="A11" s="1" t="s">
        <v>1046</v>
      </c>
      <c r="B11" s="36" t="s">
        <v>45</v>
      </c>
      <c r="C11" s="6">
        <v>12</v>
      </c>
      <c r="D11" s="1"/>
      <c r="E11" s="1"/>
      <c r="F11" s="58"/>
      <c r="G11" s="58"/>
      <c r="H11" s="58"/>
      <c r="I11" s="1"/>
    </row>
    <row r="12" spans="1:12" ht="14.4" customHeight="1" x14ac:dyDescent="0.3">
      <c r="A12" s="1" t="s">
        <v>1165</v>
      </c>
      <c r="B12" s="36" t="s">
        <v>300</v>
      </c>
      <c r="C12" s="6">
        <v>12</v>
      </c>
      <c r="D12" s="1"/>
      <c r="E12" s="1"/>
      <c r="F12" s="58"/>
      <c r="G12" s="58"/>
      <c r="H12" s="58"/>
      <c r="I12" s="1"/>
    </row>
    <row r="13" spans="1:12" ht="14.4" customHeight="1" x14ac:dyDescent="0.3">
      <c r="A13" s="1" t="s">
        <v>1045</v>
      </c>
      <c r="B13" s="1" t="s">
        <v>76</v>
      </c>
      <c r="C13" s="6">
        <v>13</v>
      </c>
      <c r="D13" s="1"/>
      <c r="E13" s="1"/>
      <c r="F13" s="1"/>
      <c r="G13" s="1"/>
      <c r="H13" s="1"/>
      <c r="I13" s="1"/>
    </row>
    <row r="14" spans="1:12" ht="14.4" customHeight="1" x14ac:dyDescent="0.3">
      <c r="A14" t="s">
        <v>1162</v>
      </c>
      <c r="B14" s="36" t="s">
        <v>315</v>
      </c>
      <c r="C14" s="6">
        <v>13</v>
      </c>
      <c r="D14" s="1"/>
      <c r="E14" s="1"/>
      <c r="F14" s="1"/>
      <c r="G14" s="1"/>
      <c r="H14" s="1"/>
      <c r="I14" s="1"/>
    </row>
    <row r="15" spans="1:12" ht="14.4" customHeight="1" x14ac:dyDescent="0.3">
      <c r="A15" s="1" t="s">
        <v>1046</v>
      </c>
      <c r="B15" s="36" t="s">
        <v>317</v>
      </c>
      <c r="C15" s="6">
        <v>13</v>
      </c>
      <c r="D15" s="1"/>
      <c r="E15" s="1"/>
      <c r="F15" s="58"/>
      <c r="G15" s="58"/>
      <c r="H15" s="58"/>
      <c r="I15" s="1"/>
    </row>
    <row r="16" spans="1:12" ht="14.4" customHeight="1" x14ac:dyDescent="0.3">
      <c r="A16" s="1" t="s">
        <v>1046</v>
      </c>
      <c r="B16" s="36" t="s">
        <v>318</v>
      </c>
      <c r="C16" s="6">
        <v>13</v>
      </c>
      <c r="D16" s="1"/>
      <c r="E16" s="1"/>
      <c r="F16" s="58"/>
      <c r="G16" s="58"/>
      <c r="H16" s="58"/>
      <c r="I16" s="1"/>
    </row>
    <row r="17" spans="1:9" ht="14.4" customHeight="1" x14ac:dyDescent="0.3">
      <c r="A17" s="1" t="s">
        <v>1163</v>
      </c>
      <c r="B17" s="36" t="s">
        <v>319</v>
      </c>
      <c r="C17" s="6">
        <v>13</v>
      </c>
      <c r="D17" s="1" t="s">
        <v>16</v>
      </c>
      <c r="E17" s="1"/>
      <c r="F17" s="1"/>
      <c r="G17" s="1"/>
      <c r="H17" s="1"/>
      <c r="I17" s="1"/>
    </row>
    <row r="18" spans="1:9" ht="14.4" customHeight="1" x14ac:dyDescent="0.3">
      <c r="A18" s="1" t="s">
        <v>1165</v>
      </c>
      <c r="B18" s="152" t="s">
        <v>58</v>
      </c>
      <c r="C18" s="6">
        <v>13</v>
      </c>
      <c r="D18" s="1"/>
      <c r="E18" s="1"/>
      <c r="F18" s="1"/>
      <c r="G18" s="1"/>
      <c r="H18" s="58"/>
      <c r="I18" s="1"/>
    </row>
    <row r="19" spans="1:9" ht="14.4" customHeight="1" x14ac:dyDescent="0.3">
      <c r="A19" s="1" t="s">
        <v>1046</v>
      </c>
      <c r="B19" s="36" t="s">
        <v>62</v>
      </c>
      <c r="C19" s="6">
        <v>13</v>
      </c>
      <c r="D19" s="1"/>
      <c r="E19" s="1"/>
      <c r="F19" s="58"/>
      <c r="G19" s="58"/>
      <c r="H19" s="58"/>
      <c r="I19" s="1"/>
    </row>
    <row r="20" spans="1:9" ht="14.4" customHeight="1" x14ac:dyDescent="0.3">
      <c r="A20" s="1" t="s">
        <v>1163</v>
      </c>
      <c r="B20" s="36" t="s">
        <v>825</v>
      </c>
      <c r="C20" s="6">
        <v>14</v>
      </c>
      <c r="D20" s="1" t="s">
        <v>16</v>
      </c>
      <c r="E20" s="1" t="s">
        <v>16</v>
      </c>
      <c r="F20" s="1" t="s">
        <v>16</v>
      </c>
      <c r="G20" s="1" t="s">
        <v>16</v>
      </c>
      <c r="H20" s="1" t="s">
        <v>16</v>
      </c>
      <c r="I20" s="1"/>
    </row>
    <row r="21" spans="1:9" ht="14.4" x14ac:dyDescent="0.3">
      <c r="A21" s="1" t="s">
        <v>1045</v>
      </c>
      <c r="B21" s="36" t="s">
        <v>331</v>
      </c>
      <c r="C21" s="6">
        <v>14</v>
      </c>
      <c r="D21" s="1"/>
      <c r="E21" s="1"/>
      <c r="F21" s="1"/>
      <c r="G21" s="1"/>
      <c r="H21" s="58"/>
      <c r="I21" s="1"/>
    </row>
    <row r="22" spans="1:9" ht="14.4" x14ac:dyDescent="0.3">
      <c r="A22" s="1" t="s">
        <v>1046</v>
      </c>
      <c r="B22" s="36" t="s">
        <v>96</v>
      </c>
      <c r="C22" s="6">
        <v>15</v>
      </c>
      <c r="D22" s="1"/>
      <c r="E22" s="1"/>
      <c r="F22" s="58"/>
      <c r="G22" s="58"/>
      <c r="H22" s="58"/>
      <c r="I22" s="1"/>
    </row>
    <row r="23" spans="1:9" ht="14.4" x14ac:dyDescent="0.3">
      <c r="A23" s="1" t="s">
        <v>1165</v>
      </c>
      <c r="B23" s="36" t="s">
        <v>82</v>
      </c>
      <c r="C23" s="6">
        <v>15</v>
      </c>
      <c r="D23" s="1" t="s">
        <v>28</v>
      </c>
      <c r="E23" s="1" t="s">
        <v>28</v>
      </c>
      <c r="F23" s="1" t="s">
        <v>28</v>
      </c>
      <c r="G23" s="1" t="s">
        <v>28</v>
      </c>
      <c r="H23" s="1" t="s">
        <v>16</v>
      </c>
      <c r="I23" s="1"/>
    </row>
    <row r="24" spans="1:9" ht="14.4" x14ac:dyDescent="0.3">
      <c r="A24" s="1" t="s">
        <v>1045</v>
      </c>
      <c r="B24" s="36" t="s">
        <v>348</v>
      </c>
      <c r="C24" s="6">
        <v>15</v>
      </c>
      <c r="D24" s="1"/>
      <c r="E24" s="1"/>
      <c r="F24" s="58"/>
      <c r="G24" s="58"/>
      <c r="H24" s="58"/>
      <c r="I24" s="1"/>
    </row>
    <row r="25" spans="1:9" ht="14.4" x14ac:dyDescent="0.3">
      <c r="A25" t="s">
        <v>1162</v>
      </c>
      <c r="B25" s="36" t="s">
        <v>354</v>
      </c>
      <c r="C25" s="6">
        <v>16</v>
      </c>
      <c r="D25" s="1" t="s">
        <v>28</v>
      </c>
      <c r="E25" s="1" t="s">
        <v>28</v>
      </c>
      <c r="F25" s="1" t="s">
        <v>28</v>
      </c>
      <c r="G25" s="1" t="s">
        <v>28</v>
      </c>
      <c r="H25" s="1" t="s">
        <v>28</v>
      </c>
      <c r="I25" s="1"/>
    </row>
    <row r="26" spans="1:9" ht="14.4" x14ac:dyDescent="0.3">
      <c r="A26" s="1" t="s">
        <v>1046</v>
      </c>
      <c r="B26" s="36" t="s">
        <v>355</v>
      </c>
      <c r="C26" s="6">
        <v>16</v>
      </c>
      <c r="D26" s="1" t="s">
        <v>28</v>
      </c>
      <c r="E26" s="1" t="s">
        <v>28</v>
      </c>
      <c r="F26" s="58" t="s">
        <v>28</v>
      </c>
      <c r="G26" s="58" t="s">
        <v>28</v>
      </c>
      <c r="H26" s="58" t="s">
        <v>28</v>
      </c>
      <c r="I26" s="1"/>
    </row>
    <row r="27" spans="1:9" ht="14.4" x14ac:dyDescent="0.3">
      <c r="A27" s="1" t="s">
        <v>1046</v>
      </c>
      <c r="B27" s="36" t="s">
        <v>105</v>
      </c>
      <c r="C27" s="6">
        <v>16</v>
      </c>
      <c r="D27" s="1" t="s">
        <v>16</v>
      </c>
      <c r="E27" s="1" t="s">
        <v>28</v>
      </c>
      <c r="F27" s="1" t="s">
        <v>28</v>
      </c>
      <c r="G27" s="1" t="s">
        <v>28</v>
      </c>
      <c r="H27" s="1" t="s">
        <v>28</v>
      </c>
      <c r="I27" s="1"/>
    </row>
    <row r="28" spans="1:9" ht="14.4" x14ac:dyDescent="0.3">
      <c r="A28" s="1" t="s">
        <v>1045</v>
      </c>
      <c r="B28" s="36" t="s">
        <v>358</v>
      </c>
      <c r="C28" s="6">
        <v>16</v>
      </c>
      <c r="D28" s="1"/>
      <c r="E28" s="1"/>
      <c r="F28" s="1"/>
      <c r="G28" s="1"/>
      <c r="H28" s="1"/>
      <c r="I28" s="1"/>
    </row>
    <row r="29" spans="1:9" ht="14.4" x14ac:dyDescent="0.3">
      <c r="A29" s="1" t="s">
        <v>1046</v>
      </c>
      <c r="B29" s="36" t="s">
        <v>360</v>
      </c>
      <c r="C29" s="6">
        <v>16</v>
      </c>
      <c r="D29" s="1" t="s">
        <v>28</v>
      </c>
      <c r="E29" s="1" t="s">
        <v>28</v>
      </c>
      <c r="F29" s="58" t="s">
        <v>28</v>
      </c>
      <c r="G29" s="58" t="s">
        <v>28</v>
      </c>
      <c r="H29" s="58" t="s">
        <v>28</v>
      </c>
      <c r="I29" s="1"/>
    </row>
    <row r="30" spans="1:9" ht="14.4" x14ac:dyDescent="0.3">
      <c r="A30" s="1" t="s">
        <v>1163</v>
      </c>
      <c r="B30" s="36" t="s">
        <v>363</v>
      </c>
      <c r="C30" s="6">
        <v>16</v>
      </c>
      <c r="D30" s="1"/>
      <c r="E30" s="1"/>
      <c r="F30" s="1"/>
      <c r="G30" s="1"/>
      <c r="H30" s="1"/>
      <c r="I30" s="1"/>
    </row>
    <row r="31" spans="1:9" ht="14.4" x14ac:dyDescent="0.3">
      <c r="A31" s="1" t="s">
        <v>1045</v>
      </c>
      <c r="B31" s="36" t="s">
        <v>186</v>
      </c>
      <c r="C31" s="6">
        <v>16</v>
      </c>
      <c r="D31" s="1"/>
      <c r="E31" s="1"/>
      <c r="F31" s="58"/>
      <c r="G31" s="58"/>
      <c r="H31" s="58"/>
      <c r="I31" s="1"/>
    </row>
    <row r="32" spans="1:9" ht="14.4" x14ac:dyDescent="0.3">
      <c r="A32" t="s">
        <v>1162</v>
      </c>
      <c r="B32" s="152" t="s">
        <v>364</v>
      </c>
      <c r="C32" s="6">
        <v>17</v>
      </c>
      <c r="D32" s="1"/>
      <c r="E32" s="1"/>
      <c r="F32" s="1"/>
      <c r="G32" s="1"/>
      <c r="H32" s="1"/>
      <c r="I32" s="1"/>
    </row>
    <row r="33" spans="1:9" ht="14.4" x14ac:dyDescent="0.3">
      <c r="A33" s="1" t="s">
        <v>1046</v>
      </c>
      <c r="B33" s="36" t="s">
        <v>368</v>
      </c>
      <c r="C33" s="6">
        <v>17</v>
      </c>
      <c r="D33" s="1"/>
      <c r="E33" s="1"/>
      <c r="F33" s="58"/>
      <c r="G33" s="58"/>
      <c r="H33" s="58"/>
      <c r="I33" s="1"/>
    </row>
    <row r="34" spans="1:9" ht="14.4" x14ac:dyDescent="0.3">
      <c r="A34" s="1" t="s">
        <v>1165</v>
      </c>
      <c r="B34" s="36" t="s">
        <v>100</v>
      </c>
      <c r="C34" s="6">
        <v>17</v>
      </c>
      <c r="D34" s="1"/>
      <c r="E34" s="1"/>
      <c r="F34" s="1"/>
      <c r="G34" s="1"/>
      <c r="H34" s="1"/>
      <c r="I34" s="1"/>
    </row>
    <row r="35" spans="1:9" ht="14.4" x14ac:dyDescent="0.3">
      <c r="A35" s="1" t="s">
        <v>1045</v>
      </c>
      <c r="B35" s="1" t="s">
        <v>120</v>
      </c>
      <c r="C35" s="6">
        <v>17</v>
      </c>
      <c r="D35" s="1"/>
      <c r="E35" s="1"/>
      <c r="F35" s="58"/>
      <c r="G35" s="58"/>
      <c r="H35" s="58"/>
      <c r="I35" s="1"/>
    </row>
    <row r="36" spans="1:9" ht="14.4" x14ac:dyDescent="0.3">
      <c r="A36" t="s">
        <v>1162</v>
      </c>
      <c r="B36" s="36" t="s">
        <v>125</v>
      </c>
      <c r="C36" s="6">
        <v>17</v>
      </c>
      <c r="D36" s="1"/>
      <c r="E36" s="1"/>
      <c r="F36" s="1"/>
      <c r="G36" s="1"/>
      <c r="H36" s="1"/>
      <c r="I36" s="1"/>
    </row>
    <row r="37" spans="1:9" ht="14.4" x14ac:dyDescent="0.3">
      <c r="A37" s="1" t="s">
        <v>1046</v>
      </c>
      <c r="B37" s="36" t="s">
        <v>373</v>
      </c>
      <c r="C37" s="6">
        <v>17</v>
      </c>
      <c r="D37" s="1"/>
      <c r="E37" s="1"/>
      <c r="F37" s="58"/>
      <c r="G37" s="58"/>
      <c r="H37" s="58"/>
      <c r="I37" s="1"/>
    </row>
    <row r="38" spans="1:9" ht="14.4" x14ac:dyDescent="0.3">
      <c r="A38" s="1" t="s">
        <v>1046</v>
      </c>
      <c r="B38" s="36" t="s">
        <v>115</v>
      </c>
      <c r="C38" s="6">
        <v>17</v>
      </c>
      <c r="D38" s="1"/>
      <c r="E38" s="1"/>
      <c r="F38" s="1"/>
      <c r="G38" s="1"/>
      <c r="H38" s="1"/>
      <c r="I38" s="1"/>
    </row>
    <row r="39" spans="1:9" ht="14.4" x14ac:dyDescent="0.3">
      <c r="A39" s="1" t="s">
        <v>1045</v>
      </c>
      <c r="B39" s="36" t="s">
        <v>376</v>
      </c>
      <c r="C39" s="6">
        <v>17</v>
      </c>
      <c r="D39" s="1"/>
      <c r="E39" s="1"/>
      <c r="F39" s="1"/>
      <c r="G39" s="1"/>
      <c r="H39" s="1"/>
      <c r="I39" s="1"/>
    </row>
    <row r="40" spans="1:9" ht="14.4" x14ac:dyDescent="0.3">
      <c r="A40" t="s">
        <v>1162</v>
      </c>
      <c r="B40" s="152" t="s">
        <v>379</v>
      </c>
      <c r="C40" s="6">
        <v>18</v>
      </c>
      <c r="D40" s="1" t="s">
        <v>28</v>
      </c>
      <c r="E40" s="1"/>
      <c r="F40" s="58"/>
      <c r="G40" s="58"/>
      <c r="H40" s="1"/>
      <c r="I40" s="1"/>
    </row>
    <row r="41" spans="1:9" ht="14.4" x14ac:dyDescent="0.3">
      <c r="A41" s="1" t="s">
        <v>1046</v>
      </c>
      <c r="B41" s="36" t="s">
        <v>130</v>
      </c>
      <c r="C41" s="6">
        <v>18</v>
      </c>
      <c r="D41" s="1"/>
      <c r="E41" s="1"/>
      <c r="F41" s="58"/>
      <c r="G41" s="58"/>
      <c r="H41" s="58"/>
      <c r="I41" s="1"/>
    </row>
    <row r="42" spans="1:9" ht="14.4" x14ac:dyDescent="0.3">
      <c r="A42" s="1" t="s">
        <v>1163</v>
      </c>
      <c r="B42" s="36" t="s">
        <v>137</v>
      </c>
      <c r="C42" s="6">
        <v>18</v>
      </c>
      <c r="D42" s="1"/>
      <c r="E42" s="1"/>
      <c r="F42" s="1"/>
      <c r="G42" s="1"/>
      <c r="H42" s="1"/>
      <c r="I42" s="1"/>
    </row>
    <row r="43" spans="1:9" ht="14.4" x14ac:dyDescent="0.3">
      <c r="A43" t="s">
        <v>1162</v>
      </c>
      <c r="B43" s="152" t="s">
        <v>102</v>
      </c>
      <c r="C43" s="6">
        <v>18</v>
      </c>
      <c r="D43" s="1"/>
      <c r="E43" s="1"/>
      <c r="F43" s="1"/>
      <c r="G43" s="1"/>
      <c r="H43" s="1"/>
      <c r="I43" s="1"/>
    </row>
    <row r="44" spans="1:9" ht="14.4" x14ac:dyDescent="0.3">
      <c r="A44" s="1" t="s">
        <v>1165</v>
      </c>
      <c r="B44" s="152" t="s">
        <v>382</v>
      </c>
      <c r="C44" s="6">
        <v>18</v>
      </c>
      <c r="D44" s="1"/>
      <c r="E44" s="1"/>
      <c r="F44" s="58"/>
      <c r="G44" s="58"/>
      <c r="H44" s="58"/>
      <c r="I44" s="1"/>
    </row>
    <row r="45" spans="1:9" ht="14.4" x14ac:dyDescent="0.3">
      <c r="A45" s="1" t="s">
        <v>1046</v>
      </c>
      <c r="B45" s="36" t="s">
        <v>559</v>
      </c>
      <c r="C45" s="6">
        <v>18</v>
      </c>
      <c r="D45" s="1"/>
      <c r="E45" s="1"/>
      <c r="F45" s="1"/>
      <c r="G45" s="1"/>
      <c r="H45" s="1"/>
      <c r="I45" s="33"/>
    </row>
    <row r="46" spans="1:9" ht="14.4" x14ac:dyDescent="0.3">
      <c r="A46" t="s">
        <v>1046</v>
      </c>
      <c r="B46" s="117" t="s">
        <v>792</v>
      </c>
      <c r="C46" s="116">
        <v>14</v>
      </c>
      <c r="D46" s="115" t="s">
        <v>28</v>
      </c>
      <c r="E46" s="115" t="s">
        <v>16</v>
      </c>
      <c r="F46" s="1" t="s">
        <v>16</v>
      </c>
      <c r="G46" t="s">
        <v>16</v>
      </c>
      <c r="H46" s="118" t="s">
        <v>16</v>
      </c>
      <c r="I46" s="119"/>
    </row>
    <row r="47" spans="1:9" ht="14.4" x14ac:dyDescent="0.3">
      <c r="A47" s="68" t="s">
        <v>1046</v>
      </c>
      <c r="B47" s="121" t="s">
        <v>253</v>
      </c>
      <c r="C47" s="78">
        <v>7</v>
      </c>
      <c r="D47" s="68"/>
      <c r="E47" s="68" t="s">
        <v>16</v>
      </c>
      <c r="F47" s="96" t="s">
        <v>16</v>
      </c>
      <c r="G47" s="68" t="s">
        <v>16</v>
      </c>
      <c r="H47" s="68" t="s">
        <v>16</v>
      </c>
      <c r="I47" s="9"/>
    </row>
    <row r="48" spans="1:9" ht="14.4" x14ac:dyDescent="0.3">
      <c r="A48" t="s">
        <v>1162</v>
      </c>
      <c r="B48" s="135" t="s">
        <v>25</v>
      </c>
      <c r="C48" s="6">
        <v>8</v>
      </c>
      <c r="D48" s="1"/>
      <c r="E48" s="1"/>
      <c r="F48" s="1"/>
      <c r="G48" s="1"/>
      <c r="H48" s="1"/>
      <c r="I48" s="120"/>
    </row>
    <row r="49" spans="1:9" ht="14.4" x14ac:dyDescent="0.3">
      <c r="A49" s="1" t="s">
        <v>1046</v>
      </c>
      <c r="B49" s="36" t="s">
        <v>210</v>
      </c>
      <c r="C49" s="6" t="s">
        <v>203</v>
      </c>
      <c r="D49" s="1"/>
      <c r="E49" s="1"/>
      <c r="F49" s="1"/>
      <c r="G49" s="1"/>
      <c r="H49" s="1"/>
      <c r="I49" s="120"/>
    </row>
    <row r="50" spans="1:9" ht="14.4" x14ac:dyDescent="0.3">
      <c r="A50" s="1" t="s">
        <v>1046</v>
      </c>
      <c r="B50" s="36" t="s">
        <v>279</v>
      </c>
      <c r="C50" s="6">
        <v>10</v>
      </c>
      <c r="D50" s="1"/>
      <c r="E50" s="1"/>
      <c r="F50" s="1"/>
      <c r="G50" s="1"/>
      <c r="H50" s="1"/>
      <c r="I50" s="120"/>
    </row>
    <row r="51" spans="1:9" ht="14.4" x14ac:dyDescent="0.3">
      <c r="A51" s="1" t="s">
        <v>1046</v>
      </c>
      <c r="B51" s="1" t="s">
        <v>298</v>
      </c>
      <c r="C51" s="6">
        <v>12</v>
      </c>
      <c r="D51" s="1"/>
      <c r="E51" s="1"/>
      <c r="F51" s="1"/>
      <c r="G51" s="1"/>
      <c r="H51" s="1"/>
      <c r="I51" s="120"/>
    </row>
    <row r="52" spans="1:9" ht="14.4" x14ac:dyDescent="0.3">
      <c r="A52" s="1" t="s">
        <v>1045</v>
      </c>
      <c r="B52" s="1" t="s">
        <v>308</v>
      </c>
      <c r="C52" s="6">
        <v>13</v>
      </c>
      <c r="D52" s="1"/>
      <c r="E52" s="1"/>
      <c r="F52" s="1"/>
      <c r="G52" s="1"/>
      <c r="H52" s="1"/>
      <c r="I52" s="120"/>
    </row>
    <row r="53" spans="1:9" ht="14.4" x14ac:dyDescent="0.3">
      <c r="A53" s="1" t="s">
        <v>13</v>
      </c>
      <c r="B53" s="1" t="s">
        <v>309</v>
      </c>
      <c r="C53" s="6">
        <v>13</v>
      </c>
      <c r="D53" s="1"/>
      <c r="E53" s="1"/>
      <c r="F53" s="1"/>
      <c r="G53" s="1"/>
      <c r="H53" s="1"/>
      <c r="I53" s="120"/>
    </row>
    <row r="54" spans="1:9" ht="14.4" x14ac:dyDescent="0.3">
      <c r="A54" s="1" t="s">
        <v>1046</v>
      </c>
      <c r="B54" s="36" t="s">
        <v>63</v>
      </c>
      <c r="C54" s="6">
        <v>13</v>
      </c>
      <c r="D54" s="1"/>
      <c r="E54" s="1"/>
      <c r="F54" s="1"/>
      <c r="G54" s="1"/>
      <c r="H54" s="1"/>
      <c r="I54" s="120"/>
    </row>
    <row r="55" spans="1:9" ht="14.4" x14ac:dyDescent="0.3">
      <c r="A55" s="1" t="s">
        <v>1163</v>
      </c>
      <c r="B55" s="1" t="s">
        <v>343</v>
      </c>
      <c r="C55" s="6">
        <v>15</v>
      </c>
      <c r="D55" s="1"/>
      <c r="E55" s="1"/>
      <c r="F55" s="1"/>
      <c r="G55" s="1"/>
      <c r="H55" s="1"/>
      <c r="I55" s="120"/>
    </row>
    <row r="56" spans="1:9" ht="14.4" x14ac:dyDescent="0.3">
      <c r="A56" t="s">
        <v>1162</v>
      </c>
      <c r="B56" s="1" t="s">
        <v>17</v>
      </c>
      <c r="C56" s="6">
        <v>16</v>
      </c>
      <c r="D56" s="1"/>
      <c r="E56" s="1"/>
      <c r="F56" s="1"/>
      <c r="G56" s="1"/>
      <c r="H56" s="1"/>
      <c r="I56" s="120"/>
    </row>
    <row r="57" spans="1:9" ht="14.4" x14ac:dyDescent="0.3">
      <c r="A57" s="1" t="s">
        <v>1045</v>
      </c>
      <c r="B57" s="1" t="s">
        <v>351</v>
      </c>
      <c r="C57" s="6">
        <v>16</v>
      </c>
      <c r="D57" s="1"/>
      <c r="E57" s="1"/>
      <c r="F57" s="1"/>
      <c r="G57" s="1"/>
      <c r="H57" s="1"/>
      <c r="I57" s="120"/>
    </row>
    <row r="58" spans="1:9" ht="14.4" x14ac:dyDescent="0.3">
      <c r="A58" s="1" t="s">
        <v>1046</v>
      </c>
      <c r="B58" s="36" t="s">
        <v>112</v>
      </c>
      <c r="C58" s="6">
        <v>16</v>
      </c>
      <c r="D58" s="1"/>
      <c r="E58" s="1"/>
      <c r="F58" s="1"/>
      <c r="G58" s="1"/>
      <c r="H58" s="1"/>
      <c r="I58" s="120"/>
    </row>
    <row r="59" spans="1:9" ht="14.4" x14ac:dyDescent="0.3">
      <c r="A59" s="1" t="s">
        <v>1165</v>
      </c>
      <c r="B59" s="1" t="s">
        <v>357</v>
      </c>
      <c r="C59" s="6">
        <v>16</v>
      </c>
      <c r="D59" s="1"/>
      <c r="E59" s="1"/>
      <c r="F59" s="1"/>
      <c r="G59" s="1"/>
      <c r="H59" s="1"/>
      <c r="I59" s="120"/>
    </row>
    <row r="60" spans="1:9" ht="14.4" x14ac:dyDescent="0.3">
      <c r="A60" s="1" t="s">
        <v>1045</v>
      </c>
      <c r="B60" s="1" t="s">
        <v>117</v>
      </c>
      <c r="C60" s="6">
        <v>17</v>
      </c>
      <c r="D60" s="1"/>
      <c r="E60" s="1"/>
      <c r="F60" s="1"/>
      <c r="G60" s="1"/>
      <c r="H60" s="1"/>
      <c r="I60" s="120"/>
    </row>
    <row r="61" spans="1:9" ht="14.4" x14ac:dyDescent="0.3">
      <c r="A61" s="1" t="s">
        <v>13</v>
      </c>
      <c r="B61" s="1" t="s">
        <v>367</v>
      </c>
      <c r="C61" s="6">
        <v>17</v>
      </c>
      <c r="D61" s="1"/>
      <c r="E61" s="1"/>
      <c r="F61" s="1"/>
      <c r="G61" s="1"/>
      <c r="H61" s="1"/>
      <c r="I61" s="120"/>
    </row>
    <row r="62" spans="1:9" ht="14.4" x14ac:dyDescent="0.3">
      <c r="A62" s="1" t="s">
        <v>1046</v>
      </c>
      <c r="B62" s="36" t="s">
        <v>370</v>
      </c>
      <c r="C62" s="6">
        <v>17</v>
      </c>
      <c r="D62" s="1"/>
      <c r="E62" s="1"/>
      <c r="F62" s="1"/>
      <c r="G62" s="1"/>
      <c r="H62" s="1"/>
      <c r="I62" s="120"/>
    </row>
    <row r="63" spans="1:9" ht="14.4" x14ac:dyDescent="0.3">
      <c r="A63" s="1" t="s">
        <v>1046</v>
      </c>
      <c r="B63" s="33" t="s">
        <v>380</v>
      </c>
      <c r="C63" s="93">
        <v>18</v>
      </c>
      <c r="D63" s="33"/>
      <c r="E63" s="33"/>
      <c r="F63" s="33"/>
      <c r="G63" s="33"/>
      <c r="H63" s="33"/>
    </row>
    <row r="64" spans="1:9" ht="14.4" x14ac:dyDescent="0.3">
      <c r="A64" s="58" t="s">
        <v>1045</v>
      </c>
      <c r="B64" s="9" t="s">
        <v>128</v>
      </c>
      <c r="C64" s="19">
        <v>18</v>
      </c>
      <c r="D64" s="9"/>
      <c r="E64" s="9"/>
      <c r="F64" s="9"/>
      <c r="G64" s="9"/>
      <c r="H64" s="9"/>
      <c r="I64" s="9"/>
    </row>
    <row r="65" spans="1:9" ht="14.4" x14ac:dyDescent="0.3">
      <c r="A65" t="s">
        <v>1162</v>
      </c>
      <c r="B65" s="153" t="s">
        <v>134</v>
      </c>
      <c r="C65" s="19">
        <v>18</v>
      </c>
      <c r="D65" s="9"/>
      <c r="E65" s="9"/>
      <c r="F65" s="9"/>
      <c r="G65" s="9"/>
      <c r="H65" s="9"/>
      <c r="I65" s="9"/>
    </row>
    <row r="66" spans="1:9" ht="14.4" x14ac:dyDescent="0.3">
      <c r="A66" t="s">
        <v>1046</v>
      </c>
      <c r="B66" s="9" t="s">
        <v>98</v>
      </c>
      <c r="C66" s="19">
        <v>15</v>
      </c>
      <c r="D66" s="9" t="s">
        <v>16</v>
      </c>
      <c r="E66" s="9" t="s">
        <v>28</v>
      </c>
      <c r="F66" s="9" t="s">
        <v>28</v>
      </c>
      <c r="G66" s="9" t="s">
        <v>28</v>
      </c>
      <c r="H66" s="9" t="s">
        <v>28</v>
      </c>
      <c r="I66" s="9"/>
    </row>
    <row r="67" spans="1:9" ht="14.4" x14ac:dyDescent="0.3">
      <c r="A67" t="s">
        <v>1046</v>
      </c>
      <c r="B67" s="9" t="s">
        <v>1153</v>
      </c>
      <c r="C67" s="19">
        <v>15</v>
      </c>
      <c r="D67" s="9" t="s">
        <v>16</v>
      </c>
      <c r="E67" s="9" t="s">
        <v>28</v>
      </c>
      <c r="F67" s="9" t="s">
        <v>28</v>
      </c>
      <c r="G67" s="9" t="s">
        <v>28</v>
      </c>
      <c r="H67" s="9" t="s">
        <v>28</v>
      </c>
      <c r="I67" s="9"/>
    </row>
    <row r="68" spans="1:9" ht="14.4" x14ac:dyDescent="0.3">
      <c r="A68" t="s">
        <v>1046</v>
      </c>
      <c r="B68" s="68" t="s">
        <v>1161</v>
      </c>
      <c r="C68" s="95">
        <v>7</v>
      </c>
      <c r="D68" s="68" t="s">
        <v>16</v>
      </c>
      <c r="E68" s="68" t="s">
        <v>28</v>
      </c>
      <c r="F68" s="68" t="s">
        <v>28</v>
      </c>
      <c r="G68" s="68" t="s">
        <v>28</v>
      </c>
      <c r="H68" s="68" t="s">
        <v>28</v>
      </c>
      <c r="I68" s="68"/>
    </row>
    <row r="69" spans="1:9" ht="14.4" x14ac:dyDescent="0.3">
      <c r="A69" t="s">
        <v>1046</v>
      </c>
      <c r="B69" s="68" t="s">
        <v>305</v>
      </c>
      <c r="C69" s="95">
        <v>13</v>
      </c>
      <c r="D69" s="68" t="s">
        <v>16</v>
      </c>
      <c r="E69" s="68" t="s">
        <v>28</v>
      </c>
      <c r="F69" s="68" t="s">
        <v>28</v>
      </c>
      <c r="G69" s="68" t="s">
        <v>28</v>
      </c>
      <c r="H69" s="68" t="s">
        <v>28</v>
      </c>
      <c r="I69" s="68"/>
    </row>
    <row r="70" spans="1:9" ht="14.4" x14ac:dyDescent="0.3">
      <c r="A70" s="9" t="s">
        <v>1045</v>
      </c>
      <c r="B70" s="9" t="s">
        <v>151</v>
      </c>
      <c r="C70" s="19">
        <v>19</v>
      </c>
      <c r="D70" s="9" t="s">
        <v>16</v>
      </c>
      <c r="E70" s="9"/>
      <c r="F70" s="9"/>
      <c r="G70" s="9"/>
      <c r="H70" s="9"/>
      <c r="I70" s="9"/>
    </row>
    <row r="71" spans="1:9" ht="14.4" x14ac:dyDescent="0.3">
      <c r="A71" s="9" t="s">
        <v>1162</v>
      </c>
      <c r="B71" s="9" t="s">
        <v>1174</v>
      </c>
      <c r="C71" s="19"/>
      <c r="D71" s="9" t="s">
        <v>16</v>
      </c>
      <c r="E71" s="9" t="s">
        <v>28</v>
      </c>
      <c r="F71" s="9" t="s">
        <v>28</v>
      </c>
      <c r="G71" s="9" t="s">
        <v>28</v>
      </c>
      <c r="H71" s="9" t="s">
        <v>28</v>
      </c>
      <c r="I71" s="9"/>
    </row>
    <row r="72" spans="1:9" ht="14.4" x14ac:dyDescent="0.3">
      <c r="A72" s="9" t="s">
        <v>1046</v>
      </c>
      <c r="B72" s="9" t="s">
        <v>1167</v>
      </c>
      <c r="C72" s="19">
        <v>14</v>
      </c>
      <c r="D72" s="9"/>
      <c r="E72" s="9" t="s">
        <v>16</v>
      </c>
      <c r="F72" s="9" t="s">
        <v>28</v>
      </c>
      <c r="G72" s="9" t="s">
        <v>16</v>
      </c>
      <c r="H72" s="9" t="s">
        <v>28</v>
      </c>
      <c r="I72" s="9"/>
    </row>
    <row r="73" spans="1:9" ht="14.4" x14ac:dyDescent="0.3">
      <c r="A73" s="9" t="s">
        <v>1046</v>
      </c>
      <c r="B73" s="9" t="s">
        <v>1166</v>
      </c>
      <c r="C73" s="19">
        <v>12</v>
      </c>
      <c r="D73" s="9" t="s">
        <v>16</v>
      </c>
      <c r="E73" s="9" t="s">
        <v>16</v>
      </c>
      <c r="F73" s="9" t="s">
        <v>16</v>
      </c>
      <c r="G73" s="9" t="s">
        <v>16</v>
      </c>
      <c r="H73" s="9" t="s">
        <v>16</v>
      </c>
      <c r="I73" s="9"/>
    </row>
    <row r="74" spans="1:9" ht="14.4" x14ac:dyDescent="0.3">
      <c r="C74" s="26"/>
    </row>
    <row r="75" spans="1:9" ht="14.4" x14ac:dyDescent="0.3">
      <c r="C75" s="26"/>
    </row>
    <row r="77" spans="1:9" ht="14.4" x14ac:dyDescent="0.3">
      <c r="B77" s="371" t="s">
        <v>1025</v>
      </c>
      <c r="C77" s="384"/>
      <c r="D77" s="1">
        <f>+COUNTIF(D4:D76,"OK")</f>
        <v>11</v>
      </c>
      <c r="E77" s="1">
        <f t="shared" ref="E77:H77" si="0">+COUNTIF(E4:E69,"OK")</f>
        <v>4</v>
      </c>
      <c r="F77" s="1">
        <f t="shared" si="0"/>
        <v>4</v>
      </c>
      <c r="G77" s="1">
        <f t="shared" si="0"/>
        <v>4</v>
      </c>
      <c r="H77" s="1">
        <f t="shared" si="0"/>
        <v>5</v>
      </c>
    </row>
    <row r="78" spans="1:9" ht="14.4" x14ac:dyDescent="0.3">
      <c r="B78" s="109" t="s">
        <v>902</v>
      </c>
      <c r="D78">
        <v>12</v>
      </c>
      <c r="E78">
        <v>6</v>
      </c>
      <c r="F78">
        <v>6</v>
      </c>
      <c r="G78">
        <v>6</v>
      </c>
      <c r="H78">
        <v>6</v>
      </c>
    </row>
    <row r="83" spans="2:9" ht="14.4" x14ac:dyDescent="0.3">
      <c r="D83" s="372" t="s">
        <v>905</v>
      </c>
      <c r="E83" s="372"/>
      <c r="F83" s="372"/>
      <c r="G83" s="372"/>
      <c r="H83" s="372"/>
      <c r="I83" s="53" t="s">
        <v>903</v>
      </c>
    </row>
    <row r="84" spans="2:9" ht="15.6" x14ac:dyDescent="0.3">
      <c r="B84" s="351" t="s">
        <v>1032</v>
      </c>
      <c r="C84" s="385"/>
      <c r="D84" s="52">
        <f>+D77</f>
        <v>11</v>
      </c>
      <c r="E84" s="52">
        <f t="shared" ref="E84:H84" si="1">+E77</f>
        <v>4</v>
      </c>
      <c r="F84" s="52"/>
      <c r="G84" s="52"/>
      <c r="H84" s="52">
        <f t="shared" si="1"/>
        <v>5</v>
      </c>
    </row>
    <row r="85" spans="2:9" ht="14.4" x14ac:dyDescent="0.3">
      <c r="D85" s="108" t="s">
        <v>1033</v>
      </c>
      <c r="E85" s="108" t="s">
        <v>1034</v>
      </c>
      <c r="F85" s="108"/>
      <c r="G85" s="108"/>
      <c r="H85" s="108" t="s">
        <v>1035</v>
      </c>
    </row>
    <row r="86" spans="2:9" ht="14.4" x14ac:dyDescent="0.3">
      <c r="D86" s="354" t="s">
        <v>910</v>
      </c>
      <c r="E86" s="355"/>
      <c r="F86" s="355"/>
      <c r="G86" s="355"/>
      <c r="H86" s="356"/>
      <c r="I86" s="5"/>
    </row>
  </sheetData>
  <autoFilter ref="A3:L69" xr:uid="{665D032E-E5E2-4C69-B402-399B94A8E0FE}">
    <filterColumn colId="10" showButton="0"/>
  </autoFilter>
  <mergeCells count="6">
    <mergeCell ref="D86:H86"/>
    <mergeCell ref="A2:C2"/>
    <mergeCell ref="K3:L3"/>
    <mergeCell ref="B77:C77"/>
    <mergeCell ref="D83:H83"/>
    <mergeCell ref="B84:C84"/>
  </mergeCells>
  <conditionalFormatting sqref="B3:C3">
    <cfRule type="expression" dxfId="273" priority="233">
      <formula>COUNTIF($A3:Y3, "NI")</formula>
    </cfRule>
  </conditionalFormatting>
  <conditionalFormatting sqref="B4:C46">
    <cfRule type="expression" dxfId="272" priority="234">
      <formula>COUNTIF($B4:AB4, "C")</formula>
    </cfRule>
    <cfRule type="expression" dxfId="271" priority="235">
      <formula>COUNTIF($B4:AB4, "Q")</formula>
    </cfRule>
    <cfRule type="expression" dxfId="270" priority="236">
      <formula>COUNTIF($B4:AB4, "M")</formula>
    </cfRule>
    <cfRule type="expression" dxfId="269" priority="237">
      <formula>COUNTIF($B4:AB4, "A")</formula>
    </cfRule>
    <cfRule type="expression" dxfId="268" priority="238">
      <formula>COUNTIF($A4:AB4, "NI")</formula>
    </cfRule>
  </conditionalFormatting>
  <conditionalFormatting sqref="B48:C75">
    <cfRule type="expression" dxfId="267" priority="239">
      <formula>COUNTIF($B48:Z48, "C")</formula>
    </cfRule>
    <cfRule type="expression" dxfId="266" priority="240">
      <formula>COUNTIF($B48:Z48, "Q")</formula>
    </cfRule>
    <cfRule type="expression" dxfId="265" priority="241">
      <formula>COUNTIF($B48:Z48, "M")</formula>
    </cfRule>
    <cfRule type="expression" dxfId="264" priority="242">
      <formula>COUNTIF($B48:Z48, "A")</formula>
    </cfRule>
    <cfRule type="expression" dxfId="263" priority="243">
      <formula>COUNTIF($A48:Z48, "NI")</formula>
    </cfRule>
  </conditionalFormatting>
  <conditionalFormatting sqref="C3">
    <cfRule type="expression" dxfId="262" priority="229">
      <formula>COUNTIF($A3:Z3, "C")</formula>
    </cfRule>
    <cfRule type="expression" dxfId="261" priority="230">
      <formula>COUNTIF($A3:Z3, "Q")</formula>
    </cfRule>
    <cfRule type="expression" dxfId="260" priority="231">
      <formula>COUNTIF($A3:Z3, "M")</formula>
    </cfRule>
    <cfRule type="expression" dxfId="259" priority="232">
      <formula>COUNTIF($A3:Z3, "A")</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D014-35D6-417E-99F4-B40F13A89C68}">
  <dimension ref="A2:H73"/>
  <sheetViews>
    <sheetView zoomScale="95" workbookViewId="0">
      <pane ySplit="3" topLeftCell="A64" activePane="bottomLeft" state="frozen"/>
      <selection pane="bottomLeft" activeCell="J64" sqref="J64"/>
    </sheetView>
  </sheetViews>
  <sheetFormatPr baseColWidth="10" defaultColWidth="8.88671875" defaultRowHeight="15" customHeight="1" x14ac:dyDescent="0.3"/>
  <cols>
    <col min="1" max="1" width="14.6640625" customWidth="1"/>
    <col min="2" max="2" width="43.6640625" bestFit="1" customWidth="1"/>
    <col min="3" max="3" width="9.109375" style="5" bestFit="1" customWidth="1"/>
    <col min="4" max="4" width="25.44140625" customWidth="1"/>
    <col min="5" max="5" width="42.5546875" customWidth="1"/>
    <col min="6" max="7" width="9.109375" bestFit="1" customWidth="1"/>
    <col min="8" max="8" width="21.6640625" customWidth="1"/>
  </cols>
  <sheetData>
    <row r="2" spans="1:8" s="103" customFormat="1" ht="43.2" customHeight="1" x14ac:dyDescent="0.3">
      <c r="A2" s="377" t="s">
        <v>1177</v>
      </c>
      <c r="B2" s="378"/>
      <c r="C2" s="379"/>
      <c r="D2" s="114" t="s">
        <v>1178</v>
      </c>
      <c r="E2" s="114" t="s">
        <v>817</v>
      </c>
    </row>
    <row r="3" spans="1:8" s="5" customFormat="1" ht="14.4" x14ac:dyDescent="0.3">
      <c r="A3" s="123" t="s">
        <v>4</v>
      </c>
      <c r="B3" s="124" t="s">
        <v>739</v>
      </c>
      <c r="C3" s="124" t="s">
        <v>740</v>
      </c>
      <c r="D3" s="100" t="s">
        <v>1179</v>
      </c>
      <c r="E3" s="3"/>
      <c r="G3" s="366" t="s">
        <v>970</v>
      </c>
      <c r="H3" s="366"/>
    </row>
    <row r="4" spans="1:8" ht="14.4" hidden="1" customHeight="1" x14ac:dyDescent="0.3">
      <c r="A4" s="1" t="s">
        <v>1045</v>
      </c>
      <c r="B4" s="36" t="s">
        <v>261</v>
      </c>
      <c r="C4" s="6">
        <v>7</v>
      </c>
      <c r="D4" s="58"/>
      <c r="E4" s="1"/>
    </row>
    <row r="5" spans="1:8" ht="14.4" customHeight="1" x14ac:dyDescent="0.3">
      <c r="A5" s="1" t="s">
        <v>13</v>
      </c>
      <c r="B5" s="36" t="s">
        <v>22</v>
      </c>
      <c r="C5" s="6">
        <v>8</v>
      </c>
      <c r="D5" s="1" t="s">
        <v>28</v>
      </c>
      <c r="E5" s="1"/>
    </row>
    <row r="6" spans="1:8" ht="14.4" hidden="1" customHeight="1" x14ac:dyDescent="0.3">
      <c r="A6" s="1" t="s">
        <v>1046</v>
      </c>
      <c r="B6" s="36" t="s">
        <v>280</v>
      </c>
      <c r="C6" s="6">
        <v>10</v>
      </c>
      <c r="D6" s="58"/>
      <c r="E6" s="1"/>
    </row>
    <row r="7" spans="1:8" ht="14.4" hidden="1" customHeight="1" x14ac:dyDescent="0.3">
      <c r="A7" s="1" t="s">
        <v>1045</v>
      </c>
      <c r="B7" s="36" t="s">
        <v>284</v>
      </c>
      <c r="C7" s="6">
        <v>11</v>
      </c>
      <c r="D7" s="1"/>
      <c r="E7" s="1"/>
    </row>
    <row r="8" spans="1:8" ht="14.4" customHeight="1" x14ac:dyDescent="0.3">
      <c r="A8" s="1" t="s">
        <v>13</v>
      </c>
      <c r="B8" s="36" t="s">
        <v>68</v>
      </c>
      <c r="C8" s="6">
        <v>11</v>
      </c>
      <c r="D8" s="1"/>
      <c r="E8" s="1"/>
    </row>
    <row r="9" spans="1:8" ht="14.4" hidden="1" customHeight="1" x14ac:dyDescent="0.3">
      <c r="A9" s="1" t="s">
        <v>1046</v>
      </c>
      <c r="B9" s="36" t="s">
        <v>45</v>
      </c>
      <c r="C9" s="6">
        <v>12</v>
      </c>
      <c r="D9" s="58"/>
      <c r="E9" s="1"/>
    </row>
    <row r="10" spans="1:8" ht="14.4" customHeight="1" x14ac:dyDescent="0.3">
      <c r="A10" s="1" t="s">
        <v>1165</v>
      </c>
      <c r="B10" s="36" t="s">
        <v>300</v>
      </c>
      <c r="C10" s="6">
        <v>12</v>
      </c>
      <c r="D10" s="58" t="s">
        <v>28</v>
      </c>
      <c r="E10" s="1"/>
    </row>
    <row r="11" spans="1:8" ht="14.4" hidden="1" customHeight="1" x14ac:dyDescent="0.3">
      <c r="A11" s="1" t="s">
        <v>1045</v>
      </c>
      <c r="B11" s="36" t="s">
        <v>76</v>
      </c>
      <c r="C11" s="6">
        <v>13</v>
      </c>
      <c r="D11" s="1"/>
      <c r="E11" s="1"/>
    </row>
    <row r="12" spans="1:8" ht="14.4" customHeight="1" x14ac:dyDescent="0.3">
      <c r="A12" s="1" t="s">
        <v>13</v>
      </c>
      <c r="B12" s="36" t="s">
        <v>315</v>
      </c>
      <c r="C12" s="6">
        <v>13</v>
      </c>
      <c r="D12" s="1"/>
      <c r="E12" s="1"/>
    </row>
    <row r="13" spans="1:8" ht="14.4" hidden="1" customHeight="1" x14ac:dyDescent="0.3">
      <c r="A13" s="1" t="s">
        <v>1046</v>
      </c>
      <c r="B13" s="36" t="s">
        <v>317</v>
      </c>
      <c r="C13" s="6">
        <v>13</v>
      </c>
      <c r="D13" s="58"/>
      <c r="E13" s="1"/>
    </row>
    <row r="14" spans="1:8" ht="14.4" hidden="1" customHeight="1" x14ac:dyDescent="0.3">
      <c r="A14" s="1" t="s">
        <v>1046</v>
      </c>
      <c r="B14" s="36" t="s">
        <v>318</v>
      </c>
      <c r="C14" s="6">
        <v>13</v>
      </c>
      <c r="D14" s="58"/>
      <c r="E14" s="1"/>
    </row>
    <row r="15" spans="1:8" ht="14.4" hidden="1" customHeight="1" x14ac:dyDescent="0.3">
      <c r="A15" s="1" t="s">
        <v>1163</v>
      </c>
      <c r="B15" s="36" t="s">
        <v>319</v>
      </c>
      <c r="C15" s="6">
        <v>13</v>
      </c>
      <c r="D15" s="1"/>
      <c r="E15" s="1"/>
    </row>
    <row r="16" spans="1:8" ht="14.4" customHeight="1" x14ac:dyDescent="0.3">
      <c r="A16" s="1" t="s">
        <v>1165</v>
      </c>
      <c r="B16" s="152" t="s">
        <v>58</v>
      </c>
      <c r="C16" s="6">
        <v>13</v>
      </c>
      <c r="D16" s="58" t="s">
        <v>28</v>
      </c>
      <c r="E16" s="1"/>
    </row>
    <row r="17" spans="1:5" ht="14.4" x14ac:dyDescent="0.3">
      <c r="A17" s="1" t="s">
        <v>1045</v>
      </c>
      <c r="B17" s="36" t="s">
        <v>331</v>
      </c>
      <c r="C17" s="6">
        <v>14</v>
      </c>
      <c r="D17" s="58"/>
      <c r="E17" s="1"/>
    </row>
    <row r="18" spans="1:5" ht="14.4" x14ac:dyDescent="0.3">
      <c r="A18" s="1" t="s">
        <v>1046</v>
      </c>
      <c r="B18" s="36" t="s">
        <v>96</v>
      </c>
      <c r="C18" s="6">
        <v>15</v>
      </c>
      <c r="D18" s="58"/>
      <c r="E18" s="1"/>
    </row>
    <row r="19" spans="1:5" ht="14.4" x14ac:dyDescent="0.3">
      <c r="A19" s="1" t="s">
        <v>1045</v>
      </c>
      <c r="B19" s="36" t="s">
        <v>348</v>
      </c>
      <c r="C19" s="6">
        <v>15</v>
      </c>
      <c r="D19" s="58"/>
      <c r="E19" s="1"/>
    </row>
    <row r="20" spans="1:5" ht="14.4" x14ac:dyDescent="0.3">
      <c r="A20" s="1" t="s">
        <v>13</v>
      </c>
      <c r="B20" s="36" t="s">
        <v>354</v>
      </c>
      <c r="C20" s="6">
        <v>16</v>
      </c>
      <c r="D20" s="1" t="s">
        <v>16</v>
      </c>
      <c r="E20" s="1"/>
    </row>
    <row r="21" spans="1:5" ht="14.4" x14ac:dyDescent="0.3">
      <c r="A21" s="1" t="s">
        <v>1046</v>
      </c>
      <c r="B21" s="36" t="s">
        <v>355</v>
      </c>
      <c r="C21" s="6">
        <v>16</v>
      </c>
      <c r="D21" s="58"/>
      <c r="E21" s="1"/>
    </row>
    <row r="22" spans="1:5" ht="14.4" x14ac:dyDescent="0.3">
      <c r="A22" s="1" t="s">
        <v>1046</v>
      </c>
      <c r="B22" s="36" t="s">
        <v>105</v>
      </c>
      <c r="C22" s="6">
        <v>16</v>
      </c>
      <c r="D22" s="1" t="s">
        <v>28</v>
      </c>
      <c r="E22" s="1"/>
    </row>
    <row r="23" spans="1:5" ht="14.4" x14ac:dyDescent="0.3">
      <c r="A23" s="1" t="s">
        <v>1045</v>
      </c>
      <c r="B23" s="36" t="s">
        <v>358</v>
      </c>
      <c r="C23" s="6">
        <v>16</v>
      </c>
      <c r="D23" s="1"/>
      <c r="E23" s="1"/>
    </row>
    <row r="24" spans="1:5" ht="14.4" x14ac:dyDescent="0.3">
      <c r="A24" s="1" t="s">
        <v>1046</v>
      </c>
      <c r="B24" s="36" t="s">
        <v>360</v>
      </c>
      <c r="C24" s="6">
        <v>16</v>
      </c>
      <c r="D24" s="58"/>
      <c r="E24" s="1"/>
    </row>
    <row r="25" spans="1:5" ht="14.4" x14ac:dyDescent="0.3">
      <c r="A25" s="1" t="s">
        <v>1163</v>
      </c>
      <c r="B25" s="36" t="s">
        <v>363</v>
      </c>
      <c r="C25" s="6">
        <v>16</v>
      </c>
      <c r="D25" s="1"/>
      <c r="E25" s="1"/>
    </row>
    <row r="26" spans="1:5" ht="14.4" x14ac:dyDescent="0.3">
      <c r="A26" s="1" t="s">
        <v>1045</v>
      </c>
      <c r="B26" s="36" t="s">
        <v>186</v>
      </c>
      <c r="C26" s="6">
        <v>16</v>
      </c>
      <c r="D26" s="58"/>
      <c r="E26" s="1"/>
    </row>
    <row r="27" spans="1:5" ht="14.4" x14ac:dyDescent="0.3">
      <c r="A27" s="1" t="s">
        <v>13</v>
      </c>
      <c r="B27" s="152" t="s">
        <v>364</v>
      </c>
      <c r="C27" s="6">
        <v>17</v>
      </c>
      <c r="D27" s="1"/>
      <c r="E27" s="1"/>
    </row>
    <row r="28" spans="1:5" ht="14.4" x14ac:dyDescent="0.3">
      <c r="A28" s="1" t="s">
        <v>1046</v>
      </c>
      <c r="B28" s="36" t="s">
        <v>368</v>
      </c>
      <c r="C28" s="6">
        <v>17</v>
      </c>
      <c r="D28" s="58"/>
      <c r="E28" s="1"/>
    </row>
    <row r="29" spans="1:5" ht="14.4" x14ac:dyDescent="0.3">
      <c r="A29" s="1" t="s">
        <v>1165</v>
      </c>
      <c r="B29" s="36" t="s">
        <v>100</v>
      </c>
      <c r="C29" s="6">
        <v>17</v>
      </c>
      <c r="D29" s="1" t="s">
        <v>16</v>
      </c>
      <c r="E29" s="1"/>
    </row>
    <row r="30" spans="1:5" ht="14.4" x14ac:dyDescent="0.3">
      <c r="A30" s="1" t="s">
        <v>1045</v>
      </c>
      <c r="B30" s="1" t="s">
        <v>120</v>
      </c>
      <c r="C30" s="6">
        <v>17</v>
      </c>
      <c r="D30" s="58" t="s">
        <v>28</v>
      </c>
      <c r="E30" s="1"/>
    </row>
    <row r="31" spans="1:5" ht="14.4" x14ac:dyDescent="0.3">
      <c r="A31" s="1" t="s">
        <v>13</v>
      </c>
      <c r="B31" s="36" t="s">
        <v>125</v>
      </c>
      <c r="C31" s="6">
        <v>17</v>
      </c>
      <c r="D31" s="1"/>
      <c r="E31" s="1"/>
    </row>
    <row r="32" spans="1:5" ht="14.4" x14ac:dyDescent="0.3">
      <c r="A32" s="1" t="s">
        <v>1046</v>
      </c>
      <c r="B32" s="36" t="s">
        <v>373</v>
      </c>
      <c r="C32" s="6">
        <v>17</v>
      </c>
      <c r="D32" s="58"/>
      <c r="E32" s="1"/>
    </row>
    <row r="33" spans="1:5" ht="14.4" x14ac:dyDescent="0.3">
      <c r="A33" s="1" t="s">
        <v>1046</v>
      </c>
      <c r="B33" s="36" t="s">
        <v>115</v>
      </c>
      <c r="C33" s="6">
        <v>17</v>
      </c>
      <c r="D33" s="1"/>
      <c r="E33" s="1"/>
    </row>
    <row r="34" spans="1:5" ht="14.4" x14ac:dyDescent="0.3">
      <c r="A34" s="1" t="s">
        <v>1045</v>
      </c>
      <c r="B34" s="36" t="s">
        <v>376</v>
      </c>
      <c r="C34" s="6">
        <v>17</v>
      </c>
      <c r="D34" s="1"/>
      <c r="E34" s="1"/>
    </row>
    <row r="35" spans="1:5" ht="14.4" x14ac:dyDescent="0.3">
      <c r="A35" s="1" t="s">
        <v>13</v>
      </c>
      <c r="B35" s="152" t="s">
        <v>379</v>
      </c>
      <c r="C35" s="6">
        <v>18</v>
      </c>
      <c r="D35" s="1" t="s">
        <v>28</v>
      </c>
      <c r="E35" s="1"/>
    </row>
    <row r="36" spans="1:5" ht="14.4" x14ac:dyDescent="0.3">
      <c r="A36" s="1" t="s">
        <v>1046</v>
      </c>
      <c r="B36" s="36" t="s">
        <v>130</v>
      </c>
      <c r="C36" s="6">
        <v>18</v>
      </c>
      <c r="D36" s="58"/>
      <c r="E36" s="1"/>
    </row>
    <row r="37" spans="1:5" ht="14.4" x14ac:dyDescent="0.3">
      <c r="A37" s="1" t="s">
        <v>1163</v>
      </c>
      <c r="B37" s="36" t="s">
        <v>137</v>
      </c>
      <c r="C37" s="6">
        <v>18</v>
      </c>
      <c r="D37" s="1"/>
      <c r="E37" s="1"/>
    </row>
    <row r="38" spans="1:5" ht="14.4" x14ac:dyDescent="0.3">
      <c r="A38" s="1" t="s">
        <v>13</v>
      </c>
      <c r="B38" s="152" t="s">
        <v>102</v>
      </c>
      <c r="C38" s="6">
        <v>18</v>
      </c>
      <c r="D38" s="33"/>
      <c r="E38" s="33"/>
    </row>
    <row r="39" spans="1:5" ht="14.4" x14ac:dyDescent="0.3">
      <c r="A39" s="1" t="s">
        <v>1165</v>
      </c>
      <c r="B39" s="152" t="s">
        <v>382</v>
      </c>
      <c r="C39" s="154">
        <v>18</v>
      </c>
      <c r="D39" s="9"/>
      <c r="E39" s="9"/>
    </row>
    <row r="40" spans="1:5" ht="14.4" x14ac:dyDescent="0.3">
      <c r="A40" s="1" t="s">
        <v>1046</v>
      </c>
      <c r="B40" s="36" t="s">
        <v>559</v>
      </c>
      <c r="C40" s="154">
        <v>18</v>
      </c>
      <c r="D40" s="9"/>
      <c r="E40" s="9"/>
    </row>
    <row r="41" spans="1:5" ht="14.4" x14ac:dyDescent="0.3">
      <c r="A41" t="s">
        <v>1046</v>
      </c>
      <c r="B41" s="117" t="s">
        <v>792</v>
      </c>
      <c r="C41" s="155">
        <v>14</v>
      </c>
      <c r="D41" s="9" t="s">
        <v>16</v>
      </c>
      <c r="E41" s="9"/>
    </row>
    <row r="42" spans="1:5" ht="14.4" x14ac:dyDescent="0.3">
      <c r="A42" s="1" t="s">
        <v>13</v>
      </c>
      <c r="B42" s="1" t="s">
        <v>25</v>
      </c>
      <c r="C42" s="154">
        <v>8</v>
      </c>
      <c r="D42" s="9" t="s">
        <v>28</v>
      </c>
      <c r="E42" s="9"/>
    </row>
    <row r="43" spans="1:5" ht="14.4" x14ac:dyDescent="0.3">
      <c r="A43" s="1" t="s">
        <v>1046</v>
      </c>
      <c r="B43" s="36" t="s">
        <v>210</v>
      </c>
      <c r="C43" s="154" t="s">
        <v>203</v>
      </c>
      <c r="D43" s="9"/>
      <c r="E43" s="9"/>
    </row>
    <row r="44" spans="1:5" ht="14.4" x14ac:dyDescent="0.3">
      <c r="A44" s="1" t="s">
        <v>1046</v>
      </c>
      <c r="B44" s="36" t="s">
        <v>279</v>
      </c>
      <c r="C44" s="154">
        <v>10</v>
      </c>
      <c r="D44" s="9" t="s">
        <v>16</v>
      </c>
      <c r="E44" s="9"/>
    </row>
    <row r="45" spans="1:5" ht="14.4" x14ac:dyDescent="0.3">
      <c r="A45" s="1" t="s">
        <v>1046</v>
      </c>
      <c r="B45" s="1" t="s">
        <v>298</v>
      </c>
      <c r="C45" s="154">
        <v>12</v>
      </c>
      <c r="D45" s="9"/>
      <c r="E45" s="9"/>
    </row>
    <row r="46" spans="1:5" ht="14.4" x14ac:dyDescent="0.3">
      <c r="A46" s="1" t="s">
        <v>13</v>
      </c>
      <c r="B46" s="1" t="s">
        <v>309</v>
      </c>
      <c r="C46" s="154">
        <v>13</v>
      </c>
      <c r="D46" s="9"/>
      <c r="E46" s="9"/>
    </row>
    <row r="47" spans="1:5" ht="14.4" x14ac:dyDescent="0.3">
      <c r="A47" s="1" t="s">
        <v>1046</v>
      </c>
      <c r="B47" s="36" t="s">
        <v>63</v>
      </c>
      <c r="C47" s="154">
        <v>13</v>
      </c>
      <c r="D47" s="9"/>
      <c r="E47" s="9"/>
    </row>
    <row r="48" spans="1:5" ht="14.4" x14ac:dyDescent="0.3">
      <c r="A48" s="1" t="s">
        <v>1163</v>
      </c>
      <c r="B48" s="1" t="s">
        <v>343</v>
      </c>
      <c r="C48" s="154">
        <v>15</v>
      </c>
      <c r="D48" s="9"/>
      <c r="E48" s="9"/>
    </row>
    <row r="49" spans="1:5" ht="14.4" x14ac:dyDescent="0.3">
      <c r="A49" s="1" t="s">
        <v>13</v>
      </c>
      <c r="B49" s="1" t="s">
        <v>17</v>
      </c>
      <c r="C49" s="154">
        <v>16</v>
      </c>
      <c r="D49" s="9"/>
      <c r="E49" s="9"/>
    </row>
    <row r="50" spans="1:5" ht="14.4" x14ac:dyDescent="0.3">
      <c r="A50" s="1" t="s">
        <v>1045</v>
      </c>
      <c r="B50" s="1" t="s">
        <v>351</v>
      </c>
      <c r="C50" s="154">
        <v>16</v>
      </c>
      <c r="D50" s="9"/>
      <c r="E50" s="9"/>
    </row>
    <row r="51" spans="1:5" ht="14.4" x14ac:dyDescent="0.3">
      <c r="A51" s="1" t="s">
        <v>1046</v>
      </c>
      <c r="B51" s="36" t="s">
        <v>112</v>
      </c>
      <c r="C51" s="154">
        <v>16</v>
      </c>
      <c r="D51" s="9"/>
      <c r="E51" s="9"/>
    </row>
    <row r="52" spans="1:5" ht="14.4" x14ac:dyDescent="0.3">
      <c r="A52" s="1" t="s">
        <v>1165</v>
      </c>
      <c r="B52" s="1" t="s">
        <v>357</v>
      </c>
      <c r="C52" s="154">
        <v>16</v>
      </c>
      <c r="D52" s="9"/>
      <c r="E52" s="9"/>
    </row>
    <row r="53" spans="1:5" ht="14.4" x14ac:dyDescent="0.3">
      <c r="A53" s="1" t="s">
        <v>1045</v>
      </c>
      <c r="B53" s="1" t="s">
        <v>117</v>
      </c>
      <c r="C53" s="154">
        <v>17</v>
      </c>
      <c r="D53" s="9"/>
      <c r="E53" s="9"/>
    </row>
    <row r="54" spans="1:5" ht="14.4" x14ac:dyDescent="0.3">
      <c r="A54" s="1" t="s">
        <v>13</v>
      </c>
      <c r="B54" s="1" t="s">
        <v>367</v>
      </c>
      <c r="C54" s="154">
        <v>17</v>
      </c>
      <c r="D54" s="9"/>
      <c r="E54" s="9"/>
    </row>
    <row r="55" spans="1:5" ht="14.4" x14ac:dyDescent="0.3">
      <c r="A55" s="33" t="s">
        <v>1046</v>
      </c>
      <c r="B55" s="36" t="s">
        <v>370</v>
      </c>
      <c r="C55" s="154">
        <v>17</v>
      </c>
      <c r="D55" s="9"/>
      <c r="E55" s="9"/>
    </row>
    <row r="56" spans="1:5" ht="14.4" x14ac:dyDescent="0.3">
      <c r="A56" s="9" t="s">
        <v>1046</v>
      </c>
      <c r="B56" s="61" t="s">
        <v>380</v>
      </c>
      <c r="C56" s="156">
        <v>18</v>
      </c>
      <c r="D56" s="9"/>
      <c r="E56" s="9"/>
    </row>
    <row r="57" spans="1:5" ht="14.4" x14ac:dyDescent="0.3">
      <c r="A57" s="9" t="s">
        <v>1045</v>
      </c>
      <c r="B57" s="146" t="s">
        <v>128</v>
      </c>
      <c r="C57" s="157">
        <v>18</v>
      </c>
      <c r="D57" s="9"/>
      <c r="E57" s="9"/>
    </row>
    <row r="58" spans="1:5" ht="14.4" x14ac:dyDescent="0.3">
      <c r="A58" s="9" t="s">
        <v>13</v>
      </c>
      <c r="B58" s="158" t="s">
        <v>134</v>
      </c>
      <c r="C58" s="157">
        <v>18</v>
      </c>
      <c r="D58" s="9"/>
      <c r="E58" s="9"/>
    </row>
    <row r="59" spans="1:5" ht="14.4" x14ac:dyDescent="0.3">
      <c r="C59" s="26"/>
    </row>
    <row r="60" spans="1:5" ht="14.4" x14ac:dyDescent="0.3">
      <c r="B60" s="371" t="s">
        <v>1025</v>
      </c>
      <c r="C60" s="384"/>
      <c r="D60" s="1">
        <f>+COUNTIF(D4:D58,"OK")</f>
        <v>4</v>
      </c>
    </row>
    <row r="61" spans="1:5" ht="14.4" x14ac:dyDescent="0.3">
      <c r="B61" s="109" t="s">
        <v>902</v>
      </c>
      <c r="D61">
        <v>4</v>
      </c>
    </row>
    <row r="72" spans="2:5" ht="14.4" x14ac:dyDescent="0.3">
      <c r="D72" s="53"/>
      <c r="E72" s="53" t="s">
        <v>903</v>
      </c>
    </row>
    <row r="73" spans="2:5" ht="15.6" x14ac:dyDescent="0.3">
      <c r="B73" s="351" t="s">
        <v>1032</v>
      </c>
      <c r="C73" s="385"/>
      <c r="D73" s="151"/>
    </row>
  </sheetData>
  <autoFilter ref="A3:H58" xr:uid="{665D032E-E5E2-4C69-B402-399B94A8E0FE}">
    <filterColumn colId="6" showButton="0"/>
  </autoFilter>
  <mergeCells count="4">
    <mergeCell ref="A2:C2"/>
    <mergeCell ref="G3:H3"/>
    <mergeCell ref="B60:C60"/>
    <mergeCell ref="B73:C73"/>
  </mergeCells>
  <conditionalFormatting sqref="B3:C3">
    <cfRule type="expression" dxfId="258" priority="218">
      <formula>COUNTIF($A3:U3, "NI")</formula>
    </cfRule>
  </conditionalFormatting>
  <conditionalFormatting sqref="B4:C41">
    <cfRule type="expression" dxfId="257" priority="219">
      <formula>COUNTIF($B4:X4, "C")</formula>
    </cfRule>
    <cfRule type="expression" dxfId="256" priority="220">
      <formula>COUNTIF($B4:X4, "Q")</formula>
    </cfRule>
    <cfRule type="expression" dxfId="255" priority="221">
      <formula>COUNTIF($B4:X4, "M")</formula>
    </cfRule>
    <cfRule type="expression" dxfId="254" priority="222">
      <formula>COUNTIF($B4:X4, "A")</formula>
    </cfRule>
    <cfRule type="expression" dxfId="253" priority="223">
      <formula>COUNTIF($A4:X4, "NI")</formula>
    </cfRule>
  </conditionalFormatting>
  <conditionalFormatting sqref="B42:C59 B62:C64">
    <cfRule type="expression" dxfId="252" priority="224">
      <formula>COUNTIF($B42:V42, "C")</formula>
    </cfRule>
    <cfRule type="expression" dxfId="251" priority="225">
      <formula>COUNTIF($B42:V42, "Q")</formula>
    </cfRule>
    <cfRule type="expression" dxfId="250" priority="226">
      <formula>COUNTIF($B42:V42, "M")</formula>
    </cfRule>
    <cfRule type="expression" dxfId="249" priority="227">
      <formula>COUNTIF($B42:V42, "A")</formula>
    </cfRule>
    <cfRule type="expression" dxfId="248" priority="228">
      <formula>COUNTIF($A42:V42, "NI")</formula>
    </cfRule>
  </conditionalFormatting>
  <conditionalFormatting sqref="C3">
    <cfRule type="expression" dxfId="247" priority="214">
      <formula>COUNTIF($A3:V3, "C")</formula>
    </cfRule>
    <cfRule type="expression" dxfId="246" priority="215">
      <formula>COUNTIF($A3:V3, "Q")</formula>
    </cfRule>
    <cfRule type="expression" dxfId="245" priority="216">
      <formula>COUNTIF($A3:V3, "M")</formula>
    </cfRule>
    <cfRule type="expression" dxfId="244" priority="217">
      <formula>COUNTIF($A3:V3, "A")</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FB839-339B-4953-8D76-84B69F847B1C}">
  <sheetPr filterMode="1"/>
  <dimension ref="A2:H126"/>
  <sheetViews>
    <sheetView topLeftCell="A70" workbookViewId="0">
      <selection activeCell="D87" sqref="D87"/>
    </sheetView>
  </sheetViews>
  <sheetFormatPr baseColWidth="10" defaultColWidth="8.88671875" defaultRowHeight="14.4" x14ac:dyDescent="0.3"/>
  <cols>
    <col min="1" max="1" width="8.109375" customWidth="1"/>
    <col min="2" max="2" width="46" customWidth="1"/>
    <col min="4" max="4" width="20" style="5" customWidth="1"/>
    <col min="5" max="5" width="36.44140625" customWidth="1"/>
  </cols>
  <sheetData>
    <row r="2" spans="1:8" ht="31.2" x14ac:dyDescent="0.3">
      <c r="A2" s="377" t="s">
        <v>1177</v>
      </c>
      <c r="B2" s="378"/>
      <c r="C2" s="379"/>
      <c r="D2" s="114" t="s">
        <v>1178</v>
      </c>
      <c r="E2" s="298" t="s">
        <v>817</v>
      </c>
      <c r="F2" s="103"/>
      <c r="G2" s="103"/>
      <c r="H2" s="103"/>
    </row>
    <row r="3" spans="1:8" ht="15" customHeight="1" x14ac:dyDescent="0.3">
      <c r="A3" s="123" t="s">
        <v>1180</v>
      </c>
      <c r="B3" s="124" t="s">
        <v>739</v>
      </c>
      <c r="C3" s="124" t="s">
        <v>740</v>
      </c>
      <c r="D3" s="100" t="s">
        <v>1179</v>
      </c>
      <c r="E3" s="297"/>
      <c r="F3" s="5"/>
      <c r="G3" s="366" t="s">
        <v>970</v>
      </c>
      <c r="H3" s="366"/>
    </row>
    <row r="4" spans="1:8" x14ac:dyDescent="0.3">
      <c r="A4" s="1"/>
      <c r="B4" s="1" t="s">
        <v>92</v>
      </c>
      <c r="C4" s="6">
        <v>4</v>
      </c>
      <c r="D4" s="190"/>
      <c r="E4" s="1"/>
    </row>
    <row r="5" spans="1:8" x14ac:dyDescent="0.3">
      <c r="A5" s="1"/>
      <c r="B5" s="1" t="s">
        <v>25</v>
      </c>
      <c r="C5" s="6">
        <v>8</v>
      </c>
      <c r="D5" s="190"/>
      <c r="E5" s="1"/>
    </row>
    <row r="6" spans="1:8" hidden="1" x14ac:dyDescent="0.3">
      <c r="A6" s="1"/>
      <c r="B6" s="1" t="s">
        <v>27</v>
      </c>
      <c r="C6" s="6">
        <v>10</v>
      </c>
      <c r="D6" s="3" t="s">
        <v>28</v>
      </c>
      <c r="E6" s="1"/>
    </row>
    <row r="7" spans="1:8" x14ac:dyDescent="0.3">
      <c r="A7" s="1"/>
      <c r="B7" s="1" t="s">
        <v>29</v>
      </c>
      <c r="C7" s="6">
        <v>10</v>
      </c>
      <c r="D7" s="3"/>
      <c r="E7" s="1"/>
    </row>
    <row r="8" spans="1:8" x14ac:dyDescent="0.3">
      <c r="A8" s="1"/>
      <c r="B8" s="1" t="s">
        <v>30</v>
      </c>
      <c r="C8" s="6">
        <v>10</v>
      </c>
      <c r="D8" s="190"/>
      <c r="E8" s="1"/>
    </row>
    <row r="9" spans="1:8" x14ac:dyDescent="0.3">
      <c r="A9" s="1"/>
      <c r="B9" s="1" t="s">
        <v>31</v>
      </c>
      <c r="C9" s="6">
        <v>10</v>
      </c>
      <c r="D9" s="190"/>
      <c r="E9" s="1"/>
    </row>
    <row r="10" spans="1:8" x14ac:dyDescent="0.3">
      <c r="A10" s="1"/>
      <c r="B10" s="1" t="s">
        <v>32</v>
      </c>
      <c r="C10" s="6">
        <v>10</v>
      </c>
      <c r="D10" s="3"/>
      <c r="E10" s="1"/>
    </row>
    <row r="11" spans="1:8" hidden="1" x14ac:dyDescent="0.3">
      <c r="A11" s="1"/>
      <c r="B11" s="1" t="s">
        <v>34</v>
      </c>
      <c r="C11" s="6">
        <v>11</v>
      </c>
      <c r="D11" s="3" t="s">
        <v>28</v>
      </c>
      <c r="E11" s="1"/>
    </row>
    <row r="12" spans="1:8" x14ac:dyDescent="0.3">
      <c r="A12" s="1"/>
      <c r="B12" s="1" t="s">
        <v>38</v>
      </c>
      <c r="C12" s="6">
        <v>11</v>
      </c>
      <c r="D12" s="190"/>
      <c r="E12" s="1"/>
    </row>
    <row r="13" spans="1:8" x14ac:dyDescent="0.3">
      <c r="A13" s="1"/>
      <c r="B13" s="1" t="s">
        <v>39</v>
      </c>
      <c r="C13" s="6">
        <v>11</v>
      </c>
      <c r="D13" s="190"/>
      <c r="E13" s="1"/>
    </row>
    <row r="14" spans="1:8" hidden="1" x14ac:dyDescent="0.3">
      <c r="A14" s="1"/>
      <c r="B14" s="1" t="s">
        <v>41</v>
      </c>
      <c r="C14" s="6">
        <v>11</v>
      </c>
      <c r="D14" s="3" t="s">
        <v>28</v>
      </c>
      <c r="E14" s="1"/>
    </row>
    <row r="15" spans="1:8" x14ac:dyDescent="0.3">
      <c r="A15" s="1"/>
      <c r="B15" s="1" t="s">
        <v>42</v>
      </c>
      <c r="C15" s="6">
        <v>11</v>
      </c>
      <c r="D15" s="190"/>
      <c r="E15" s="1"/>
    </row>
    <row r="16" spans="1:8" x14ac:dyDescent="0.3">
      <c r="A16" s="1"/>
      <c r="B16" s="1" t="s">
        <v>45</v>
      </c>
      <c r="C16" s="6">
        <v>12</v>
      </c>
      <c r="D16" s="190"/>
      <c r="E16" s="1"/>
    </row>
    <row r="17" spans="1:5" x14ac:dyDescent="0.3">
      <c r="A17" s="1"/>
      <c r="B17" s="1" t="s">
        <v>46</v>
      </c>
      <c r="C17" s="6">
        <v>12</v>
      </c>
      <c r="D17" s="190"/>
      <c r="E17" s="1"/>
    </row>
    <row r="18" spans="1:5" x14ac:dyDescent="0.3">
      <c r="A18" s="1"/>
      <c r="B18" s="1" t="s">
        <v>51</v>
      </c>
      <c r="C18" s="6">
        <v>12</v>
      </c>
      <c r="D18" s="190"/>
      <c r="E18" s="1"/>
    </row>
    <row r="19" spans="1:5" x14ac:dyDescent="0.3">
      <c r="A19" s="1"/>
      <c r="B19" s="1" t="s">
        <v>52</v>
      </c>
      <c r="C19" s="6">
        <v>12</v>
      </c>
      <c r="D19" s="3"/>
      <c r="E19" s="1"/>
    </row>
    <row r="20" spans="1:5" x14ac:dyDescent="0.3">
      <c r="A20" s="1"/>
      <c r="B20" s="1" t="s">
        <v>49</v>
      </c>
      <c r="C20" s="6">
        <v>12</v>
      </c>
      <c r="D20" s="190"/>
      <c r="E20" s="1"/>
    </row>
    <row r="21" spans="1:5" x14ac:dyDescent="0.3">
      <c r="A21" s="1"/>
      <c r="B21" s="1" t="s">
        <v>56</v>
      </c>
      <c r="C21" s="6">
        <v>13</v>
      </c>
      <c r="D21" s="3"/>
      <c r="E21" s="1"/>
    </row>
    <row r="22" spans="1:5" hidden="1" x14ac:dyDescent="0.3">
      <c r="A22" s="1"/>
      <c r="B22" s="1" t="s">
        <v>55</v>
      </c>
      <c r="C22" s="6">
        <v>13</v>
      </c>
      <c r="D22" s="3" t="s">
        <v>28</v>
      </c>
      <c r="E22" s="1"/>
    </row>
    <row r="23" spans="1:5" x14ac:dyDescent="0.3">
      <c r="A23" s="1"/>
      <c r="B23" s="1" t="s">
        <v>57</v>
      </c>
      <c r="C23" s="6">
        <v>13</v>
      </c>
      <c r="D23" s="190"/>
      <c r="E23" s="1"/>
    </row>
    <row r="24" spans="1:5" x14ac:dyDescent="0.3">
      <c r="A24" s="1"/>
      <c r="B24" s="1" t="s">
        <v>58</v>
      </c>
      <c r="C24" s="6">
        <v>13</v>
      </c>
      <c r="D24" s="3"/>
      <c r="E24" s="1"/>
    </row>
    <row r="25" spans="1:5" hidden="1" x14ac:dyDescent="0.3">
      <c r="A25" s="1"/>
      <c r="B25" s="1" t="s">
        <v>60</v>
      </c>
      <c r="C25" s="6">
        <v>13</v>
      </c>
      <c r="D25" s="190" t="s">
        <v>28</v>
      </c>
      <c r="E25" s="1"/>
    </row>
    <row r="26" spans="1:5" hidden="1" x14ac:dyDescent="0.3">
      <c r="A26" s="1"/>
      <c r="B26" s="1" t="s">
        <v>62</v>
      </c>
      <c r="C26" s="6">
        <v>13</v>
      </c>
      <c r="D26" s="3" t="s">
        <v>28</v>
      </c>
      <c r="E26" s="1"/>
    </row>
    <row r="27" spans="1:5" hidden="1" x14ac:dyDescent="0.3">
      <c r="A27" s="1"/>
      <c r="B27" s="1" t="s">
        <v>63</v>
      </c>
      <c r="C27" s="6">
        <v>13</v>
      </c>
      <c r="D27" s="190" t="s">
        <v>28</v>
      </c>
      <c r="E27" s="1"/>
    </row>
    <row r="28" spans="1:5" x14ac:dyDescent="0.3">
      <c r="A28" s="1"/>
      <c r="B28" s="1" t="s">
        <v>65</v>
      </c>
      <c r="C28" s="6">
        <v>13</v>
      </c>
      <c r="D28" s="3"/>
      <c r="E28" s="1"/>
    </row>
    <row r="29" spans="1:5" x14ac:dyDescent="0.3">
      <c r="A29" s="1"/>
      <c r="B29" s="1" t="s">
        <v>67</v>
      </c>
      <c r="C29" s="6">
        <v>13</v>
      </c>
      <c r="D29" s="190"/>
      <c r="E29" s="1"/>
    </row>
    <row r="30" spans="1:5" x14ac:dyDescent="0.3">
      <c r="A30" s="1"/>
      <c r="B30" s="1" t="s">
        <v>70</v>
      </c>
      <c r="C30" s="6">
        <v>14</v>
      </c>
      <c r="D30" s="3"/>
      <c r="E30" s="1"/>
    </row>
    <row r="31" spans="1:5" x14ac:dyDescent="0.3">
      <c r="A31" s="1"/>
      <c r="B31" s="1" t="s">
        <v>74</v>
      </c>
      <c r="C31" s="6">
        <v>14</v>
      </c>
      <c r="D31" s="190"/>
      <c r="E31" s="1"/>
    </row>
    <row r="32" spans="1:5" x14ac:dyDescent="0.3">
      <c r="A32" s="1"/>
      <c r="B32" s="1" t="s">
        <v>71</v>
      </c>
      <c r="C32" s="6">
        <v>14</v>
      </c>
      <c r="D32" s="3"/>
      <c r="E32" s="1"/>
    </row>
    <row r="33" spans="1:5" x14ac:dyDescent="0.3">
      <c r="A33" s="1"/>
      <c r="B33" s="1" t="s">
        <v>155</v>
      </c>
      <c r="C33" s="6">
        <v>14</v>
      </c>
      <c r="D33" s="3"/>
      <c r="E33" s="1"/>
    </row>
    <row r="34" spans="1:5" x14ac:dyDescent="0.3">
      <c r="A34" s="1"/>
      <c r="B34" s="1" t="s">
        <v>84</v>
      </c>
      <c r="C34" s="6">
        <v>14</v>
      </c>
      <c r="D34" s="3"/>
      <c r="E34" s="1"/>
    </row>
    <row r="35" spans="1:5" x14ac:dyDescent="0.3">
      <c r="A35" s="1"/>
      <c r="B35" s="1" t="s">
        <v>12</v>
      </c>
      <c r="C35" s="6">
        <v>15</v>
      </c>
      <c r="D35" s="190"/>
      <c r="E35" s="1"/>
    </row>
    <row r="36" spans="1:5" x14ac:dyDescent="0.3">
      <c r="A36" s="1"/>
      <c r="B36" s="1" t="s">
        <v>94</v>
      </c>
      <c r="C36" s="6">
        <v>15</v>
      </c>
      <c r="D36" s="3"/>
      <c r="E36" s="1"/>
    </row>
    <row r="37" spans="1:5" x14ac:dyDescent="0.3">
      <c r="A37" s="1"/>
      <c r="B37" s="1" t="s">
        <v>90</v>
      </c>
      <c r="C37" s="6">
        <v>15</v>
      </c>
      <c r="D37" s="48"/>
      <c r="E37" s="33"/>
    </row>
    <row r="38" spans="1:5" x14ac:dyDescent="0.3">
      <c r="A38" s="1"/>
      <c r="B38" s="1" t="s">
        <v>96</v>
      </c>
      <c r="C38" s="6">
        <v>15</v>
      </c>
      <c r="D38" s="14"/>
      <c r="E38" s="9"/>
    </row>
    <row r="39" spans="1:5" x14ac:dyDescent="0.3">
      <c r="A39" s="1"/>
      <c r="B39" s="1" t="s">
        <v>97</v>
      </c>
      <c r="C39" s="6">
        <v>15</v>
      </c>
      <c r="D39" s="14"/>
      <c r="E39" s="9"/>
    </row>
    <row r="40" spans="1:5" x14ac:dyDescent="0.3">
      <c r="B40" s="1" t="s">
        <v>101</v>
      </c>
      <c r="C40" s="6">
        <v>16</v>
      </c>
      <c r="D40" s="14"/>
      <c r="E40" s="9"/>
    </row>
    <row r="41" spans="1:5" x14ac:dyDescent="0.3">
      <c r="A41" s="1"/>
      <c r="B41" s="1" t="s">
        <v>104</v>
      </c>
      <c r="C41" s="6">
        <v>16</v>
      </c>
      <c r="D41" s="14"/>
      <c r="E41" s="9"/>
    </row>
    <row r="42" spans="1:5" x14ac:dyDescent="0.3">
      <c r="A42" s="1"/>
      <c r="B42" s="1" t="s">
        <v>186</v>
      </c>
      <c r="C42" s="6">
        <v>16</v>
      </c>
      <c r="D42" s="14"/>
      <c r="E42" s="9"/>
    </row>
    <row r="43" spans="1:5" x14ac:dyDescent="0.3">
      <c r="A43" s="1"/>
      <c r="B43" s="1" t="s">
        <v>106</v>
      </c>
      <c r="C43" s="6">
        <v>16</v>
      </c>
      <c r="D43" s="14"/>
      <c r="E43" s="9"/>
    </row>
    <row r="44" spans="1:5" x14ac:dyDescent="0.3">
      <c r="A44" s="1"/>
      <c r="B44" s="1" t="s">
        <v>17</v>
      </c>
      <c r="C44" s="6">
        <v>16</v>
      </c>
      <c r="D44" s="14"/>
      <c r="E44" s="9"/>
    </row>
    <row r="45" spans="1:5" x14ac:dyDescent="0.3">
      <c r="A45" s="1"/>
      <c r="B45" s="1" t="s">
        <v>105</v>
      </c>
      <c r="C45" s="6">
        <v>16</v>
      </c>
      <c r="D45" s="14"/>
      <c r="E45" s="9"/>
    </row>
    <row r="46" spans="1:5" x14ac:dyDescent="0.3">
      <c r="A46" s="1"/>
      <c r="B46" s="1" t="s">
        <v>107</v>
      </c>
      <c r="C46" s="6">
        <v>16</v>
      </c>
      <c r="D46" s="14"/>
      <c r="E46" s="9"/>
    </row>
    <row r="47" spans="1:5" x14ac:dyDescent="0.3">
      <c r="A47" s="1"/>
      <c r="B47" s="1" t="s">
        <v>109</v>
      </c>
      <c r="C47" s="6">
        <v>16</v>
      </c>
      <c r="D47" s="14"/>
      <c r="E47" s="9"/>
    </row>
    <row r="48" spans="1:5" x14ac:dyDescent="0.3">
      <c r="A48" s="1"/>
      <c r="B48" s="1" t="s">
        <v>112</v>
      </c>
      <c r="C48" s="6">
        <v>16</v>
      </c>
      <c r="D48" s="14"/>
      <c r="E48" s="9"/>
    </row>
    <row r="49" spans="1:5" x14ac:dyDescent="0.3">
      <c r="A49" s="1"/>
      <c r="B49" s="1" t="s">
        <v>114</v>
      </c>
      <c r="C49" s="3">
        <v>17</v>
      </c>
      <c r="D49" s="14"/>
      <c r="E49" s="9"/>
    </row>
    <row r="50" spans="1:5" x14ac:dyDescent="0.3">
      <c r="A50" s="1"/>
      <c r="B50" s="1" t="s">
        <v>117</v>
      </c>
      <c r="C50" s="3">
        <v>17</v>
      </c>
      <c r="D50" s="14"/>
      <c r="E50" s="9"/>
    </row>
    <row r="51" spans="1:5" x14ac:dyDescent="0.3">
      <c r="A51" s="1"/>
      <c r="B51" s="193" t="s">
        <v>120</v>
      </c>
      <c r="C51" s="6">
        <v>17</v>
      </c>
      <c r="D51" s="14"/>
      <c r="E51" s="9"/>
    </row>
    <row r="52" spans="1:5" x14ac:dyDescent="0.3">
      <c r="A52" s="1"/>
      <c r="B52" s="1" t="s">
        <v>113</v>
      </c>
      <c r="C52" s="3">
        <v>17</v>
      </c>
      <c r="D52" s="14"/>
      <c r="E52" s="9"/>
    </row>
    <row r="53" spans="1:5" x14ac:dyDescent="0.3">
      <c r="A53" s="1"/>
      <c r="B53" s="1" t="s">
        <v>121</v>
      </c>
      <c r="C53" s="3">
        <v>17</v>
      </c>
      <c r="D53" s="14"/>
      <c r="E53" s="9"/>
    </row>
    <row r="54" spans="1:5" x14ac:dyDescent="0.3">
      <c r="A54" s="1"/>
      <c r="B54" s="1" t="s">
        <v>122</v>
      </c>
      <c r="C54" s="3">
        <v>17</v>
      </c>
      <c r="D54" s="14"/>
      <c r="E54" s="9"/>
    </row>
    <row r="55" spans="1:5" x14ac:dyDescent="0.3">
      <c r="A55" s="1"/>
      <c r="B55" s="1" t="s">
        <v>126</v>
      </c>
      <c r="C55" s="6">
        <v>17</v>
      </c>
      <c r="D55" s="14"/>
      <c r="E55" s="9"/>
    </row>
    <row r="56" spans="1:5" x14ac:dyDescent="0.3">
      <c r="A56" s="1"/>
      <c r="B56" s="1" t="s">
        <v>125</v>
      </c>
      <c r="C56" s="3">
        <v>17</v>
      </c>
      <c r="D56" s="14"/>
      <c r="E56" s="9"/>
    </row>
    <row r="57" spans="1:5" x14ac:dyDescent="0.3">
      <c r="A57" s="1"/>
      <c r="B57" s="1" t="s">
        <v>128</v>
      </c>
      <c r="C57" s="6">
        <v>18</v>
      </c>
      <c r="D57" s="14"/>
      <c r="E57" s="9"/>
    </row>
    <row r="58" spans="1:5" x14ac:dyDescent="0.3">
      <c r="A58" s="1"/>
      <c r="B58" s="1" t="s">
        <v>127</v>
      </c>
      <c r="C58" s="6">
        <v>18</v>
      </c>
      <c r="D58" s="14"/>
      <c r="E58" s="9"/>
    </row>
    <row r="59" spans="1:5" x14ac:dyDescent="0.3">
      <c r="A59" s="1"/>
      <c r="B59" s="1" t="s">
        <v>134</v>
      </c>
      <c r="C59" s="6">
        <v>18</v>
      </c>
      <c r="D59" s="14"/>
      <c r="E59" s="9"/>
    </row>
    <row r="60" spans="1:5" x14ac:dyDescent="0.3">
      <c r="A60" s="1"/>
      <c r="B60" s="1" t="s">
        <v>135</v>
      </c>
      <c r="C60" s="6">
        <v>18</v>
      </c>
      <c r="D60" s="14"/>
      <c r="E60" s="9"/>
    </row>
    <row r="61" spans="1:5" x14ac:dyDescent="0.3">
      <c r="A61" s="1"/>
      <c r="B61" s="1" t="s">
        <v>137</v>
      </c>
      <c r="C61" s="6">
        <v>18</v>
      </c>
      <c r="D61" s="14"/>
      <c r="E61" s="9"/>
    </row>
    <row r="62" spans="1:5" x14ac:dyDescent="0.3">
      <c r="A62" s="1"/>
      <c r="B62" s="1" t="s">
        <v>138</v>
      </c>
      <c r="C62" s="6">
        <v>18</v>
      </c>
      <c r="D62" s="14"/>
      <c r="E62" s="9"/>
    </row>
    <row r="63" spans="1:5" x14ac:dyDescent="0.3">
      <c r="A63" s="1"/>
      <c r="B63" s="1" t="s">
        <v>139</v>
      </c>
      <c r="C63" s="6">
        <v>18</v>
      </c>
      <c r="D63" s="14"/>
      <c r="E63" s="9"/>
    </row>
    <row r="64" spans="1:5" x14ac:dyDescent="0.3">
      <c r="A64" s="1"/>
      <c r="B64" s="1" t="s">
        <v>142</v>
      </c>
      <c r="C64" s="6">
        <v>19</v>
      </c>
      <c r="D64" s="14"/>
      <c r="E64" s="9"/>
    </row>
    <row r="65" spans="1:5" x14ac:dyDescent="0.3">
      <c r="A65" s="1"/>
      <c r="B65" s="9" t="s">
        <v>384</v>
      </c>
      <c r="C65" s="6">
        <v>19</v>
      </c>
      <c r="D65" s="14"/>
      <c r="E65" s="9"/>
    </row>
    <row r="66" spans="1:5" x14ac:dyDescent="0.3">
      <c r="A66" s="1"/>
      <c r="B66" s="1" t="s">
        <v>144</v>
      </c>
      <c r="C66" s="6">
        <v>19</v>
      </c>
      <c r="D66" s="14"/>
      <c r="E66" s="9"/>
    </row>
    <row r="67" spans="1:5" x14ac:dyDescent="0.3">
      <c r="A67" s="1"/>
      <c r="B67" s="1" t="s">
        <v>141</v>
      </c>
      <c r="C67" s="6">
        <v>19</v>
      </c>
      <c r="D67" s="14"/>
      <c r="E67" s="9"/>
    </row>
    <row r="68" spans="1:5" x14ac:dyDescent="0.3">
      <c r="A68" s="1"/>
      <c r="B68" s="1" t="s">
        <v>175</v>
      </c>
      <c r="C68" s="6">
        <v>19</v>
      </c>
      <c r="D68" s="14"/>
      <c r="E68" s="9"/>
    </row>
    <row r="69" spans="1:5" x14ac:dyDescent="0.3">
      <c r="A69" s="1"/>
      <c r="B69" s="1" t="s">
        <v>140</v>
      </c>
      <c r="C69" s="6">
        <v>19</v>
      </c>
      <c r="D69" s="14"/>
      <c r="E69" s="9"/>
    </row>
    <row r="70" spans="1:5" x14ac:dyDescent="0.3">
      <c r="A70" s="1"/>
      <c r="B70" s="1" t="s">
        <v>146</v>
      </c>
      <c r="C70" s="6">
        <v>19</v>
      </c>
      <c r="D70" s="14"/>
      <c r="E70" s="9"/>
    </row>
    <row r="71" spans="1:5" x14ac:dyDescent="0.3">
      <c r="A71" s="1"/>
      <c r="B71" s="1" t="s">
        <v>150</v>
      </c>
      <c r="C71" s="6">
        <v>19</v>
      </c>
      <c r="D71" s="14"/>
      <c r="E71" s="9"/>
    </row>
    <row r="72" spans="1:5" x14ac:dyDescent="0.3">
      <c r="A72" s="1"/>
      <c r="B72" s="1" t="s">
        <v>151</v>
      </c>
      <c r="C72" s="6">
        <v>19</v>
      </c>
      <c r="D72" s="14"/>
      <c r="E72" s="9"/>
    </row>
    <row r="73" spans="1:5" x14ac:dyDescent="0.3">
      <c r="A73" s="1"/>
      <c r="B73" s="1" t="s">
        <v>149</v>
      </c>
      <c r="C73" s="6">
        <v>19</v>
      </c>
      <c r="D73" s="14"/>
      <c r="E73" s="9"/>
    </row>
    <row r="74" spans="1:5" x14ac:dyDescent="0.3">
      <c r="A74" s="1"/>
      <c r="B74" s="1" t="s">
        <v>152</v>
      </c>
      <c r="C74" s="6">
        <v>19</v>
      </c>
      <c r="D74" s="14"/>
      <c r="E74" s="9"/>
    </row>
    <row r="75" spans="1:5" x14ac:dyDescent="0.3">
      <c r="A75" s="1"/>
      <c r="B75" s="1" t="s">
        <v>154</v>
      </c>
      <c r="C75" s="6">
        <v>19</v>
      </c>
      <c r="D75" s="14"/>
      <c r="E75" s="9"/>
    </row>
    <row r="76" spans="1:5" x14ac:dyDescent="0.3">
      <c r="A76" s="1"/>
      <c r="B76" s="1" t="s">
        <v>198</v>
      </c>
      <c r="C76" s="6">
        <v>19</v>
      </c>
      <c r="D76" s="14"/>
      <c r="E76" s="9"/>
    </row>
    <row r="77" spans="1:5" x14ac:dyDescent="0.3">
      <c r="A77" s="1"/>
      <c r="B77" s="1" t="s">
        <v>156</v>
      </c>
      <c r="C77" s="6">
        <v>20</v>
      </c>
      <c r="D77" s="14"/>
      <c r="E77" s="9"/>
    </row>
    <row r="78" spans="1:5" x14ac:dyDescent="0.3">
      <c r="A78" s="1"/>
      <c r="B78" s="1" t="s">
        <v>157</v>
      </c>
      <c r="C78" s="6">
        <v>20</v>
      </c>
      <c r="D78" s="14"/>
      <c r="E78" s="9"/>
    </row>
    <row r="79" spans="1:5" x14ac:dyDescent="0.3">
      <c r="A79" s="1"/>
      <c r="B79" s="1" t="s">
        <v>158</v>
      </c>
      <c r="C79" s="6">
        <v>20</v>
      </c>
      <c r="D79" s="14"/>
      <c r="E79" s="9"/>
    </row>
    <row r="80" spans="1:5" x14ac:dyDescent="0.3">
      <c r="A80" s="1"/>
      <c r="B80" s="1" t="s">
        <v>166</v>
      </c>
      <c r="C80" s="6">
        <v>20</v>
      </c>
      <c r="D80" s="14"/>
      <c r="E80" s="9"/>
    </row>
    <row r="81" spans="1:5" x14ac:dyDescent="0.3">
      <c r="A81" s="1"/>
      <c r="B81" s="1" t="s">
        <v>169</v>
      </c>
      <c r="C81" s="6">
        <v>20</v>
      </c>
      <c r="D81" s="14"/>
      <c r="E81" s="9"/>
    </row>
    <row r="82" spans="1:5" x14ac:dyDescent="0.3">
      <c r="A82" s="1"/>
      <c r="B82" s="1" t="s">
        <v>167</v>
      </c>
      <c r="C82" s="6">
        <v>20</v>
      </c>
      <c r="D82" s="14"/>
      <c r="E82" s="9"/>
    </row>
    <row r="83" spans="1:5" x14ac:dyDescent="0.3">
      <c r="A83" s="1"/>
      <c r="B83" s="1" t="s">
        <v>173</v>
      </c>
      <c r="C83" s="3">
        <v>21</v>
      </c>
      <c r="D83" s="14"/>
      <c r="E83" s="9"/>
    </row>
    <row r="84" spans="1:5" x14ac:dyDescent="0.3">
      <c r="A84" s="1"/>
      <c r="B84" s="1" t="s">
        <v>174</v>
      </c>
      <c r="C84" s="3">
        <v>21</v>
      </c>
      <c r="D84" s="14"/>
      <c r="E84" s="9"/>
    </row>
    <row r="85" spans="1:5" x14ac:dyDescent="0.3">
      <c r="A85" s="1"/>
      <c r="B85" s="1" t="s">
        <v>171</v>
      </c>
      <c r="C85" s="3">
        <v>21</v>
      </c>
      <c r="D85" s="14"/>
      <c r="E85" s="9"/>
    </row>
    <row r="86" spans="1:5" x14ac:dyDescent="0.3">
      <c r="A86" s="1"/>
      <c r="B86" s="1" t="s">
        <v>178</v>
      </c>
      <c r="C86" s="3">
        <v>21</v>
      </c>
      <c r="D86" s="14" t="s">
        <v>28</v>
      </c>
      <c r="E86" s="9"/>
    </row>
    <row r="87" spans="1:5" x14ac:dyDescent="0.3">
      <c r="A87" s="1"/>
      <c r="B87" s="1" t="s">
        <v>176</v>
      </c>
      <c r="C87" s="3">
        <v>21</v>
      </c>
      <c r="D87" s="14"/>
      <c r="E87" s="9"/>
    </row>
    <row r="88" spans="1:5" x14ac:dyDescent="0.3">
      <c r="A88" s="1"/>
      <c r="B88" s="1" t="s">
        <v>182</v>
      </c>
      <c r="C88" s="3">
        <v>21</v>
      </c>
      <c r="D88" s="14"/>
      <c r="E88" s="9"/>
    </row>
    <row r="89" spans="1:5" x14ac:dyDescent="0.3">
      <c r="A89" s="1"/>
      <c r="B89" s="1" t="s">
        <v>185</v>
      </c>
      <c r="C89" s="3">
        <v>21</v>
      </c>
      <c r="D89" s="14"/>
      <c r="E89" s="9"/>
    </row>
    <row r="90" spans="1:5" x14ac:dyDescent="0.3">
      <c r="A90" s="1"/>
      <c r="B90" s="1" t="s">
        <v>184</v>
      </c>
      <c r="C90" s="3">
        <v>21</v>
      </c>
      <c r="D90" s="14"/>
      <c r="E90" s="9"/>
    </row>
    <row r="91" spans="1:5" x14ac:dyDescent="0.3">
      <c r="A91" s="1"/>
      <c r="B91" s="1" t="s">
        <v>191</v>
      </c>
      <c r="C91" s="3">
        <v>21</v>
      </c>
      <c r="D91" s="14"/>
      <c r="E91" s="9"/>
    </row>
    <row r="92" spans="1:5" x14ac:dyDescent="0.3">
      <c r="A92" s="1"/>
      <c r="B92" s="1" t="s">
        <v>189</v>
      </c>
      <c r="C92" s="3">
        <v>21</v>
      </c>
      <c r="D92" s="14"/>
      <c r="E92" s="9"/>
    </row>
    <row r="93" spans="1:5" x14ac:dyDescent="0.3">
      <c r="A93" s="1"/>
      <c r="B93" s="1" t="s">
        <v>194</v>
      </c>
      <c r="C93" s="3">
        <v>21</v>
      </c>
      <c r="D93" s="14"/>
      <c r="E93" s="9"/>
    </row>
    <row r="94" spans="1:5" x14ac:dyDescent="0.3">
      <c r="A94" s="1"/>
      <c r="B94" s="1" t="s">
        <v>199</v>
      </c>
      <c r="C94" s="3">
        <v>21</v>
      </c>
      <c r="D94" s="14" t="s">
        <v>16</v>
      </c>
      <c r="E94" s="9"/>
    </row>
    <row r="95" spans="1:5" x14ac:dyDescent="0.3">
      <c r="A95" s="1"/>
      <c r="B95" s="1" t="s">
        <v>197</v>
      </c>
      <c r="C95" s="3">
        <v>21</v>
      </c>
      <c r="D95" s="14"/>
      <c r="E95" s="9"/>
    </row>
    <row r="96" spans="1:5" x14ac:dyDescent="0.3">
      <c r="A96" s="1"/>
      <c r="B96" s="1" t="s">
        <v>200</v>
      </c>
      <c r="C96" s="3">
        <v>21</v>
      </c>
      <c r="D96" s="14"/>
      <c r="E96" s="9"/>
    </row>
    <row r="97" spans="1:5" x14ac:dyDescent="0.3">
      <c r="A97" s="1"/>
      <c r="B97" s="1" t="s">
        <v>401</v>
      </c>
      <c r="C97" s="3">
        <v>22</v>
      </c>
      <c r="D97" s="14"/>
      <c r="E97" s="9"/>
    </row>
    <row r="98" spans="1:5" x14ac:dyDescent="0.3">
      <c r="A98" s="1"/>
      <c r="B98" s="1" t="s">
        <v>402</v>
      </c>
      <c r="C98" s="3">
        <v>22</v>
      </c>
      <c r="D98" s="14" t="s">
        <v>16</v>
      </c>
      <c r="E98" s="9"/>
    </row>
    <row r="99" spans="1:5" x14ac:dyDescent="0.3">
      <c r="A99" s="1"/>
      <c r="B99" s="1" t="s">
        <v>403</v>
      </c>
      <c r="C99" s="3">
        <v>22</v>
      </c>
      <c r="D99" s="14"/>
      <c r="E99" s="9"/>
    </row>
    <row r="100" spans="1:5" x14ac:dyDescent="0.3">
      <c r="A100" s="1"/>
      <c r="B100" s="1" t="s">
        <v>404</v>
      </c>
      <c r="C100" s="3">
        <v>22</v>
      </c>
      <c r="D100" s="14"/>
      <c r="E100" s="9"/>
    </row>
    <row r="101" spans="1:5" x14ac:dyDescent="0.3">
      <c r="A101" s="1"/>
      <c r="B101" s="1" t="s">
        <v>405</v>
      </c>
      <c r="C101" s="3">
        <v>22</v>
      </c>
      <c r="D101" s="14"/>
      <c r="E101" s="9"/>
    </row>
    <row r="102" spans="1:5" x14ac:dyDescent="0.3">
      <c r="A102" s="1"/>
      <c r="B102" s="1" t="s">
        <v>406</v>
      </c>
      <c r="C102" s="3">
        <v>22</v>
      </c>
      <c r="D102" s="14"/>
      <c r="E102" s="9"/>
    </row>
    <row r="103" spans="1:5" x14ac:dyDescent="0.3">
      <c r="A103" s="1"/>
      <c r="B103" s="1" t="s">
        <v>407</v>
      </c>
      <c r="C103" s="3">
        <v>22</v>
      </c>
      <c r="D103" s="14"/>
      <c r="E103" s="9"/>
    </row>
    <row r="104" spans="1:5" x14ac:dyDescent="0.3">
      <c r="A104" s="1"/>
      <c r="B104" s="1" t="s">
        <v>408</v>
      </c>
      <c r="C104" s="3">
        <v>22</v>
      </c>
      <c r="D104" s="14"/>
      <c r="E104" s="9"/>
    </row>
    <row r="105" spans="1:5" x14ac:dyDescent="0.3">
      <c r="A105" s="1"/>
      <c r="B105" s="1" t="s">
        <v>409</v>
      </c>
      <c r="C105" s="3">
        <v>22</v>
      </c>
      <c r="D105" s="14" t="s">
        <v>16</v>
      </c>
      <c r="E105" s="9"/>
    </row>
    <row r="106" spans="1:5" x14ac:dyDescent="0.3">
      <c r="A106" s="1"/>
      <c r="B106" s="1" t="s">
        <v>410</v>
      </c>
      <c r="C106" s="3">
        <v>22</v>
      </c>
      <c r="D106" s="14"/>
      <c r="E106" s="9"/>
    </row>
    <row r="107" spans="1:5" x14ac:dyDescent="0.3">
      <c r="A107" s="1"/>
      <c r="B107" s="1" t="s">
        <v>411</v>
      </c>
      <c r="C107" s="3">
        <v>22</v>
      </c>
      <c r="D107" s="14"/>
      <c r="E107" s="9"/>
    </row>
    <row r="108" spans="1:5" x14ac:dyDescent="0.3">
      <c r="A108" s="1"/>
      <c r="B108" s="1" t="s">
        <v>412</v>
      </c>
      <c r="C108" s="3">
        <v>22</v>
      </c>
      <c r="D108" s="14"/>
      <c r="E108" s="9"/>
    </row>
    <row r="109" spans="1:5" x14ac:dyDescent="0.3">
      <c r="A109" s="1"/>
      <c r="B109" s="1" t="s">
        <v>413</v>
      </c>
      <c r="C109" s="3">
        <v>22</v>
      </c>
      <c r="D109" s="14"/>
      <c r="E109" s="9"/>
    </row>
    <row r="110" spans="1:5" x14ac:dyDescent="0.3">
      <c r="A110" s="1"/>
      <c r="B110" s="1" t="s">
        <v>414</v>
      </c>
      <c r="C110" s="3">
        <v>22</v>
      </c>
      <c r="D110" s="14"/>
      <c r="E110" s="9"/>
    </row>
    <row r="111" spans="1:5" x14ac:dyDescent="0.3">
      <c r="A111" s="1"/>
      <c r="B111" s="1" t="s">
        <v>415</v>
      </c>
      <c r="C111" s="3">
        <v>22</v>
      </c>
      <c r="D111" s="14" t="s">
        <v>16</v>
      </c>
      <c r="E111" s="9"/>
    </row>
    <row r="112" spans="1:5" x14ac:dyDescent="0.3">
      <c r="A112" s="1"/>
      <c r="B112" s="1" t="s">
        <v>416</v>
      </c>
      <c r="C112" s="3">
        <v>22</v>
      </c>
      <c r="D112" s="14"/>
      <c r="E112" s="9"/>
    </row>
    <row r="113" spans="1:5" x14ac:dyDescent="0.3">
      <c r="A113" s="1"/>
      <c r="B113" s="1" t="s">
        <v>417</v>
      </c>
      <c r="C113" s="3">
        <v>22</v>
      </c>
      <c r="D113" s="14"/>
      <c r="E113" s="9"/>
    </row>
    <row r="114" spans="1:5" x14ac:dyDescent="0.3">
      <c r="A114" s="1"/>
      <c r="B114" s="1" t="s">
        <v>418</v>
      </c>
      <c r="C114" s="3">
        <v>22</v>
      </c>
      <c r="D114" s="14"/>
      <c r="E114" s="9"/>
    </row>
    <row r="115" spans="1:5" x14ac:dyDescent="0.3">
      <c r="A115" s="1"/>
      <c r="B115" s="1" t="s">
        <v>419</v>
      </c>
      <c r="C115" s="3">
        <v>22</v>
      </c>
      <c r="D115" s="14"/>
      <c r="E115" s="9"/>
    </row>
    <row r="116" spans="1:5" x14ac:dyDescent="0.3">
      <c r="A116" s="1"/>
      <c r="B116" s="1" t="s">
        <v>420</v>
      </c>
      <c r="C116" s="3">
        <v>22</v>
      </c>
      <c r="D116" s="14"/>
      <c r="E116" s="9"/>
    </row>
    <row r="117" spans="1:5" x14ac:dyDescent="0.3">
      <c r="A117" s="1"/>
      <c r="B117" s="1" t="s">
        <v>421</v>
      </c>
      <c r="C117" s="3">
        <v>22</v>
      </c>
      <c r="D117" s="14"/>
      <c r="E117" s="9"/>
    </row>
    <row r="118" spans="1:5" x14ac:dyDescent="0.3">
      <c r="A118" s="1"/>
      <c r="B118" s="1" t="s">
        <v>422</v>
      </c>
      <c r="C118" s="3">
        <v>22</v>
      </c>
      <c r="D118" s="14"/>
      <c r="E118" s="9"/>
    </row>
    <row r="119" spans="1:5" x14ac:dyDescent="0.3">
      <c r="A119" s="33"/>
      <c r="B119" s="1" t="s">
        <v>196</v>
      </c>
      <c r="C119" s="6">
        <v>21</v>
      </c>
      <c r="D119" s="14" t="s">
        <v>16</v>
      </c>
      <c r="E119" s="9"/>
    </row>
    <row r="120" spans="1:5" x14ac:dyDescent="0.3">
      <c r="A120" s="33"/>
      <c r="B120" s="1" t="s">
        <v>202</v>
      </c>
      <c r="C120" s="6" t="s">
        <v>203</v>
      </c>
      <c r="D120" s="14"/>
      <c r="E120" s="9"/>
    </row>
    <row r="121" spans="1:5" x14ac:dyDescent="0.3">
      <c r="A121" s="9"/>
      <c r="B121" s="1" t="s">
        <v>207</v>
      </c>
      <c r="C121" s="3" t="s">
        <v>203</v>
      </c>
      <c r="D121" s="14"/>
      <c r="E121" s="9"/>
    </row>
    <row r="122" spans="1:5" x14ac:dyDescent="0.3">
      <c r="A122" s="9"/>
      <c r="B122" s="1" t="s">
        <v>209</v>
      </c>
      <c r="C122" s="3" t="s">
        <v>203</v>
      </c>
      <c r="D122" s="14"/>
      <c r="E122" s="9"/>
    </row>
    <row r="123" spans="1:5" x14ac:dyDescent="0.3">
      <c r="A123" s="9"/>
      <c r="B123" s="1" t="s">
        <v>210</v>
      </c>
      <c r="C123" s="6" t="s">
        <v>203</v>
      </c>
      <c r="D123" s="14"/>
      <c r="E123" s="9"/>
    </row>
    <row r="124" spans="1:5" x14ac:dyDescent="0.3">
      <c r="C124" s="26"/>
    </row>
    <row r="125" spans="1:5" x14ac:dyDescent="0.3">
      <c r="C125" s="5"/>
    </row>
    <row r="126" spans="1:5" ht="15.6" x14ac:dyDescent="0.3">
      <c r="B126" s="295" t="s">
        <v>1181</v>
      </c>
      <c r="C126" s="296">
        <v>6</v>
      </c>
      <c r="D126" s="3">
        <f>+COUNTIF(D4:D123,"OK")</f>
        <v>5</v>
      </c>
      <c r="E126" s="53" t="s">
        <v>903</v>
      </c>
    </row>
  </sheetData>
  <autoFilter ref="A3:E123" xr:uid="{573FB839-339B-4953-8D76-84B69F847B1C}">
    <filterColumn colId="3">
      <filters blank="1">
        <filter val="OK"/>
      </filters>
    </filterColumn>
  </autoFilter>
  <mergeCells count="2">
    <mergeCell ref="A2:C2"/>
    <mergeCell ref="G3:H3"/>
  </mergeCells>
  <conditionalFormatting sqref="B30:B45">
    <cfRule type="expression" dxfId="243" priority="108">
      <formula>COUNTIF($A30:Z30, "NI")</formula>
    </cfRule>
  </conditionalFormatting>
  <conditionalFormatting sqref="B31">
    <cfRule type="expression" dxfId="242" priority="104">
      <formula>COUNTIF($B31:Z31, "C")</formula>
    </cfRule>
    <cfRule type="expression" dxfId="241" priority="105">
      <formula>COUNTIF($B31:Z31, "Q")</formula>
    </cfRule>
    <cfRule type="expression" dxfId="240" priority="106">
      <formula>COUNTIF($B31:Z31, "M")</formula>
    </cfRule>
    <cfRule type="expression" dxfId="239" priority="107">
      <formula>COUNTIF($B31:Z31, "A")</formula>
    </cfRule>
  </conditionalFormatting>
  <conditionalFormatting sqref="B43">
    <cfRule type="expression" dxfId="238" priority="109">
      <formula>COUNTIF($B43:Z43, "C")</formula>
    </cfRule>
    <cfRule type="expression" dxfId="237" priority="110">
      <formula>COUNTIF($B43:Z43, "Q")</formula>
    </cfRule>
    <cfRule type="expression" dxfId="236" priority="111">
      <formula>COUNTIF($B43:Z43, "M")</formula>
    </cfRule>
    <cfRule type="expression" dxfId="235" priority="112">
      <formula>COUNTIF($B43:Z43, "A")</formula>
    </cfRule>
  </conditionalFormatting>
  <conditionalFormatting sqref="B46">
    <cfRule type="expression" dxfId="234" priority="67">
      <formula>COUNTIF($B46:Z46, "C")</formula>
    </cfRule>
    <cfRule type="expression" dxfId="233" priority="68">
      <formula>COUNTIF($B46:Z46, "Q")</formula>
    </cfRule>
    <cfRule type="expression" dxfId="232" priority="69">
      <formula>COUNTIF($B46:Z46, "M")</formula>
    </cfRule>
    <cfRule type="expression" dxfId="231" priority="70">
      <formula>COUNTIF($B46:Z46, "A")</formula>
    </cfRule>
    <cfRule type="expression" dxfId="230" priority="71">
      <formula>COUNTIF($A46:Z46, "NI")</formula>
    </cfRule>
  </conditionalFormatting>
  <conditionalFormatting sqref="B47:B51">
    <cfRule type="expression" dxfId="229" priority="91">
      <formula>COUNTIF($A47:Z47, "NI")</formula>
    </cfRule>
  </conditionalFormatting>
  <conditionalFormatting sqref="B49">
    <cfRule type="expression" dxfId="228" priority="87">
      <formula>COUNTIF($B49:Z49, "C")</formula>
    </cfRule>
    <cfRule type="expression" dxfId="227" priority="88">
      <formula>COUNTIF($B49:Z49, "Q")</formula>
    </cfRule>
    <cfRule type="expression" dxfId="226" priority="89">
      <formula>COUNTIF($B49:Z49, "M")</formula>
    </cfRule>
    <cfRule type="expression" dxfId="225" priority="90">
      <formula>COUNTIF($B49:Z49, "A")</formula>
    </cfRule>
  </conditionalFormatting>
  <conditionalFormatting sqref="B65">
    <cfRule type="expression" dxfId="224" priority="65">
      <formula>COUNTIF($B65:Z65, "A")</formula>
    </cfRule>
    <cfRule type="expression" dxfId="223" priority="66">
      <formula>COUNTIF($A65:Z65, "NI")</formula>
    </cfRule>
  </conditionalFormatting>
  <conditionalFormatting sqref="B120">
    <cfRule type="expression" dxfId="222" priority="629">
      <formula>COUNTIF(#REF!, "A")</formula>
    </cfRule>
    <cfRule type="expression" dxfId="221" priority="630">
      <formula>COUNTIF(#REF!, "NI")</formula>
    </cfRule>
  </conditionalFormatting>
  <conditionalFormatting sqref="B3:C3">
    <cfRule type="expression" dxfId="220" priority="119">
      <formula>COUNTIF($A3:U3, "NI")</formula>
    </cfRule>
  </conditionalFormatting>
  <conditionalFormatting sqref="B8:C8">
    <cfRule type="expression" dxfId="219" priority="36">
      <formula>COUNTIF($B8:Z8, "C")</formula>
    </cfRule>
    <cfRule type="expression" dxfId="218" priority="37">
      <formula>COUNTIF($B8:Z8, "Q")</formula>
    </cfRule>
    <cfRule type="expression" dxfId="217" priority="38">
      <formula>COUNTIF($B8:Z8, "M")</formula>
    </cfRule>
    <cfRule type="expression" dxfId="216" priority="39">
      <formula>COUNTIF($B8:Z8, "A")</formula>
    </cfRule>
    <cfRule type="expression" dxfId="215" priority="40">
      <formula>COUNTIF($A8:Z8, "NI")</formula>
    </cfRule>
  </conditionalFormatting>
  <conditionalFormatting sqref="B18:C18">
    <cfRule type="expression" dxfId="214" priority="21">
      <formula>COUNTIF($B18:Z18, "C")</formula>
    </cfRule>
    <cfRule type="expression" dxfId="213" priority="22">
      <formula>COUNTIF($B18:Z18, "Q")</formula>
    </cfRule>
    <cfRule type="expression" dxfId="212" priority="23">
      <formula>COUNTIF($B18:Z18, "M")</formula>
    </cfRule>
    <cfRule type="expression" dxfId="211" priority="24">
      <formula>COUNTIF($B18:Z18, "A")</formula>
    </cfRule>
    <cfRule type="expression" dxfId="210" priority="25">
      <formula>COUNTIF($A18:Z18, "NI")</formula>
    </cfRule>
  </conditionalFormatting>
  <conditionalFormatting sqref="B22:C22">
    <cfRule type="expression" dxfId="209" priority="60">
      <formula>COUNTIF($A22:H22, "NI")</formula>
    </cfRule>
  </conditionalFormatting>
  <conditionalFormatting sqref="B57:C58">
    <cfRule type="expression" dxfId="208" priority="11">
      <formula>COUNTIF($B57:Z57, "C")</formula>
    </cfRule>
    <cfRule type="expression" dxfId="207" priority="12">
      <formula>COUNTIF($B57:Z57, "Q")</formula>
    </cfRule>
    <cfRule type="expression" dxfId="206" priority="13">
      <formula>COUNTIF($B57:Z57, "M")</formula>
    </cfRule>
    <cfRule type="expression" dxfId="205" priority="14">
      <formula>COUNTIF($B57:Z57, "A")</formula>
    </cfRule>
    <cfRule type="expression" dxfId="204" priority="15">
      <formula>COUNTIF($A57:Z57, "NI")</formula>
    </cfRule>
  </conditionalFormatting>
  <conditionalFormatting sqref="B62:C62">
    <cfRule type="expression" dxfId="203" priority="16">
      <formula>COUNTIF($B62:Z62, "C")</formula>
    </cfRule>
    <cfRule type="expression" dxfId="202" priority="17">
      <formula>COUNTIF($B62:Z62, "Q")</formula>
    </cfRule>
    <cfRule type="expression" dxfId="201" priority="18">
      <formula>COUNTIF($B62:Z62, "M")</formula>
    </cfRule>
    <cfRule type="expression" dxfId="200" priority="19">
      <formula>COUNTIF($B62:Z62, "A")</formula>
    </cfRule>
    <cfRule type="expression" dxfId="199" priority="20">
      <formula>COUNTIF($A62:Z62, "NI")</formula>
    </cfRule>
  </conditionalFormatting>
  <conditionalFormatting sqref="B119:C119">
    <cfRule type="expression" dxfId="198" priority="4">
      <formula>COUNTIF($B119:Z119, "A")</formula>
    </cfRule>
    <cfRule type="expression" dxfId="197" priority="5">
      <formula>COUNTIF($A119:Z119, "NI")</formula>
    </cfRule>
  </conditionalFormatting>
  <conditionalFormatting sqref="C3">
    <cfRule type="expression" dxfId="196" priority="115">
      <formula>COUNTIF($A3:V3, "C")</formula>
    </cfRule>
    <cfRule type="expression" dxfId="195" priority="116">
      <formula>COUNTIF($A3:V3, "Q")</formula>
    </cfRule>
    <cfRule type="expression" dxfId="194" priority="117">
      <formula>COUNTIF($A3:V3, "M")</formula>
    </cfRule>
    <cfRule type="expression" dxfId="193" priority="118">
      <formula>COUNTIF($A3:V3, "A")</formula>
    </cfRule>
  </conditionalFormatting>
  <conditionalFormatting sqref="C22">
    <cfRule type="expression" dxfId="192" priority="61">
      <formula>COUNTIF($B22:H22, "C")</formula>
    </cfRule>
    <cfRule type="expression" dxfId="191" priority="62">
      <formula>COUNTIF($B22:H22, "Q")</formula>
    </cfRule>
    <cfRule type="expression" dxfId="190" priority="63">
      <formula>COUNTIF($B22:H22, "M")</formula>
    </cfRule>
    <cfRule type="expression" dxfId="189" priority="64">
      <formula>COUNTIF($B22:H22, "A")</formula>
    </cfRule>
  </conditionalFormatting>
  <conditionalFormatting sqref="C30">
    <cfRule type="expression" dxfId="188" priority="55">
      <formula>COUNTIF($B30:AA30, "C")</formula>
    </cfRule>
    <cfRule type="expression" dxfId="187" priority="56">
      <formula>COUNTIF($B30:AA30, "Q")</formula>
    </cfRule>
    <cfRule type="expression" dxfId="186" priority="57">
      <formula>COUNTIF($B30:AA30, "M")</formula>
    </cfRule>
    <cfRule type="expression" dxfId="185" priority="58">
      <formula>COUNTIF($B30:AA30, "A")</formula>
    </cfRule>
    <cfRule type="expression" dxfId="184" priority="59">
      <formula>COUNTIF($A30:AA30, "NI")</formula>
    </cfRule>
  </conditionalFormatting>
  <conditionalFormatting sqref="C33:C36">
    <cfRule type="expression" dxfId="183" priority="51">
      <formula>COUNTIF($B33:AA33, "C")</formula>
    </cfRule>
    <cfRule type="expression" dxfId="182" priority="52">
      <formula>COUNTIF($B33:AA33, "Q")</formula>
    </cfRule>
    <cfRule type="expression" dxfId="181" priority="53">
      <formula>COUNTIF($B33:AA33, "M")</formula>
    </cfRule>
    <cfRule type="expression" dxfId="180" priority="54">
      <formula>COUNTIF($B33:AA33, "A")</formula>
    </cfRule>
  </conditionalFormatting>
  <conditionalFormatting sqref="C33:C42">
    <cfRule type="expression" dxfId="179" priority="50">
      <formula>COUNTIF($A33:AA33, "NI")</formula>
    </cfRule>
  </conditionalFormatting>
  <conditionalFormatting sqref="C37:C42">
    <cfRule type="expression" dxfId="178" priority="46">
      <formula>COUNTIF($B37:AA37, "C")</formula>
    </cfRule>
    <cfRule type="expression" dxfId="177" priority="47">
      <formula>COUNTIF($B37:AA37, "Q")</formula>
    </cfRule>
    <cfRule type="expression" dxfId="176" priority="48">
      <formula>COUNTIF($B37:AA37, "M")</formula>
    </cfRule>
    <cfRule type="expression" dxfId="175" priority="49">
      <formula>COUNTIF($B37:AA37, "A")</formula>
    </cfRule>
  </conditionalFormatting>
  <conditionalFormatting sqref="C44:C51">
    <cfRule type="expression" dxfId="174" priority="6">
      <formula>COUNTIF($B44:AA44, "C")</formula>
    </cfRule>
    <cfRule type="expression" dxfId="173" priority="7">
      <formula>COUNTIF($B44:AA44, "Q")</formula>
    </cfRule>
    <cfRule type="expression" dxfId="172" priority="8">
      <formula>COUNTIF($B44:AA44, "M")</formula>
    </cfRule>
    <cfRule type="expression" dxfId="171" priority="9">
      <formula>COUNTIF($B44:AA44, "A")</formula>
    </cfRule>
    <cfRule type="expression" dxfId="170" priority="10">
      <formula>COUNTIF($A44:AA44, "NI")</formula>
    </cfRule>
  </conditionalFormatting>
  <conditionalFormatting sqref="C119:C120">
    <cfRule type="expression" dxfId="169" priority="1">
      <formula>COUNTIF($B119:AA119, "C")</formula>
    </cfRule>
    <cfRule type="expression" dxfId="168" priority="2">
      <formula>COUNTIF($B119:AA119, "Q")</formula>
    </cfRule>
    <cfRule type="expression" dxfId="167" priority="3">
      <formula>COUNTIF($B119:AA119, "M")</formula>
    </cfRule>
  </conditionalFormatting>
  <conditionalFormatting sqref="C120">
    <cfRule type="expression" dxfId="166" priority="44">
      <formula>COUNTIF($B120:AA120, "A")</formula>
    </cfRule>
    <cfRule type="expression" dxfId="165" priority="45">
      <formula>COUNTIF($A120:AA120, "NI")</formula>
    </cfRule>
  </conditionalFormatting>
  <conditionalFormatting sqref="C124">
    <cfRule type="expression" dxfId="164" priority="617">
      <formula>COUNTIF($C124:W124, "C")</formula>
    </cfRule>
    <cfRule type="expression" dxfId="163" priority="618">
      <formula>COUNTIF($C124:W124, "Q")</formula>
    </cfRule>
    <cfRule type="expression" dxfId="162" priority="619">
      <formula>COUNTIF($C124:W124, "M")</formula>
    </cfRule>
    <cfRule type="expression" dxfId="161" priority="620">
      <formula>COUNTIF($C124:W124, "A")</formula>
    </cfRule>
    <cfRule type="expression" dxfId="160" priority="621">
      <formula>COUNTIF($A124:W124, "NI")</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9DB10-68CF-458A-B6EA-36820977EC73}">
  <dimension ref="A1:E78"/>
  <sheetViews>
    <sheetView topLeftCell="A57" workbookViewId="0">
      <selection activeCell="D79" sqref="D79"/>
    </sheetView>
  </sheetViews>
  <sheetFormatPr baseColWidth="10" defaultColWidth="11.44140625" defaultRowHeight="15" customHeight="1" x14ac:dyDescent="0.3"/>
  <cols>
    <col min="1" max="1" width="3.88671875" customWidth="1"/>
    <col min="2" max="2" width="28.6640625" customWidth="1"/>
    <col min="3" max="3" width="9.5546875" style="37" customWidth="1"/>
    <col min="4" max="4" width="8.109375" style="16" customWidth="1"/>
    <col min="5" max="5" width="40.5546875" style="16" customWidth="1"/>
  </cols>
  <sheetData>
    <row r="1" spans="1:5" ht="15.6" x14ac:dyDescent="0.3">
      <c r="A1" s="26"/>
      <c r="B1" s="164" t="s">
        <v>699</v>
      </c>
      <c r="C1" s="386" t="s">
        <v>60</v>
      </c>
      <c r="D1" s="387"/>
      <c r="E1" s="387"/>
    </row>
    <row r="2" spans="1:5" ht="14.4" x14ac:dyDescent="0.3">
      <c r="A2" s="95"/>
      <c r="B2" s="261" t="s">
        <v>2</v>
      </c>
      <c r="C2" s="262" t="s">
        <v>3</v>
      </c>
      <c r="D2" s="261" t="s">
        <v>5</v>
      </c>
      <c r="E2" s="276" t="s">
        <v>6</v>
      </c>
    </row>
    <row r="3" spans="1:5" ht="15" customHeight="1" x14ac:dyDescent="0.3">
      <c r="A3" s="19">
        <v>1</v>
      </c>
      <c r="B3" s="217" t="s">
        <v>1182</v>
      </c>
      <c r="C3" s="303">
        <v>10</v>
      </c>
      <c r="D3" s="19"/>
      <c r="E3" s="19"/>
    </row>
    <row r="4" spans="1:5" ht="15" customHeight="1" x14ac:dyDescent="0.3">
      <c r="A4" s="19">
        <v>2</v>
      </c>
      <c r="B4" s="217" t="s">
        <v>1183</v>
      </c>
      <c r="C4" s="303">
        <v>14</v>
      </c>
      <c r="D4" s="19"/>
      <c r="E4" s="19"/>
    </row>
    <row r="5" spans="1:5" ht="15" customHeight="1" x14ac:dyDescent="0.3">
      <c r="A5" s="19">
        <v>3</v>
      </c>
      <c r="B5" s="217" t="s">
        <v>1184</v>
      </c>
      <c r="C5" s="303">
        <v>14</v>
      </c>
      <c r="D5" s="19"/>
      <c r="E5" s="19"/>
    </row>
    <row r="6" spans="1:5" ht="15" customHeight="1" x14ac:dyDescent="0.3">
      <c r="A6" s="19">
        <v>4</v>
      </c>
      <c r="B6" s="145" t="s">
        <v>1185</v>
      </c>
      <c r="C6" s="19">
        <v>16</v>
      </c>
      <c r="D6" s="19"/>
      <c r="E6" s="15"/>
    </row>
    <row r="7" spans="1:5" ht="15" customHeight="1" x14ac:dyDescent="0.3">
      <c r="A7" s="19">
        <v>5</v>
      </c>
      <c r="B7" s="217" t="s">
        <v>1186</v>
      </c>
      <c r="C7" s="19">
        <v>17</v>
      </c>
      <c r="D7" s="19"/>
      <c r="E7" s="15"/>
    </row>
    <row r="8" spans="1:5" ht="15" customHeight="1" x14ac:dyDescent="0.3">
      <c r="A8" s="19">
        <v>6</v>
      </c>
      <c r="B8" s="217" t="s">
        <v>55</v>
      </c>
      <c r="C8" s="19">
        <v>17</v>
      </c>
      <c r="D8" s="19"/>
      <c r="E8" s="15"/>
    </row>
    <row r="9" spans="1:5" ht="15" customHeight="1" x14ac:dyDescent="0.3">
      <c r="A9" s="19">
        <v>7</v>
      </c>
      <c r="B9" s="9" t="s">
        <v>1187</v>
      </c>
      <c r="C9" s="19">
        <v>17</v>
      </c>
      <c r="D9" s="19"/>
      <c r="E9" s="15"/>
    </row>
    <row r="10" spans="1:5" ht="15" customHeight="1" x14ac:dyDescent="0.3">
      <c r="A10" s="19">
        <v>8</v>
      </c>
      <c r="B10" s="217" t="s">
        <v>1188</v>
      </c>
      <c r="C10" s="19">
        <v>18</v>
      </c>
      <c r="D10" s="19"/>
      <c r="E10" s="15"/>
    </row>
    <row r="11" spans="1:5" ht="15" customHeight="1" x14ac:dyDescent="0.3">
      <c r="A11" s="19">
        <v>9</v>
      </c>
      <c r="B11" s="217" t="s">
        <v>1189</v>
      </c>
      <c r="C11" s="19">
        <v>18</v>
      </c>
      <c r="D11" s="19"/>
      <c r="E11" s="15"/>
    </row>
    <row r="12" spans="1:5" ht="15" customHeight="1" x14ac:dyDescent="0.3">
      <c r="A12" s="19">
        <v>10</v>
      </c>
      <c r="B12" s="217" t="s">
        <v>1190</v>
      </c>
      <c r="C12" s="303">
        <v>19</v>
      </c>
      <c r="D12" s="19"/>
      <c r="E12" s="19"/>
    </row>
    <row r="13" spans="1:5" ht="15" customHeight="1" x14ac:dyDescent="0.3">
      <c r="A13" s="19">
        <v>11</v>
      </c>
      <c r="B13" s="217" t="s">
        <v>1191</v>
      </c>
      <c r="C13" s="19">
        <v>20</v>
      </c>
      <c r="D13" s="19"/>
      <c r="E13" s="19"/>
    </row>
    <row r="14" spans="1:5" ht="15" customHeight="1" x14ac:dyDescent="0.3">
      <c r="A14" s="19">
        <v>12</v>
      </c>
      <c r="B14" s="217" t="s">
        <v>1192</v>
      </c>
      <c r="C14" s="303">
        <v>20</v>
      </c>
      <c r="D14" s="19"/>
      <c r="E14" s="19"/>
    </row>
    <row r="15" spans="1:5" ht="15" customHeight="1" x14ac:dyDescent="0.3">
      <c r="A15" s="19">
        <v>13</v>
      </c>
      <c r="B15" s="217" t="s">
        <v>80</v>
      </c>
      <c r="C15" s="303">
        <v>20</v>
      </c>
      <c r="D15" s="19"/>
      <c r="E15" s="19"/>
    </row>
    <row r="16" spans="1:5" ht="15" customHeight="1" x14ac:dyDescent="0.3">
      <c r="A16" s="19">
        <v>14</v>
      </c>
      <c r="B16" s="145" t="s">
        <v>1193</v>
      </c>
      <c r="C16" s="19">
        <v>20</v>
      </c>
      <c r="D16" s="19"/>
      <c r="E16" s="15"/>
    </row>
    <row r="17" spans="1:5" ht="15" customHeight="1" x14ac:dyDescent="0.3">
      <c r="A17" s="19">
        <v>15</v>
      </c>
      <c r="B17" s="217" t="s">
        <v>1194</v>
      </c>
      <c r="C17" s="303">
        <v>20</v>
      </c>
      <c r="D17" s="19"/>
      <c r="E17" s="19"/>
    </row>
    <row r="18" spans="1:5" ht="15" customHeight="1" x14ac:dyDescent="0.3">
      <c r="A18" s="19">
        <v>16</v>
      </c>
      <c r="B18" s="217" t="s">
        <v>1195</v>
      </c>
      <c r="C18" s="19">
        <v>21</v>
      </c>
      <c r="D18" s="19"/>
      <c r="E18" s="15"/>
    </row>
    <row r="19" spans="1:5" ht="15" customHeight="1" x14ac:dyDescent="0.3">
      <c r="A19" s="19">
        <v>17</v>
      </c>
      <c r="B19" s="9" t="s">
        <v>197</v>
      </c>
      <c r="C19" s="19">
        <v>21</v>
      </c>
      <c r="D19" s="19"/>
      <c r="E19" s="15"/>
    </row>
    <row r="20" spans="1:5" ht="15" customHeight="1" x14ac:dyDescent="0.3">
      <c r="A20" s="19">
        <v>18</v>
      </c>
      <c r="B20" s="9" t="s">
        <v>1196</v>
      </c>
      <c r="C20" s="19">
        <v>21</v>
      </c>
      <c r="D20" s="19"/>
      <c r="E20" s="15"/>
    </row>
    <row r="21" spans="1:5" ht="15" customHeight="1" x14ac:dyDescent="0.3">
      <c r="A21" s="19">
        <v>19</v>
      </c>
      <c r="B21" s="217" t="s">
        <v>1197</v>
      </c>
      <c r="C21" s="303">
        <v>21</v>
      </c>
      <c r="D21" s="19"/>
      <c r="E21" s="19"/>
    </row>
    <row r="22" spans="1:5" ht="15" customHeight="1" x14ac:dyDescent="0.3">
      <c r="A22" s="19">
        <v>20</v>
      </c>
      <c r="B22" s="217" t="s">
        <v>1198</v>
      </c>
      <c r="C22" s="19">
        <v>24</v>
      </c>
      <c r="D22" s="19"/>
      <c r="E22" s="15"/>
    </row>
    <row r="23" spans="1:5" ht="15" customHeight="1" x14ac:dyDescent="0.3">
      <c r="A23" s="19">
        <v>21</v>
      </c>
      <c r="B23" s="217" t="s">
        <v>1199</v>
      </c>
      <c r="C23" s="303">
        <v>24</v>
      </c>
      <c r="D23" s="19"/>
      <c r="E23" s="19"/>
    </row>
    <row r="24" spans="1:5" ht="15" customHeight="1" x14ac:dyDescent="0.3">
      <c r="A24" s="19">
        <v>22</v>
      </c>
      <c r="B24" s="217" t="s">
        <v>78</v>
      </c>
      <c r="C24" s="303">
        <v>25</v>
      </c>
      <c r="D24" s="19"/>
      <c r="E24" s="19"/>
    </row>
    <row r="25" spans="1:5" ht="15" customHeight="1" x14ac:dyDescent="0.3">
      <c r="A25" s="19">
        <v>23</v>
      </c>
      <c r="B25" s="217" t="s">
        <v>1200</v>
      </c>
      <c r="C25" s="19">
        <v>19</v>
      </c>
      <c r="D25" s="19"/>
      <c r="E25" s="15"/>
    </row>
    <row r="26" spans="1:5" ht="15" customHeight="1" x14ac:dyDescent="0.3">
      <c r="A26" s="19">
        <v>24</v>
      </c>
      <c r="B26" s="217" t="s">
        <v>322</v>
      </c>
      <c r="C26" s="19">
        <v>14</v>
      </c>
      <c r="D26" s="19"/>
      <c r="E26" s="15"/>
    </row>
    <row r="27" spans="1:5" ht="15" customHeight="1" x14ac:dyDescent="0.3">
      <c r="A27" s="19">
        <v>25</v>
      </c>
      <c r="B27" s="217" t="s">
        <v>1201</v>
      </c>
      <c r="C27" s="19">
        <v>24</v>
      </c>
      <c r="D27" s="19"/>
      <c r="E27" s="15"/>
    </row>
    <row r="28" spans="1:5" ht="15" customHeight="1" x14ac:dyDescent="0.3">
      <c r="A28" s="19">
        <v>26</v>
      </c>
      <c r="B28" s="217" t="s">
        <v>1202</v>
      </c>
      <c r="C28" s="19">
        <v>21</v>
      </c>
      <c r="D28" s="19"/>
      <c r="E28" s="15"/>
    </row>
    <row r="29" spans="1:5" ht="15" customHeight="1" x14ac:dyDescent="0.3">
      <c r="A29" s="19">
        <v>27</v>
      </c>
      <c r="B29" s="217" t="s">
        <v>1203</v>
      </c>
      <c r="C29" s="19">
        <v>14</v>
      </c>
      <c r="D29" s="19"/>
      <c r="E29" s="15"/>
    </row>
    <row r="30" spans="1:5" ht="15" customHeight="1" x14ac:dyDescent="0.3">
      <c r="A30" s="19">
        <v>28</v>
      </c>
      <c r="B30" s="217" t="s">
        <v>1204</v>
      </c>
      <c r="C30" s="19">
        <v>24</v>
      </c>
      <c r="D30" s="19"/>
      <c r="E30" s="15"/>
    </row>
    <row r="31" spans="1:5" ht="15" customHeight="1" x14ac:dyDescent="0.3">
      <c r="A31" s="19">
        <v>29</v>
      </c>
      <c r="B31" s="217" t="s">
        <v>1205</v>
      </c>
      <c r="C31" s="19">
        <v>21</v>
      </c>
      <c r="D31" s="19"/>
      <c r="E31" s="15"/>
    </row>
    <row r="32" spans="1:5" ht="15" customHeight="1" x14ac:dyDescent="0.3">
      <c r="A32" s="19">
        <v>30</v>
      </c>
      <c r="B32" s="217" t="s">
        <v>1206</v>
      </c>
      <c r="C32" s="19">
        <v>19</v>
      </c>
      <c r="D32" s="19"/>
      <c r="E32" s="15"/>
    </row>
    <row r="33" spans="1:5" ht="15" customHeight="1" x14ac:dyDescent="0.3">
      <c r="A33" s="19">
        <v>31</v>
      </c>
      <c r="B33" s="217" t="s">
        <v>1207</v>
      </c>
      <c r="C33" s="19">
        <v>19</v>
      </c>
      <c r="D33" s="19"/>
      <c r="E33" s="15"/>
    </row>
    <row r="34" spans="1:5" ht="15" customHeight="1" x14ac:dyDescent="0.3">
      <c r="A34" s="19">
        <v>32</v>
      </c>
      <c r="B34" s="217" t="s">
        <v>1208</v>
      </c>
      <c r="C34" s="19">
        <v>19</v>
      </c>
      <c r="D34" s="19"/>
      <c r="E34" s="15"/>
    </row>
    <row r="35" spans="1:5" ht="15" customHeight="1" x14ac:dyDescent="0.3">
      <c r="A35" s="19">
        <v>33</v>
      </c>
      <c r="B35" s="217" t="s">
        <v>1209</v>
      </c>
      <c r="C35" s="19">
        <v>19</v>
      </c>
      <c r="D35" s="19"/>
      <c r="E35" s="15"/>
    </row>
    <row r="36" spans="1:5" ht="15" customHeight="1" x14ac:dyDescent="0.3">
      <c r="A36" s="19">
        <v>34</v>
      </c>
      <c r="B36" s="217" t="s">
        <v>1210</v>
      </c>
      <c r="C36" s="19">
        <v>18</v>
      </c>
      <c r="D36" s="19"/>
      <c r="E36" s="15"/>
    </row>
    <row r="37" spans="1:5" ht="15" customHeight="1" x14ac:dyDescent="0.3">
      <c r="A37" s="19">
        <v>35</v>
      </c>
      <c r="B37" s="145" t="s">
        <v>94</v>
      </c>
      <c r="C37" s="19">
        <v>15</v>
      </c>
      <c r="D37" s="19"/>
      <c r="E37" s="15"/>
    </row>
    <row r="38" spans="1:5" ht="15" customHeight="1" x14ac:dyDescent="0.3">
      <c r="A38" s="19">
        <v>36</v>
      </c>
      <c r="B38" s="217" t="s">
        <v>575</v>
      </c>
      <c r="C38" s="19">
        <v>24</v>
      </c>
      <c r="D38" s="19"/>
      <c r="E38" s="15"/>
    </row>
    <row r="39" spans="1:5" ht="15" customHeight="1" x14ac:dyDescent="0.3">
      <c r="A39" s="19">
        <v>37</v>
      </c>
      <c r="B39" s="217" t="s">
        <v>1211</v>
      </c>
      <c r="C39" s="19">
        <v>12</v>
      </c>
      <c r="D39" s="19"/>
      <c r="E39" s="15"/>
    </row>
    <row r="40" spans="1:5" ht="15" customHeight="1" x14ac:dyDescent="0.3">
      <c r="A40" s="19">
        <v>38</v>
      </c>
      <c r="B40" s="217" t="s">
        <v>65</v>
      </c>
      <c r="C40" s="19">
        <v>13</v>
      </c>
      <c r="D40" s="19"/>
      <c r="E40" s="15"/>
    </row>
    <row r="41" spans="1:5" ht="15" customHeight="1" x14ac:dyDescent="0.3">
      <c r="A41" s="19">
        <v>39</v>
      </c>
      <c r="B41" s="217" t="s">
        <v>1212</v>
      </c>
      <c r="C41" s="19">
        <v>15</v>
      </c>
      <c r="D41" s="19"/>
      <c r="E41" s="15"/>
    </row>
    <row r="42" spans="1:5" ht="15" customHeight="1" x14ac:dyDescent="0.3">
      <c r="A42" s="19">
        <v>40</v>
      </c>
      <c r="B42" s="217" t="s">
        <v>1213</v>
      </c>
      <c r="C42" s="19">
        <v>15</v>
      </c>
      <c r="D42" s="19"/>
      <c r="E42" s="15"/>
    </row>
    <row r="43" spans="1:5" ht="15" customHeight="1" x14ac:dyDescent="0.3">
      <c r="A43" s="19">
        <v>41</v>
      </c>
      <c r="B43" s="145" t="s">
        <v>1214</v>
      </c>
      <c r="C43" s="19">
        <v>15</v>
      </c>
      <c r="D43" s="19"/>
      <c r="E43" s="15"/>
    </row>
    <row r="44" spans="1:5" ht="15" customHeight="1" x14ac:dyDescent="0.3">
      <c r="A44" s="19">
        <v>42</v>
      </c>
      <c r="B44" s="217" t="s">
        <v>1207</v>
      </c>
      <c r="C44" s="19">
        <v>16</v>
      </c>
      <c r="D44" s="19"/>
      <c r="E44" s="15"/>
    </row>
    <row r="45" spans="1:5" ht="15" customHeight="1" x14ac:dyDescent="0.3">
      <c r="A45" s="19">
        <v>43</v>
      </c>
      <c r="B45" s="218" t="s">
        <v>1215</v>
      </c>
      <c r="C45" s="95">
        <v>16</v>
      </c>
      <c r="D45" s="95"/>
      <c r="E45" s="82"/>
    </row>
    <row r="46" spans="1:5" ht="15" customHeight="1" x14ac:dyDescent="0.3">
      <c r="A46" s="178">
        <v>44</v>
      </c>
      <c r="B46" s="275" t="s">
        <v>1216</v>
      </c>
      <c r="C46" s="19">
        <v>17</v>
      </c>
      <c r="D46" s="19"/>
      <c r="E46" s="15"/>
    </row>
    <row r="47" spans="1:5" ht="15" customHeight="1" x14ac:dyDescent="0.3">
      <c r="A47" s="217">
        <v>45</v>
      </c>
      <c r="B47" s="217" t="s">
        <v>1217</v>
      </c>
      <c r="C47" s="99">
        <v>17</v>
      </c>
      <c r="D47" s="19"/>
      <c r="E47" s="15"/>
    </row>
    <row r="48" spans="1:5" ht="15" customHeight="1" x14ac:dyDescent="0.3">
      <c r="A48" s="217">
        <v>46</v>
      </c>
      <c r="B48" s="145" t="s">
        <v>1218</v>
      </c>
      <c r="C48" s="99">
        <v>17</v>
      </c>
      <c r="D48" s="19"/>
      <c r="E48" s="15"/>
    </row>
    <row r="49" spans="1:5" ht="15" customHeight="1" x14ac:dyDescent="0.3">
      <c r="A49" s="217">
        <v>47</v>
      </c>
      <c r="B49" s="217" t="s">
        <v>1219</v>
      </c>
      <c r="C49" s="99">
        <v>17</v>
      </c>
      <c r="D49" s="19"/>
      <c r="E49" s="15"/>
    </row>
    <row r="50" spans="1:5" ht="15" customHeight="1" x14ac:dyDescent="0.3">
      <c r="A50" s="217">
        <v>48</v>
      </c>
      <c r="B50" s="9" t="s">
        <v>118</v>
      </c>
      <c r="C50" s="99">
        <v>17</v>
      </c>
      <c r="D50" s="19"/>
      <c r="E50" s="15"/>
    </row>
    <row r="51" spans="1:5" ht="15" customHeight="1" x14ac:dyDescent="0.3">
      <c r="A51" s="217">
        <v>49</v>
      </c>
      <c r="B51" s="145" t="s">
        <v>1220</v>
      </c>
      <c r="C51" s="99">
        <v>17</v>
      </c>
      <c r="D51" s="19"/>
      <c r="E51" s="15"/>
    </row>
    <row r="52" spans="1:5" ht="15" customHeight="1" x14ac:dyDescent="0.3">
      <c r="A52" s="217">
        <v>50</v>
      </c>
      <c r="B52" s="145" t="s">
        <v>1221</v>
      </c>
      <c r="C52" s="99">
        <v>17</v>
      </c>
      <c r="D52" s="19"/>
      <c r="E52" s="15"/>
    </row>
    <row r="53" spans="1:5" ht="15" customHeight="1" x14ac:dyDescent="0.3">
      <c r="A53" s="217">
        <v>51</v>
      </c>
      <c r="B53" s="217" t="s">
        <v>1222</v>
      </c>
      <c r="C53" s="99">
        <v>18</v>
      </c>
      <c r="D53" s="19"/>
      <c r="E53" s="15"/>
    </row>
    <row r="54" spans="1:5" ht="15" customHeight="1" x14ac:dyDescent="0.3">
      <c r="A54" s="217">
        <v>52</v>
      </c>
      <c r="B54" s="145" t="s">
        <v>1223</v>
      </c>
      <c r="C54" s="99">
        <v>18</v>
      </c>
      <c r="D54" s="19"/>
      <c r="E54" s="15"/>
    </row>
    <row r="55" spans="1:5" ht="15" customHeight="1" x14ac:dyDescent="0.3">
      <c r="A55" s="275">
        <v>53</v>
      </c>
      <c r="B55" s="218" t="s">
        <v>1224</v>
      </c>
      <c r="C55" s="281">
        <v>18</v>
      </c>
      <c r="D55" s="95"/>
      <c r="E55" s="82"/>
    </row>
    <row r="56" spans="1:5" ht="15" customHeight="1" x14ac:dyDescent="0.3">
      <c r="A56" s="217">
        <v>54</v>
      </c>
      <c r="B56" s="145" t="s">
        <v>1225</v>
      </c>
      <c r="C56" s="19">
        <v>18</v>
      </c>
      <c r="D56" s="19"/>
      <c r="E56" s="15"/>
    </row>
    <row r="57" spans="1:5" ht="15" customHeight="1" x14ac:dyDescent="0.3">
      <c r="A57" s="217">
        <v>55</v>
      </c>
      <c r="B57" s="145" t="s">
        <v>1226</v>
      </c>
      <c r="C57" s="19">
        <v>18</v>
      </c>
      <c r="D57" s="19"/>
      <c r="E57" s="15"/>
    </row>
    <row r="58" spans="1:5" ht="15" customHeight="1" x14ac:dyDescent="0.3">
      <c r="A58" s="9"/>
      <c r="B58" s="145" t="s">
        <v>750</v>
      </c>
      <c r="C58" s="19">
        <v>18</v>
      </c>
      <c r="D58" s="19"/>
      <c r="E58" s="15"/>
    </row>
    <row r="59" spans="1:5" ht="15" customHeight="1" x14ac:dyDescent="0.3">
      <c r="A59" s="9"/>
      <c r="B59" s="217" t="s">
        <v>1227</v>
      </c>
      <c r="C59" s="19">
        <v>19</v>
      </c>
      <c r="D59" s="19"/>
      <c r="E59" s="15"/>
    </row>
    <row r="60" spans="1:5" ht="15" customHeight="1" x14ac:dyDescent="0.3">
      <c r="A60" s="9"/>
      <c r="B60" s="275" t="s">
        <v>123</v>
      </c>
      <c r="C60" s="95">
        <v>19</v>
      </c>
      <c r="D60" s="95"/>
      <c r="E60" s="82"/>
    </row>
    <row r="61" spans="1:5" ht="15" customHeight="1" x14ac:dyDescent="0.3">
      <c r="B61" s="145" t="s">
        <v>1228</v>
      </c>
      <c r="C61" s="19">
        <v>19</v>
      </c>
      <c r="D61" s="19"/>
      <c r="E61" s="15"/>
    </row>
    <row r="62" spans="1:5" ht="15" customHeight="1" x14ac:dyDescent="0.3">
      <c r="B62" s="217" t="s">
        <v>1229</v>
      </c>
      <c r="C62" s="19">
        <v>19</v>
      </c>
      <c r="D62" s="19"/>
      <c r="E62" s="15"/>
    </row>
    <row r="63" spans="1:5" ht="15" customHeight="1" x14ac:dyDescent="0.3">
      <c r="B63" s="145" t="s">
        <v>312</v>
      </c>
      <c r="C63" s="19">
        <v>19</v>
      </c>
      <c r="D63" s="19"/>
      <c r="E63" s="15"/>
    </row>
    <row r="64" spans="1:5" ht="15" customHeight="1" x14ac:dyDescent="0.3">
      <c r="B64" s="217" t="s">
        <v>1230</v>
      </c>
      <c r="C64" s="19">
        <v>20</v>
      </c>
      <c r="D64" s="19"/>
      <c r="E64" s="15"/>
    </row>
    <row r="65" spans="2:5" ht="15" customHeight="1" x14ac:dyDescent="0.3">
      <c r="B65" s="217" t="s">
        <v>1231</v>
      </c>
      <c r="C65" s="303">
        <v>20</v>
      </c>
      <c r="D65" s="19"/>
      <c r="E65" s="19"/>
    </row>
    <row r="66" spans="2:5" ht="15" customHeight="1" x14ac:dyDescent="0.3">
      <c r="B66" s="217" t="s">
        <v>1232</v>
      </c>
      <c r="C66" s="19">
        <v>21</v>
      </c>
      <c r="D66" s="19"/>
      <c r="E66" s="15"/>
    </row>
    <row r="67" spans="2:5" ht="15" customHeight="1" x14ac:dyDescent="0.3">
      <c r="B67" s="217" t="s">
        <v>1233</v>
      </c>
      <c r="C67" s="19">
        <v>21</v>
      </c>
      <c r="D67" s="19"/>
      <c r="E67" s="15"/>
    </row>
    <row r="68" spans="2:5" ht="15" customHeight="1" x14ac:dyDescent="0.3">
      <c r="B68" s="81" t="s">
        <v>1234</v>
      </c>
      <c r="C68" s="26">
        <v>23</v>
      </c>
      <c r="D68" s="26"/>
    </row>
    <row r="69" spans="2:5" ht="15" customHeight="1" x14ac:dyDescent="0.3">
      <c r="B69" s="304" t="s">
        <v>1130</v>
      </c>
      <c r="C69" s="26">
        <v>23</v>
      </c>
      <c r="D69" s="26"/>
    </row>
    <row r="70" spans="2:5" ht="15" customHeight="1" x14ac:dyDescent="0.3">
      <c r="B70" s="81" t="s">
        <v>1235</v>
      </c>
      <c r="C70" s="26">
        <v>23</v>
      </c>
      <c r="D70" s="26"/>
    </row>
    <row r="71" spans="2:5" ht="15" customHeight="1" x14ac:dyDescent="0.3">
      <c r="B71" s="304" t="s">
        <v>1236</v>
      </c>
      <c r="C71" s="26">
        <v>23</v>
      </c>
      <c r="D71" s="26"/>
    </row>
    <row r="72" spans="2:5" ht="15" customHeight="1" x14ac:dyDescent="0.3">
      <c r="B72" s="81" t="s">
        <v>1237</v>
      </c>
      <c r="C72" s="26">
        <v>23</v>
      </c>
      <c r="D72" s="26"/>
    </row>
    <row r="73" spans="2:5" ht="15" customHeight="1" x14ac:dyDescent="0.3">
      <c r="B73" s="81" t="s">
        <v>1238</v>
      </c>
      <c r="C73" s="26">
        <v>23</v>
      </c>
      <c r="D73" s="26"/>
    </row>
    <row r="74" spans="2:5" ht="15" customHeight="1" x14ac:dyDescent="0.3">
      <c r="B74" s="304" t="s">
        <v>1239</v>
      </c>
      <c r="C74" s="26">
        <v>24</v>
      </c>
      <c r="D74" s="26"/>
    </row>
    <row r="75" spans="2:5" ht="15" customHeight="1" x14ac:dyDescent="0.3">
      <c r="B75" s="304" t="s">
        <v>612</v>
      </c>
      <c r="C75" s="26">
        <v>24</v>
      </c>
      <c r="D75" s="26"/>
    </row>
    <row r="76" spans="2:5" ht="15" customHeight="1" x14ac:dyDescent="0.3">
      <c r="B76" s="304" t="s">
        <v>629</v>
      </c>
      <c r="C76" s="26">
        <v>24</v>
      </c>
      <c r="D76" s="26"/>
    </row>
    <row r="77" spans="2:5" ht="15" customHeight="1" x14ac:dyDescent="0.3">
      <c r="B77" s="304" t="s">
        <v>1240</v>
      </c>
      <c r="C77" s="26">
        <v>21</v>
      </c>
      <c r="D77" s="26"/>
    </row>
    <row r="78" spans="2:5" ht="15" customHeight="1" x14ac:dyDescent="0.3">
      <c r="B78" s="304" t="s">
        <v>1241</v>
      </c>
      <c r="C78" s="26">
        <v>21</v>
      </c>
      <c r="D78" s="26" t="s">
        <v>16</v>
      </c>
    </row>
  </sheetData>
  <autoFilter ref="B2:E2" xr:uid="{EBA9DB10-68CF-458A-B6EA-36820977EC73}">
    <sortState xmlns:xlrd2="http://schemas.microsoft.com/office/spreadsheetml/2017/richdata2" ref="B3:E76">
      <sortCondition ref="D2"/>
    </sortState>
  </autoFilter>
  <mergeCells count="1">
    <mergeCell ref="C1:E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4187D-5EB2-47F4-BCB9-962A26991B03}">
  <dimension ref="C2:D72"/>
  <sheetViews>
    <sheetView topLeftCell="A57" workbookViewId="0">
      <selection activeCell="C2" sqref="C2:D72"/>
    </sheetView>
  </sheetViews>
  <sheetFormatPr baseColWidth="10" defaultColWidth="11.44140625" defaultRowHeight="14.4" x14ac:dyDescent="0.3"/>
  <cols>
    <col min="3" max="3" width="40.33203125" bestFit="1" customWidth="1"/>
  </cols>
  <sheetData>
    <row r="2" spans="3:4" x14ac:dyDescent="0.3">
      <c r="C2" s="1" t="s">
        <v>92</v>
      </c>
      <c r="D2" s="6">
        <v>4</v>
      </c>
    </row>
    <row r="3" spans="3:4" x14ac:dyDescent="0.3">
      <c r="C3" s="1" t="s">
        <v>25</v>
      </c>
      <c r="D3" s="6">
        <v>8</v>
      </c>
    </row>
    <row r="4" spans="3:4" x14ac:dyDescent="0.3">
      <c r="C4" s="1" t="s">
        <v>277</v>
      </c>
      <c r="D4" s="6">
        <v>10</v>
      </c>
    </row>
    <row r="5" spans="3:4" x14ac:dyDescent="0.3">
      <c r="C5" s="1" t="s">
        <v>279</v>
      </c>
      <c r="D5" s="6">
        <v>10</v>
      </c>
    </row>
    <row r="6" spans="3:4" x14ac:dyDescent="0.3">
      <c r="C6" s="1" t="s">
        <v>38</v>
      </c>
      <c r="D6" s="6">
        <v>11</v>
      </c>
    </row>
    <row r="7" spans="3:4" x14ac:dyDescent="0.3">
      <c r="C7" s="1" t="s">
        <v>53</v>
      </c>
      <c r="D7" s="6">
        <v>11</v>
      </c>
    </row>
    <row r="8" spans="3:4" x14ac:dyDescent="0.3">
      <c r="C8" s="1" t="s">
        <v>39</v>
      </c>
      <c r="D8" s="6">
        <v>11</v>
      </c>
    </row>
    <row r="9" spans="3:4" x14ac:dyDescent="0.3">
      <c r="C9" s="1" t="s">
        <v>42</v>
      </c>
      <c r="D9" s="6">
        <v>11</v>
      </c>
    </row>
    <row r="10" spans="3:4" x14ac:dyDescent="0.3">
      <c r="C10" s="1" t="s">
        <v>286</v>
      </c>
      <c r="D10" s="6">
        <v>11</v>
      </c>
    </row>
    <row r="11" spans="3:4" x14ac:dyDescent="0.3">
      <c r="C11" s="1" t="s">
        <v>298</v>
      </c>
      <c r="D11" s="6">
        <v>12</v>
      </c>
    </row>
    <row r="12" spans="3:4" x14ac:dyDescent="0.3">
      <c r="C12" s="1" t="s">
        <v>51</v>
      </c>
      <c r="D12" s="6">
        <v>12</v>
      </c>
    </row>
    <row r="13" spans="3:4" x14ac:dyDescent="0.3">
      <c r="C13" s="1" t="s">
        <v>304</v>
      </c>
      <c r="D13" s="6">
        <v>12</v>
      </c>
    </row>
    <row r="14" spans="3:4" x14ac:dyDescent="0.3">
      <c r="C14" s="1" t="s">
        <v>305</v>
      </c>
      <c r="D14" s="6">
        <v>13</v>
      </c>
    </row>
    <row r="15" spans="3:4" x14ac:dyDescent="0.3">
      <c r="C15" s="1" t="s">
        <v>308</v>
      </c>
      <c r="D15" s="6">
        <v>13</v>
      </c>
    </row>
    <row r="16" spans="3:4" x14ac:dyDescent="0.3">
      <c r="C16" s="1" t="s">
        <v>309</v>
      </c>
      <c r="D16" s="6">
        <v>13</v>
      </c>
    </row>
    <row r="17" spans="3:4" x14ac:dyDescent="0.3">
      <c r="C17" s="1" t="s">
        <v>312</v>
      </c>
      <c r="D17" s="6">
        <v>13</v>
      </c>
    </row>
    <row r="18" spans="3:4" x14ac:dyDescent="0.3">
      <c r="C18" s="1" t="s">
        <v>314</v>
      </c>
      <c r="D18" s="6">
        <v>13</v>
      </c>
    </row>
    <row r="19" spans="3:4" x14ac:dyDescent="0.3">
      <c r="C19" s="1" t="s">
        <v>57</v>
      </c>
      <c r="D19" s="6">
        <v>13</v>
      </c>
    </row>
    <row r="20" spans="3:4" x14ac:dyDescent="0.3">
      <c r="C20" s="1" t="s">
        <v>63</v>
      </c>
      <c r="D20" s="6">
        <v>13</v>
      </c>
    </row>
    <row r="21" spans="3:4" x14ac:dyDescent="0.3">
      <c r="C21" s="1" t="s">
        <v>70</v>
      </c>
      <c r="D21" s="6">
        <v>14</v>
      </c>
    </row>
    <row r="22" spans="3:4" x14ac:dyDescent="0.3">
      <c r="C22" s="1" t="s">
        <v>326</v>
      </c>
      <c r="D22" s="6">
        <v>14</v>
      </c>
    </row>
    <row r="23" spans="3:4" x14ac:dyDescent="0.3">
      <c r="C23" s="1" t="s">
        <v>78</v>
      </c>
      <c r="D23" s="6">
        <v>14</v>
      </c>
    </row>
    <row r="24" spans="3:4" x14ac:dyDescent="0.3">
      <c r="C24" s="1" t="s">
        <v>71</v>
      </c>
      <c r="D24" s="6">
        <v>14</v>
      </c>
    </row>
    <row r="25" spans="3:4" x14ac:dyDescent="0.3">
      <c r="C25" s="1" t="s">
        <v>327</v>
      </c>
      <c r="D25" s="6">
        <v>14</v>
      </c>
    </row>
    <row r="26" spans="3:4" x14ac:dyDescent="0.3">
      <c r="C26" s="1" t="s">
        <v>80</v>
      </c>
      <c r="D26" s="6">
        <v>14</v>
      </c>
    </row>
    <row r="27" spans="3:4" x14ac:dyDescent="0.3">
      <c r="C27" s="1" t="s">
        <v>85</v>
      </c>
      <c r="D27" s="6">
        <v>14</v>
      </c>
    </row>
    <row r="28" spans="3:4" x14ac:dyDescent="0.3">
      <c r="C28" s="1" t="s">
        <v>328</v>
      </c>
      <c r="D28" s="6">
        <v>14</v>
      </c>
    </row>
    <row r="29" spans="3:4" x14ac:dyDescent="0.3">
      <c r="C29" s="1" t="s">
        <v>329</v>
      </c>
      <c r="D29" s="6">
        <v>14</v>
      </c>
    </row>
    <row r="30" spans="3:4" x14ac:dyDescent="0.3">
      <c r="C30" s="1" t="s">
        <v>330</v>
      </c>
      <c r="D30" s="6">
        <v>14</v>
      </c>
    </row>
    <row r="31" spans="3:4" x14ac:dyDescent="0.3">
      <c r="C31" s="1" t="s">
        <v>84</v>
      </c>
      <c r="D31" s="6">
        <v>14</v>
      </c>
    </row>
    <row r="32" spans="3:4" x14ac:dyDescent="0.3">
      <c r="C32" s="1" t="s">
        <v>155</v>
      </c>
      <c r="D32" s="6">
        <v>14</v>
      </c>
    </row>
    <row r="33" spans="3:4" x14ac:dyDescent="0.3">
      <c r="C33" s="1" t="s">
        <v>332</v>
      </c>
      <c r="D33" s="6">
        <v>15</v>
      </c>
    </row>
    <row r="34" spans="3:4" x14ac:dyDescent="0.3">
      <c r="C34" s="1" t="s">
        <v>88</v>
      </c>
      <c r="D34" s="6">
        <v>15</v>
      </c>
    </row>
    <row r="35" spans="3:4" x14ac:dyDescent="0.3">
      <c r="C35" s="1" t="s">
        <v>95</v>
      </c>
      <c r="D35" s="6">
        <v>15</v>
      </c>
    </row>
    <row r="36" spans="3:4" x14ac:dyDescent="0.3">
      <c r="C36" s="1" t="s">
        <v>340</v>
      </c>
      <c r="D36" s="6">
        <v>15</v>
      </c>
    </row>
    <row r="37" spans="3:4" x14ac:dyDescent="0.3">
      <c r="C37" s="1" t="s">
        <v>98</v>
      </c>
      <c r="D37" s="6">
        <v>15</v>
      </c>
    </row>
    <row r="38" spans="3:4" x14ac:dyDescent="0.3">
      <c r="C38" s="1" t="s">
        <v>342</v>
      </c>
      <c r="D38" s="6">
        <v>15</v>
      </c>
    </row>
    <row r="39" spans="3:4" x14ac:dyDescent="0.3">
      <c r="C39" s="1" t="s">
        <v>343</v>
      </c>
      <c r="D39" s="6">
        <v>15</v>
      </c>
    </row>
    <row r="40" spans="3:4" x14ac:dyDescent="0.3">
      <c r="C40" s="1" t="s">
        <v>344</v>
      </c>
      <c r="D40" s="6">
        <v>15</v>
      </c>
    </row>
    <row r="41" spans="3:4" x14ac:dyDescent="0.3">
      <c r="C41" s="1" t="s">
        <v>345</v>
      </c>
      <c r="D41" s="6">
        <v>15</v>
      </c>
    </row>
    <row r="42" spans="3:4" x14ac:dyDescent="0.3">
      <c r="C42" s="1" t="s">
        <v>17</v>
      </c>
      <c r="D42" s="6">
        <v>16</v>
      </c>
    </row>
    <row r="43" spans="3:4" x14ac:dyDescent="0.3">
      <c r="C43" s="1" t="s">
        <v>107</v>
      </c>
      <c r="D43" s="6">
        <v>16</v>
      </c>
    </row>
    <row r="44" spans="3:4" x14ac:dyDescent="0.3">
      <c r="C44" s="1" t="s">
        <v>350</v>
      </c>
      <c r="D44" s="6">
        <v>16</v>
      </c>
    </row>
    <row r="45" spans="3:4" x14ac:dyDescent="0.3">
      <c r="C45" s="1" t="s">
        <v>351</v>
      </c>
      <c r="D45" s="6">
        <v>16</v>
      </c>
    </row>
    <row r="46" spans="3:4" x14ac:dyDescent="0.3">
      <c r="C46" s="1" t="s">
        <v>352</v>
      </c>
      <c r="D46" s="6">
        <v>16</v>
      </c>
    </row>
    <row r="47" spans="3:4" x14ac:dyDescent="0.3">
      <c r="C47" s="1" t="s">
        <v>109</v>
      </c>
      <c r="D47" s="6">
        <v>16</v>
      </c>
    </row>
    <row r="48" spans="3:4" x14ac:dyDescent="0.3">
      <c r="C48" s="1" t="s">
        <v>353</v>
      </c>
      <c r="D48" s="6">
        <v>16</v>
      </c>
    </row>
    <row r="49" spans="3:4" x14ac:dyDescent="0.3">
      <c r="C49" s="1" t="s">
        <v>112</v>
      </c>
      <c r="D49" s="6">
        <v>16</v>
      </c>
    </row>
    <row r="50" spans="3:4" x14ac:dyDescent="0.3">
      <c r="C50" s="1" t="s">
        <v>357</v>
      </c>
      <c r="D50" s="6">
        <v>16</v>
      </c>
    </row>
    <row r="51" spans="3:4" x14ac:dyDescent="0.3">
      <c r="C51" s="1" t="s">
        <v>361</v>
      </c>
      <c r="D51" s="6">
        <v>16</v>
      </c>
    </row>
    <row r="52" spans="3:4" x14ac:dyDescent="0.3">
      <c r="C52" s="1" t="s">
        <v>362</v>
      </c>
      <c r="D52" s="6">
        <v>16</v>
      </c>
    </row>
    <row r="53" spans="3:4" x14ac:dyDescent="0.3">
      <c r="C53" s="1" t="s">
        <v>101</v>
      </c>
      <c r="D53" s="6">
        <v>16</v>
      </c>
    </row>
    <row r="54" spans="3:4" x14ac:dyDescent="0.3">
      <c r="C54" s="1" t="s">
        <v>117</v>
      </c>
      <c r="D54" s="6">
        <v>17</v>
      </c>
    </row>
    <row r="55" spans="3:4" x14ac:dyDescent="0.3">
      <c r="C55" s="1" t="s">
        <v>367</v>
      </c>
      <c r="D55" s="6">
        <v>17</v>
      </c>
    </row>
    <row r="56" spans="3:4" x14ac:dyDescent="0.3">
      <c r="C56" s="1" t="s">
        <v>369</v>
      </c>
      <c r="D56" s="6">
        <v>17</v>
      </c>
    </row>
    <row r="57" spans="3:4" x14ac:dyDescent="0.3">
      <c r="C57" s="1" t="s">
        <v>370</v>
      </c>
      <c r="D57" s="6">
        <v>17</v>
      </c>
    </row>
    <row r="58" spans="3:4" x14ac:dyDescent="0.3">
      <c r="C58" s="1" t="s">
        <v>371</v>
      </c>
      <c r="D58" s="6">
        <v>17</v>
      </c>
    </row>
    <row r="59" spans="3:4" x14ac:dyDescent="0.3">
      <c r="C59" s="1" t="s">
        <v>114</v>
      </c>
      <c r="D59" s="6">
        <v>17</v>
      </c>
    </row>
    <row r="60" spans="3:4" x14ac:dyDescent="0.3">
      <c r="C60" s="1" t="s">
        <v>113</v>
      </c>
      <c r="D60" s="6">
        <v>17</v>
      </c>
    </row>
    <row r="61" spans="3:4" x14ac:dyDescent="0.3">
      <c r="C61" s="1" t="s">
        <v>122</v>
      </c>
      <c r="D61" s="6">
        <v>17</v>
      </c>
    </row>
    <row r="62" spans="3:4" x14ac:dyDescent="0.3">
      <c r="C62" s="1" t="s">
        <v>380</v>
      </c>
      <c r="D62" s="6">
        <v>18</v>
      </c>
    </row>
    <row r="63" spans="3:4" x14ac:dyDescent="0.3">
      <c r="C63" s="1" t="s">
        <v>128</v>
      </c>
      <c r="D63" s="6">
        <v>18</v>
      </c>
    </row>
    <row r="64" spans="3:4" x14ac:dyDescent="0.3">
      <c r="C64" s="1" t="s">
        <v>127</v>
      </c>
      <c r="D64" s="6">
        <v>18</v>
      </c>
    </row>
    <row r="65" spans="3:4" x14ac:dyDescent="0.3">
      <c r="C65" s="1" t="s">
        <v>134</v>
      </c>
      <c r="D65" s="6">
        <v>18</v>
      </c>
    </row>
    <row r="66" spans="3:4" x14ac:dyDescent="0.3">
      <c r="C66" s="1" t="s">
        <v>139</v>
      </c>
      <c r="D66" s="6">
        <v>18</v>
      </c>
    </row>
    <row r="67" spans="3:4" x14ac:dyDescent="0.3">
      <c r="C67" s="1" t="s">
        <v>1049</v>
      </c>
      <c r="D67" s="6">
        <v>19</v>
      </c>
    </row>
    <row r="68" spans="3:4" x14ac:dyDescent="0.3">
      <c r="C68" s="1" t="s">
        <v>1050</v>
      </c>
      <c r="D68" s="6"/>
    </row>
    <row r="69" spans="3:4" x14ac:dyDescent="0.3">
      <c r="C69" s="1" t="s">
        <v>1051</v>
      </c>
      <c r="D69" s="6">
        <v>19</v>
      </c>
    </row>
    <row r="70" spans="3:4" x14ac:dyDescent="0.3">
      <c r="C70" s="1" t="s">
        <v>1052</v>
      </c>
      <c r="D70" s="6">
        <v>19</v>
      </c>
    </row>
    <row r="71" spans="3:4" x14ac:dyDescent="0.3">
      <c r="C71" s="1" t="s">
        <v>1053</v>
      </c>
      <c r="D71" s="6">
        <v>20</v>
      </c>
    </row>
    <row r="72" spans="3:4" x14ac:dyDescent="0.3">
      <c r="C72" s="1" t="s">
        <v>138</v>
      </c>
      <c r="D72" s="6">
        <v>18</v>
      </c>
    </row>
  </sheetData>
  <conditionalFormatting sqref="C2:D72">
    <cfRule type="expression" dxfId="159" priority="6">
      <formula>COUNTIF($B2:AA2, "C")</formula>
    </cfRule>
    <cfRule type="expression" dxfId="158" priority="7">
      <formula>COUNTIF($B2:AA2, "Q")</formula>
    </cfRule>
    <cfRule type="expression" dxfId="157" priority="8">
      <formula>COUNTIF($B2:AA2, "M")</formula>
    </cfRule>
    <cfRule type="expression" dxfId="156" priority="9">
      <formula>COUNTIF($B2:AA2, "A")</formula>
    </cfRule>
    <cfRule type="expression" dxfId="155" priority="10">
      <formula>COUNTIF($A2:AA2, "NI")</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38</vt:i4>
      </vt:variant>
    </vt:vector>
  </HeadingPairs>
  <TitlesOfParts>
    <vt:vector size="38" baseType="lpstr">
      <vt:lpstr>ALIADOS C1 E25</vt:lpstr>
      <vt:lpstr>GRADUADOS </vt:lpstr>
      <vt:lpstr>ALIADOS C1E27</vt:lpstr>
      <vt:lpstr>ALIADOS C2E26</vt:lpstr>
      <vt:lpstr>ALIADOS C2 E25</vt:lpstr>
      <vt:lpstr>ALIADOS C1 E21</vt:lpstr>
      <vt:lpstr>ALIADOS C1 E24</vt:lpstr>
      <vt:lpstr>ALIADOS C1 E23</vt:lpstr>
      <vt:lpstr>ALIADOS C1 E20</vt:lpstr>
      <vt:lpstr>ALIADOS C1 E19</vt:lpstr>
      <vt:lpstr>APOYOS C2 E17</vt:lpstr>
      <vt:lpstr>ALIADOS C1 E18</vt:lpstr>
      <vt:lpstr>ALIADOS C1 E22</vt:lpstr>
      <vt:lpstr>ALIADOS C1 E26</vt:lpstr>
      <vt:lpstr>SOMBRAS C1E26CREADOR CUANTICO </vt:lpstr>
      <vt:lpstr>APOYOS CAP 1 E25 (2)</vt:lpstr>
      <vt:lpstr>APOYOS CAP 1 E27</vt:lpstr>
      <vt:lpstr>APOYOS CAP 1 E26</vt:lpstr>
      <vt:lpstr>APOYOS CAP 1 E24</vt:lpstr>
      <vt:lpstr>APOYOs CAP 2 E26</vt:lpstr>
      <vt:lpstr>APOYOs CAP 2 E25</vt:lpstr>
      <vt:lpstr>APOYOs CAP 2 E24</vt:lpstr>
      <vt:lpstr>APOYO CAP 2 EQUIPO 22</vt:lpstr>
      <vt:lpstr>APOYOS MJ E 14 - 15- 16</vt:lpstr>
      <vt:lpstr>MANAGERS E17</vt:lpstr>
      <vt:lpstr>ALIADOS C1 E17</vt:lpstr>
      <vt:lpstr>SOMBRAS Y QT E18 C1</vt:lpstr>
      <vt:lpstr>APOYOS C1 E17</vt:lpstr>
      <vt:lpstr>APOYO CAMINATA </vt:lpstr>
      <vt:lpstr>APOYOS C2 E16</vt:lpstr>
      <vt:lpstr>APOYO MJ E26-25-24</vt:lpstr>
      <vt:lpstr>APOYO MJ E24-23-22</vt:lpstr>
      <vt:lpstr>APOYO MJ E 21-22-23</vt:lpstr>
      <vt:lpstr>APOYO MJ E 22-21-20</vt:lpstr>
      <vt:lpstr>APOYO CAMINATA SOBRE FUEGO</vt:lpstr>
      <vt:lpstr>APOYO CAMINATA FUEGO  MARZO</vt:lpstr>
      <vt:lpstr>NOCHE DE CONFIANZA</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Crearpsl - José Luis Sánchez</dc:creator>
  <cp:keywords/>
  <dc:description/>
  <cp:lastModifiedBy>Crearpsl - José Luis Sánchez</cp:lastModifiedBy>
  <cp:revision/>
  <dcterms:created xsi:type="dcterms:W3CDTF">2025-04-01T18:15:19Z</dcterms:created>
  <dcterms:modified xsi:type="dcterms:W3CDTF">2026-04-20T19:30:50Z</dcterms:modified>
  <cp:category/>
  <cp:contentStatus/>
</cp:coreProperties>
</file>